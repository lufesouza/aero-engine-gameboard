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codeName="ThisWorkbook" defaultThemeVersion="124226"/>
  <mc:AlternateContent xmlns:mc="http://schemas.openxmlformats.org/markup-compatibility/2006">
    <mc:Choice Requires="x15">
      <x15ac:absPath xmlns:x15ac="http://schemas.microsoft.com/office/spreadsheetml/2010/11/ac" url="C:\SysAdmin\Log\Research2\prime8_temp_downloads\model_checkouts\"/>
    </mc:Choice>
  </mc:AlternateContent>
  <xr:revisionPtr revIDLastSave="0" documentId="13_ncr:1_{574F855B-23F3-482A-B5AD-6A69916686B0}" xr6:coauthVersionLast="47" xr6:coauthVersionMax="47" xr10:uidLastSave="{00000000-0000-0000-0000-000000000000}"/>
  <bookViews>
    <workbookView xWindow="-120" yWindow="-120" windowWidth="29040" windowHeight="15720" tabRatio="840" activeTab="1" xr2:uid="{00000000-000D-0000-FFFF-FFFF00000000}"/>
  </bookViews>
  <sheets>
    <sheet name="CircularReferenceAlert" sheetId="84" r:id="rId1"/>
    <sheet name="ImportantDisclosures" sheetId="81" r:id="rId2"/>
    <sheet name="Financial Summary" sheetId="20" r:id="rId3"/>
    <sheet name="ProForma_IS_Annual" sheetId="15" r:id="rId4"/>
    <sheet name="ProForma_IS_Qtr" sheetId="13" r:id="rId5"/>
    <sheet name="Balance_Sheet_Annual" sheetId="18" r:id="rId6"/>
    <sheet name="Balance_Sheet_Qtr" sheetId="17" r:id="rId7"/>
    <sheet name="Cash_Flow_Annual" sheetId="16" r:id="rId8"/>
    <sheet name="Cash_Flow_Qtr" sheetId="14" r:id="rId9"/>
    <sheet name="Debt_Annual" sheetId="45" r:id="rId10"/>
    <sheet name="Debt_Qtr" sheetId="46" r:id="rId11"/>
    <sheet name="Recast Collins Aerospace_Annual" sheetId="74" r:id="rId12"/>
    <sheet name="Recast Collins Aerospace_Qtr" sheetId="73" r:id="rId13"/>
    <sheet name="Pratt &amp; Whitney_Annual" sheetId="10" r:id="rId14"/>
    <sheet name="Pratt &amp; Whitney_Qtr" sheetId="2" r:id="rId15"/>
    <sheet name="Recast Raytheon_Annual" sheetId="75" r:id="rId16"/>
    <sheet name="Recast Raytheon_Qtr" sheetId="76" r:id="rId17"/>
    <sheet name="IndexInformation" sheetId="82" r:id="rId18"/>
    <sheet name="ModPubIndex" sheetId="83" r:id="rId19"/>
  </sheets>
  <definedNames>
    <definedName name="africaCountries">#REF!</definedName>
    <definedName name="allRegions">#REF!</definedName>
    <definedName name="americaRegion">#REF!</definedName>
    <definedName name="americas">0.75</definedName>
    <definedName name="americasStates">#REF!</definedName>
    <definedName name="AppVersion">"GEG-1.0"</definedName>
    <definedName name="asiaPacific">0.06</definedName>
    <definedName name="asiaPacificExJapan">0.03</definedName>
    <definedName name="asiaPacificExJapanCountries">#REF!</definedName>
    <definedName name="asiaPacificRegion">#REF!</definedName>
    <definedName name="asiaPacificStates">#REF!</definedName>
    <definedName name="australasia">0.01</definedName>
    <definedName name="BRICS">0.02</definedName>
    <definedName name="centralEasternEurope">0.01</definedName>
    <definedName name="centralEasternEuropeCountries">#REF!</definedName>
    <definedName name="china">0.01</definedName>
    <definedName name="consumerDemandExposure">#REF!</definedName>
    <definedName name="consumersExposure">0</definedName>
    <definedName name="countryList">"Country Mapping"</definedName>
    <definedName name="developedEuropeExUK">0.05</definedName>
    <definedName name="developedEuropeExUKCountries">#REF!</definedName>
    <definedName name="domesticAndForeignExposure">#REF!</definedName>
    <definedName name="domesticCostExposure">#REF!</definedName>
    <definedName name="EEMEA">0.11</definedName>
    <definedName name="endDemandExposure">#REF!</definedName>
    <definedName name="europe">0.09</definedName>
    <definedName name="europeRegion">#REF!</definedName>
    <definedName name="europeStates">#REF!</definedName>
    <definedName name="india">0.01</definedName>
    <definedName name="instructions">#REF!</definedName>
    <definedName name="IQ_CH">110000</definedName>
    <definedName name="IQ_CQ">5000</definedName>
    <definedName name="IQ_CY">10000</definedName>
    <definedName name="IQ_DAILY">500000</definedName>
    <definedName name="IQ_FH">100000</definedName>
    <definedName name="IQ_FQ">500</definedName>
    <definedName name="IQ_FY">1000</definedName>
    <definedName name="IQ_LTM">2000</definedName>
    <definedName name="IQ_MONTH">15000</definedName>
    <definedName name="IQ_NTM">6000</definedName>
    <definedName name="IQ_WEEK">50000</definedName>
    <definedName name="IQ_YTD">3000</definedName>
    <definedName name="italy">0.01</definedName>
    <definedName name="japan">0.01</definedName>
    <definedName name="latinAmerica">0.01</definedName>
    <definedName name="latinAmericaCountries">#REF!</definedName>
    <definedName name="Linking_1">Balance_Sheet_Annual!$A$84:$V$103</definedName>
    <definedName name="Linking_2">Balance_Sheet_Annual!$A$105:$V$120</definedName>
    <definedName name="Linking_3">#REF!</definedName>
    <definedName name="middleEast">0.08</definedName>
    <definedName name="middleEastAfrica">0.1</definedName>
    <definedName name="middleEastAfricaRegion">#REF!</definedName>
    <definedName name="middleEastAfricaStates">#REF!</definedName>
    <definedName name="northAmerica">0.74</definedName>
    <definedName name="northAmericaCountries">#REF!</definedName>
    <definedName name="otherAfrica">0.02</definedName>
    <definedName name="otherAsiaPacific">0.01</definedName>
    <definedName name="otherCentralEasternEurope">0.01</definedName>
    <definedName name="otherDevelopedEurope">0.01</definedName>
    <definedName name="otherLATAM">0.01</definedName>
    <definedName name="regionalCostExposure">#REF!</definedName>
    <definedName name="rngBRICS">#REF!,#REF!,#REF!,#REF!</definedName>
    <definedName name="rngContinentWiseValue">#REF!</definedName>
    <definedName name="rngCountryWiseValue">#REF!</definedName>
    <definedName name="rngEEMEA">#REF!,#REF!,#REF!,#REF!</definedName>
    <definedName name="rngStateWiseValue">#REF!</definedName>
    <definedName name="rngTotalRegionExposure">1</definedName>
    <definedName name="showVersionCheckMessage">1</definedName>
    <definedName name="socioEconomicRegion">#REF!</definedName>
    <definedName name="socioEconomicRegions">#REF!</definedName>
    <definedName name="spain">0.01</definedName>
    <definedName name="totalConsumerDemandExposure">0</definedName>
    <definedName name="totalDomesticCostExposure">#REF!</definedName>
    <definedName name="totalDomesticRevenueExposure">#REF!</definedName>
    <definedName name="totalEndDemandRevenueExposure">#REF!</definedName>
    <definedName name="totalRegionCostExposure">#REF!</definedName>
    <definedName name="totalRegionRevenueExposure">#REF!</definedName>
    <definedName name="uk">0.03</definedName>
    <definedName name="ValidDateTable">#REF!</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F74" i="13" l="1" a="1"/>
  <c r="BF74" i="13" l="1"/>
  <c r="BH66" i="14"/>
  <c r="BG66" i="14"/>
  <c r="BF12" i="73"/>
  <c r="BF13" i="73" s="1"/>
  <c r="BF10" i="73"/>
  <c r="BF7" i="73"/>
  <c r="BF4" i="73"/>
  <c r="BF11" i="76"/>
  <c r="BF10" i="76"/>
  <c r="BF7" i="76"/>
  <c r="BF4" i="76"/>
  <c r="BF61" i="46"/>
  <c r="BG61" i="46" s="1"/>
  <c r="BH61" i="46" s="1"/>
  <c r="BF63" i="46"/>
  <c r="BH57" i="46"/>
  <c r="BG57" i="46"/>
  <c r="BH28" i="46"/>
  <c r="BG28" i="46"/>
  <c r="AH11" i="75"/>
  <c r="BL57" i="14" l="1"/>
  <c r="BL55" i="14"/>
  <c r="BG8" i="14" l="1"/>
  <c r="BG23" i="13"/>
  <c r="BF199" i="46"/>
  <c r="BF64" i="46"/>
  <c r="BF62" i="46"/>
  <c r="BF80" i="17"/>
  <c r="BF81" i="17" s="1"/>
  <c r="BF67" i="17"/>
  <c r="BF66" i="17"/>
  <c r="BF30" i="17"/>
  <c r="BF11" i="17"/>
  <c r="BF80" i="14"/>
  <c r="BF76" i="14"/>
  <c r="BF70" i="14"/>
  <c r="BF64" i="14"/>
  <c r="BF65" i="14" s="1"/>
  <c r="BF20" i="14"/>
  <c r="BF90" i="13"/>
  <c r="BF75" i="13"/>
  <c r="BF70" i="13"/>
  <c r="BF32" i="13"/>
  <c r="BF85" i="14" s="1"/>
  <c r="BF37" i="13"/>
  <c r="BF21" i="13"/>
  <c r="BF28" i="76"/>
  <c r="BF23" i="76"/>
  <c r="BF22" i="76"/>
  <c r="BF43" i="2"/>
  <c r="BF37" i="2"/>
  <c r="BF26" i="2"/>
  <c r="BF38" i="2" s="1"/>
  <c r="BF13" i="2"/>
  <c r="BF7" i="2"/>
  <c r="BF29" i="73"/>
  <c r="BF24" i="73"/>
  <c r="BF23" i="73"/>
  <c r="BF65" i="46" l="1"/>
  <c r="BF77" i="17"/>
  <c r="BF22" i="2"/>
  <c r="BI64" i="14" l="1"/>
  <c r="BE11" i="76"/>
  <c r="BE10" i="76"/>
  <c r="BE7" i="76"/>
  <c r="BE4" i="76"/>
  <c r="BE12" i="73"/>
  <c r="BL13" i="73" s="1"/>
  <c r="BE10" i="73"/>
  <c r="BE7" i="73"/>
  <c r="BE4" i="73"/>
  <c r="BG20" i="13"/>
  <c r="BE64" i="13"/>
  <c r="BG69" i="14"/>
  <c r="BG8" i="13" l="1"/>
  <c r="BH8" i="13" l="1"/>
  <c r="BG24" i="13"/>
  <c r="BE199" i="46"/>
  <c r="BE64" i="46"/>
  <c r="BE63" i="46"/>
  <c r="BE62" i="46"/>
  <c r="BE30" i="17"/>
  <c r="BE77" i="17" s="1"/>
  <c r="BE11" i="17"/>
  <c r="BE12" i="17" s="1"/>
  <c r="BE80" i="17"/>
  <c r="BE67" i="17"/>
  <c r="BE66" i="17"/>
  <c r="BE54" i="17"/>
  <c r="BE58" i="17" s="1"/>
  <c r="BE41" i="17"/>
  <c r="BE22" i="17"/>
  <c r="BE20" i="14"/>
  <c r="BE88" i="14"/>
  <c r="BE87" i="14" s="1"/>
  <c r="BE80" i="14"/>
  <c r="BE78" i="13" s="1"/>
  <c r="BE76" i="14"/>
  <c r="BE70" i="14"/>
  <c r="BE64" i="14"/>
  <c r="BE65" i="14" s="1"/>
  <c r="BE50" i="14"/>
  <c r="BE44" i="14"/>
  <c r="BE32" i="14"/>
  <c r="BE17" i="14"/>
  <c r="BE32" i="13"/>
  <c r="BG32" i="13" s="1"/>
  <c r="BE37" i="13"/>
  <c r="BE90" i="13"/>
  <c r="BE81" i="13"/>
  <c r="BE77" i="13"/>
  <c r="BE75" i="13"/>
  <c r="BE68" i="13"/>
  <c r="BE65" i="13"/>
  <c r="BE62" i="13"/>
  <c r="BE59" i="13"/>
  <c r="BE26" i="13"/>
  <c r="BE21" i="13"/>
  <c r="BE102" i="13" s="1"/>
  <c r="BE81" i="17" l="1"/>
  <c r="BE85" i="14"/>
  <c r="BE65" i="46"/>
  <c r="BE21" i="14"/>
  <c r="BE54" i="14" s="1"/>
  <c r="BE103" i="13"/>
  <c r="BE104" i="13" s="1"/>
  <c r="BE34" i="17"/>
  <c r="BE43" i="17" s="1"/>
  <c r="BE60" i="17" s="1"/>
  <c r="BE24" i="17"/>
  <c r="BE101" i="13"/>
  <c r="BE72" i="14" l="1"/>
  <c r="BE62" i="17"/>
  <c r="BE61" i="17"/>
  <c r="BE77" i="14" l="1"/>
  <c r="BE74" i="14"/>
  <c r="BE43" i="2"/>
  <c r="BE37" i="2"/>
  <c r="BE26" i="2"/>
  <c r="BE38" i="2" s="1"/>
  <c r="BE22" i="2"/>
  <c r="BE13" i="2"/>
  <c r="BE7" i="2"/>
  <c r="BE29" i="73"/>
  <c r="BE23" i="73"/>
  <c r="BE19" i="73"/>
  <c r="BE28" i="76"/>
  <c r="BE22" i="76"/>
  <c r="BE16" i="13" l="1"/>
  <c r="BE12" i="13"/>
  <c r="BE13" i="13"/>
  <c r="BE30" i="2"/>
  <c r="BE33" i="2"/>
  <c r="BE24" i="73"/>
  <c r="BE16" i="73"/>
  <c r="BE3" i="13" s="1"/>
  <c r="BE4" i="13" l="1"/>
  <c r="BE46" i="2"/>
  <c r="BE32" i="73"/>
  <c r="BM15" i="14" l="1"/>
  <c r="BN15" i="14" s="1"/>
  <c r="AD75" i="15" l="1"/>
  <c r="AE75" i="15" s="1"/>
  <c r="AF75" i="15" s="1"/>
  <c r="BK61" i="13"/>
  <c r="BC199" i="46" l="1"/>
  <c r="BD31" i="17"/>
  <c r="BC31" i="17" s="1"/>
  <c r="BD30" i="17"/>
  <c r="BC30" i="17" s="1"/>
  <c r="BD11" i="17"/>
  <c r="BD80" i="17"/>
  <c r="BD81" i="17" s="1"/>
  <c r="BC56" i="17"/>
  <c r="BD54" i="17"/>
  <c r="BD58" i="17" s="1"/>
  <c r="BC53" i="17"/>
  <c r="BC52" i="17"/>
  <c r="BC51" i="17"/>
  <c r="BC50" i="17"/>
  <c r="BC49" i="17"/>
  <c r="BC45" i="17"/>
  <c r="BD41" i="17"/>
  <c r="BC41" i="17" s="1"/>
  <c r="BC40" i="17"/>
  <c r="BC39" i="17"/>
  <c r="BC38" i="17"/>
  <c r="BC37" i="17"/>
  <c r="BC33" i="17"/>
  <c r="BC63" i="46" s="1"/>
  <c r="BD63" i="46" s="1"/>
  <c r="BC32" i="17"/>
  <c r="BC29" i="17"/>
  <c r="BC66" i="17" s="1"/>
  <c r="BC28" i="17"/>
  <c r="BC64" i="46" s="1"/>
  <c r="BD64" i="46" s="1"/>
  <c r="BD22" i="17"/>
  <c r="BC21" i="17"/>
  <c r="BC20" i="17"/>
  <c r="BC19" i="17"/>
  <c r="BC18" i="17"/>
  <c r="BC17" i="17"/>
  <c r="BC16" i="17"/>
  <c r="BC15" i="17"/>
  <c r="BC10" i="17"/>
  <c r="BC9" i="17"/>
  <c r="BC67" i="17" s="1"/>
  <c r="BC8" i="17"/>
  <c r="BC7" i="17"/>
  <c r="BC6" i="17"/>
  <c r="BC5" i="17"/>
  <c r="BD20" i="14"/>
  <c r="BD28" i="14"/>
  <c r="BD32" i="14" s="1"/>
  <c r="BC80" i="14"/>
  <c r="BD79" i="14"/>
  <c r="BD76" i="14"/>
  <c r="BD70" i="14"/>
  <c r="BC66" i="14"/>
  <c r="BC58" i="14"/>
  <c r="BC53" i="14"/>
  <c r="BC52" i="14"/>
  <c r="BD50" i="14"/>
  <c r="BC49" i="14"/>
  <c r="BC48" i="14"/>
  <c r="BC47" i="14"/>
  <c r="BD44" i="14"/>
  <c r="BC42" i="14"/>
  <c r="BC41" i="14"/>
  <c r="BC40" i="14"/>
  <c r="BC39" i="14"/>
  <c r="BC38" i="14"/>
  <c r="BC36" i="14"/>
  <c r="BC35" i="14"/>
  <c r="BC31" i="14"/>
  <c r="BC30" i="14"/>
  <c r="BC29" i="14"/>
  <c r="BC27" i="14"/>
  <c r="BC26" i="14"/>
  <c r="BC25" i="14"/>
  <c r="BC24" i="14"/>
  <c r="BC19" i="14"/>
  <c r="BC18" i="14"/>
  <c r="BD17" i="14"/>
  <c r="BD21" i="14" s="1"/>
  <c r="BC16" i="14"/>
  <c r="BC15" i="14"/>
  <c r="BC14" i="14"/>
  <c r="BC13" i="14"/>
  <c r="BC12" i="14"/>
  <c r="BC11" i="14"/>
  <c r="BC9" i="14"/>
  <c r="BC8" i="14"/>
  <c r="BC7" i="14"/>
  <c r="BC6" i="14"/>
  <c r="BC5" i="14"/>
  <c r="BC4" i="14"/>
  <c r="BC37" i="13"/>
  <c r="BC28" i="14" l="1"/>
  <c r="BC70" i="14"/>
  <c r="BC76" i="14"/>
  <c r="BC64" i="14"/>
  <c r="BC65" i="14" s="1"/>
  <c r="BD34" i="17"/>
  <c r="BD43" i="17" s="1"/>
  <c r="BC43" i="17" s="1"/>
  <c r="BC62" i="46"/>
  <c r="BC65" i="46" s="1"/>
  <c r="BC54" i="17"/>
  <c r="BC80" i="17"/>
  <c r="BC22" i="17"/>
  <c r="BC58" i="17"/>
  <c r="BD12" i="17"/>
  <c r="BC77" i="17"/>
  <c r="BC34" i="17"/>
  <c r="BC11" i="17"/>
  <c r="BD54" i="14"/>
  <c r="BD72" i="14"/>
  <c r="BD77" i="14" s="1"/>
  <c r="BK14" i="13"/>
  <c r="BK15" i="13"/>
  <c r="BC103" i="13"/>
  <c r="BC104" i="13" s="1"/>
  <c r="BC101" i="13"/>
  <c r="BC90" i="13"/>
  <c r="BD89" i="13"/>
  <c r="BD88" i="13"/>
  <c r="BD87" i="13"/>
  <c r="BD86" i="13"/>
  <c r="BD85" i="13"/>
  <c r="BD77" i="17" s="1"/>
  <c r="BD81" i="13"/>
  <c r="BC81" i="13"/>
  <c r="BC78" i="13"/>
  <c r="BD77" i="13"/>
  <c r="BC77" i="13"/>
  <c r="BC75" i="13"/>
  <c r="BD74" i="13"/>
  <c r="BD73" i="13"/>
  <c r="BC70" i="13"/>
  <c r="BC68" i="13"/>
  <c r="BD67" i="13"/>
  <c r="BE70" i="13" s="1"/>
  <c r="BD65" i="13"/>
  <c r="BC65" i="13"/>
  <c r="BD62" i="13"/>
  <c r="BC62" i="13"/>
  <c r="BD59" i="13"/>
  <c r="BC59" i="13"/>
  <c r="BD48" i="13"/>
  <c r="BD47" i="13"/>
  <c r="BD43" i="13"/>
  <c r="BI43" i="13" s="1"/>
  <c r="BD33" i="13"/>
  <c r="BD32" i="13"/>
  <c r="BC26" i="13"/>
  <c r="BD25" i="13"/>
  <c r="BD24" i="13"/>
  <c r="BD23" i="13"/>
  <c r="BC21" i="13"/>
  <c r="BD20" i="13"/>
  <c r="BC8" i="13"/>
  <c r="BC24" i="2"/>
  <c r="BC41" i="2"/>
  <c r="BC40" i="2"/>
  <c r="BD37" i="2"/>
  <c r="BC36" i="2"/>
  <c r="BD22" i="2"/>
  <c r="BC21" i="2"/>
  <c r="BD13" i="2"/>
  <c r="BC12" i="2"/>
  <c r="BD27" i="73"/>
  <c r="BD29" i="73" s="1"/>
  <c r="BD12" i="13" s="1"/>
  <c r="AY12" i="73"/>
  <c r="BD12" i="73"/>
  <c r="BC26" i="73"/>
  <c r="BD23" i="73"/>
  <c r="BC22" i="73"/>
  <c r="BD15" i="73"/>
  <c r="BD10" i="73"/>
  <c r="BC9" i="73"/>
  <c r="BD7" i="73"/>
  <c r="BC6" i="73"/>
  <c r="BD4" i="73"/>
  <c r="BC3" i="73"/>
  <c r="BG70" i="13" l="1"/>
  <c r="BC81" i="17"/>
  <c r="BD101" i="13"/>
  <c r="BD66" i="17"/>
  <c r="BD67" i="17"/>
  <c r="BD13" i="73"/>
  <c r="BC43" i="2"/>
  <c r="BC13" i="13" s="1"/>
  <c r="BC60" i="17"/>
  <c r="BD24" i="17"/>
  <c r="BC24" i="17" s="1"/>
  <c r="BC12" i="17"/>
  <c r="BD60" i="17"/>
  <c r="BD74" i="14"/>
  <c r="BD73" i="14"/>
  <c r="BD90" i="13"/>
  <c r="BC102" i="13"/>
  <c r="BD19" i="73"/>
  <c r="BD16" i="73"/>
  <c r="BD3" i="13" s="1"/>
  <c r="BD24" i="73"/>
  <c r="BD61" i="17" l="1"/>
  <c r="BC45" i="2"/>
  <c r="BD32" i="73"/>
  <c r="BC61" i="17"/>
  <c r="BD28" i="76" l="1"/>
  <c r="BD16" i="13" s="1"/>
  <c r="BD22" i="76"/>
  <c r="BC14" i="76"/>
  <c r="BD11" i="76"/>
  <c r="BD10" i="76"/>
  <c r="BC9" i="76"/>
  <c r="BD7" i="76"/>
  <c r="BC6" i="76"/>
  <c r="BD4" i="76"/>
  <c r="BC3" i="76"/>
  <c r="BD23" i="76" l="1"/>
  <c r="BI11" i="76"/>
  <c r="BI15" i="76" s="1"/>
  <c r="BI28" i="76" s="1"/>
  <c r="BK28" i="76" s="1"/>
  <c r="BD15" i="76"/>
  <c r="BD31" i="76" s="1"/>
  <c r="BD18" i="76"/>
  <c r="BD7" i="13" l="1"/>
  <c r="AF112" i="15" l="1"/>
  <c r="BI113" i="13"/>
  <c r="AF85" i="16"/>
  <c r="AF8" i="16" s="1"/>
  <c r="AF50" i="16"/>
  <c r="AF2" i="16"/>
  <c r="AF102" i="15"/>
  <c r="AF78" i="15"/>
  <c r="AF71" i="15"/>
  <c r="AF47" i="15"/>
  <c r="AF33" i="18"/>
  <c r="AF2" i="18"/>
  <c r="AF194" i="45"/>
  <c r="AF33" i="74"/>
  <c r="AF2" i="74"/>
  <c r="AF47" i="10"/>
  <c r="AF2" i="10"/>
  <c r="AF32" i="75"/>
  <c r="AF2" i="75"/>
  <c r="AB82" i="16"/>
  <c r="AB80" i="16"/>
  <c r="AB69" i="16"/>
  <c r="AB66" i="16"/>
  <c r="AB65" i="16"/>
  <c r="AB53" i="16"/>
  <c r="AB52" i="16"/>
  <c r="AB49" i="16"/>
  <c r="AB48" i="16"/>
  <c r="AB47" i="16"/>
  <c r="AB41" i="16"/>
  <c r="AB39" i="16"/>
  <c r="AB36" i="16"/>
  <c r="AB31" i="16"/>
  <c r="AB30" i="16"/>
  <c r="AB29" i="16"/>
  <c r="AB28" i="16"/>
  <c r="AB27" i="16"/>
  <c r="AB26" i="16"/>
  <c r="AB25" i="16"/>
  <c r="AB19" i="16"/>
  <c r="AB9" i="16"/>
  <c r="AB8" i="16"/>
  <c r="AB7" i="16"/>
  <c r="AB6" i="16"/>
  <c r="AB113" i="18"/>
  <c r="AB111" i="18"/>
  <c r="AB109" i="18"/>
  <c r="AB100" i="18"/>
  <c r="AB96" i="18"/>
  <c r="AB93" i="18"/>
  <c r="AB91" i="18"/>
  <c r="AB88" i="18"/>
  <c r="AB77" i="18"/>
  <c r="AB72" i="18"/>
  <c r="AB68" i="18"/>
  <c r="AB67" i="18"/>
  <c r="AB66" i="18"/>
  <c r="AB65" i="18"/>
  <c r="AB64" i="18"/>
  <c r="AB70" i="15"/>
  <c r="AB48" i="15"/>
  <c r="AB43" i="15"/>
  <c r="AC43" i="15" s="1"/>
  <c r="AB38" i="15"/>
  <c r="AB32" i="15"/>
  <c r="AC32" i="15" s="1"/>
  <c r="AB25" i="15"/>
  <c r="AB24" i="15"/>
  <c r="AB23" i="15"/>
  <c r="AC23" i="15" s="1"/>
  <c r="AB21" i="15"/>
  <c r="AB20" i="15"/>
  <c r="AB8" i="15"/>
  <c r="AB6" i="15"/>
  <c r="AB5" i="15"/>
  <c r="AB37" i="74"/>
  <c r="AB36" i="74"/>
  <c r="AB18" i="74"/>
  <c r="AB13" i="74"/>
  <c r="AB22" i="10"/>
  <c r="AB13" i="10"/>
  <c r="AB14" i="75"/>
  <c r="AB12" i="75"/>
  <c r="AB10" i="75"/>
  <c r="AB9" i="75"/>
  <c r="AB7" i="75"/>
  <c r="AB6" i="75"/>
  <c r="AB4" i="75"/>
  <c r="AB3" i="75"/>
  <c r="BG41" i="14"/>
  <c r="BG113" i="13" s="1"/>
  <c r="BG28" i="14"/>
  <c r="BG27" i="14"/>
  <c r="BG26" i="14"/>
  <c r="BG19" i="14"/>
  <c r="BG9" i="14"/>
  <c r="BG7" i="14"/>
  <c r="BG6" i="14"/>
  <c r="BG43" i="13"/>
  <c r="BG25" i="13"/>
  <c r="BF25" i="13"/>
  <c r="BG21" i="13"/>
  <c r="BG102" i="13" s="1"/>
  <c r="BF102" i="13"/>
  <c r="BH20" i="13"/>
  <c r="BG80" i="14"/>
  <c r="BG78" i="13" s="1"/>
  <c r="BF77" i="13"/>
  <c r="BG65" i="14"/>
  <c r="BG47" i="13"/>
  <c r="BG72" i="17"/>
  <c r="BG94" i="13"/>
  <c r="BG38" i="13"/>
  <c r="BG21" i="2"/>
  <c r="BG12" i="2"/>
  <c r="BG17" i="13"/>
  <c r="BF17" i="13"/>
  <c r="BG87" i="14"/>
  <c r="BG18" i="14" s="1"/>
  <c r="BF87" i="14"/>
  <c r="BG50" i="14"/>
  <c r="BF50" i="14"/>
  <c r="BG7" i="2"/>
  <c r="BE15" i="2" l="1"/>
  <c r="BF15" i="2" s="1"/>
  <c r="BF113" i="13"/>
  <c r="AB3" i="10"/>
  <c r="BE3" i="2"/>
  <c r="BF3" i="2" s="1"/>
  <c r="BE113" i="13"/>
  <c r="AB15" i="10"/>
  <c r="BG22" i="13"/>
  <c r="BG26" i="13" s="1"/>
  <c r="BG101" i="13"/>
  <c r="BG79" i="14"/>
  <c r="BG77" i="13" s="1"/>
  <c r="BF78" i="13"/>
  <c r="BF101" i="13"/>
  <c r="BG85" i="14"/>
  <c r="BG26" i="2"/>
  <c r="BG51" i="2" s="1"/>
  <c r="BE18" i="2" l="1"/>
  <c r="BF9" i="2"/>
  <c r="BF18" i="2"/>
  <c r="BF103" i="13"/>
  <c r="BF104" i="13" s="1"/>
  <c r="BG103" i="13"/>
  <c r="BG104" i="13" s="1"/>
  <c r="BE9" i="2"/>
  <c r="BF26" i="13"/>
  <c r="BG30" i="2"/>
  <c r="BG4" i="13" s="1"/>
  <c r="BG50" i="2"/>
  <c r="BF30" i="2"/>
  <c r="BE51" i="2"/>
  <c r="BE50" i="2"/>
  <c r="BF50" i="2"/>
  <c r="BF51" i="2"/>
  <c r="BF4" i="13" l="1"/>
  <c r="BF46" i="2"/>
  <c r="BG43" i="2"/>
  <c r="BG13" i="13" s="1"/>
  <c r="BG36" i="2" l="1"/>
  <c r="BG38" i="2" s="1"/>
  <c r="BF13" i="13"/>
  <c r="BG33" i="2"/>
  <c r="BG37" i="2" l="1"/>
  <c r="BF33" i="2"/>
  <c r="BI89" i="14" l="1"/>
  <c r="AB89" i="16" s="1"/>
  <c r="BI88" i="14"/>
  <c r="BH87" i="14"/>
  <c r="BH18" i="14" s="1"/>
  <c r="BI18" i="14" s="1"/>
  <c r="AB18" i="16" s="1"/>
  <c r="BI84" i="14"/>
  <c r="AB84" i="16" s="1"/>
  <c r="BI83" i="14"/>
  <c r="AB83" i="16" s="1"/>
  <c r="BH47" i="13"/>
  <c r="BI47" i="13" s="1"/>
  <c r="AB47" i="15" s="1"/>
  <c r="BI59" i="14"/>
  <c r="AB59" i="16" s="1"/>
  <c r="BH53" i="14"/>
  <c r="BH52" i="14"/>
  <c r="BI50" i="14"/>
  <c r="AB50" i="16" s="1"/>
  <c r="BH49" i="14"/>
  <c r="BH48" i="14"/>
  <c r="BH47" i="14"/>
  <c r="BH41" i="14"/>
  <c r="BH39" i="14"/>
  <c r="BH36" i="14"/>
  <c r="BH31" i="14"/>
  <c r="BH30" i="14"/>
  <c r="BH29" i="14"/>
  <c r="BH28" i="14"/>
  <c r="BH27" i="14"/>
  <c r="BH26" i="14"/>
  <c r="BH25" i="14"/>
  <c r="BH19" i="14"/>
  <c r="BH9" i="14"/>
  <c r="BH8" i="14"/>
  <c r="BH7" i="14"/>
  <c r="BH6" i="14"/>
  <c r="BI106" i="13"/>
  <c r="BI101" i="13"/>
  <c r="AB101" i="15" s="1"/>
  <c r="BI88" i="13"/>
  <c r="AB88" i="15" s="1"/>
  <c r="BI78" i="13"/>
  <c r="AB78" i="15" s="1"/>
  <c r="BH78" i="13"/>
  <c r="BH70" i="13"/>
  <c r="BH48" i="13"/>
  <c r="BH43" i="13"/>
  <c r="BI33" i="13"/>
  <c r="AB33" i="15" s="1"/>
  <c r="BH32" i="13"/>
  <c r="BH25" i="13"/>
  <c r="BH24" i="13"/>
  <c r="BH23" i="13"/>
  <c r="BI22" i="13"/>
  <c r="BI103" i="13" s="1"/>
  <c r="BH21" i="13"/>
  <c r="BH102" i="13" s="1"/>
  <c r="BI102" i="13" s="1"/>
  <c r="AB102" i="15" s="1"/>
  <c r="BH17" i="13"/>
  <c r="BI60" i="46"/>
  <c r="AB60" i="45" s="1"/>
  <c r="BI14" i="46"/>
  <c r="AB14" i="45" s="1"/>
  <c r="BI12" i="46"/>
  <c r="AB12" i="45" s="1"/>
  <c r="BI33" i="73"/>
  <c r="AB33" i="74" s="1"/>
  <c r="BI27" i="73"/>
  <c r="AB27" i="74" s="1"/>
  <c r="BI26" i="73"/>
  <c r="AB26" i="74" s="1"/>
  <c r="BI15" i="73"/>
  <c r="AB15" i="74" s="1"/>
  <c r="BI41" i="2"/>
  <c r="AB41" i="10" s="1"/>
  <c r="BI40" i="2"/>
  <c r="AB40" i="10" s="1"/>
  <c r="BI29" i="2"/>
  <c r="AB29" i="10" s="1"/>
  <c r="BI24" i="2"/>
  <c r="AB24" i="10" s="1"/>
  <c r="BG15" i="2"/>
  <c r="BH7" i="2"/>
  <c r="BI32" i="76"/>
  <c r="AB32" i="75" s="1"/>
  <c r="BI26" i="76"/>
  <c r="AB26" i="75" s="1"/>
  <c r="BI25" i="76"/>
  <c r="AB25" i="75" s="1"/>
  <c r="BH14" i="76"/>
  <c r="BI2" i="76"/>
  <c r="BH2" i="76"/>
  <c r="BG2" i="76"/>
  <c r="BF2" i="76"/>
  <c r="BE2" i="76"/>
  <c r="BI2" i="2"/>
  <c r="BH2" i="2"/>
  <c r="BG2" i="2"/>
  <c r="BF2" i="2"/>
  <c r="BE2" i="2"/>
  <c r="BI2" i="73"/>
  <c r="BH2" i="73"/>
  <c r="BG2" i="73"/>
  <c r="BF2" i="73"/>
  <c r="BE2" i="73"/>
  <c r="BI2" i="46"/>
  <c r="BH2" i="46"/>
  <c r="BG2" i="46"/>
  <c r="BF2" i="46"/>
  <c r="BE2" i="46"/>
  <c r="BI2" i="14"/>
  <c r="BH2" i="14"/>
  <c r="BG2" i="14"/>
  <c r="BF2" i="14"/>
  <c r="BE2" i="14"/>
  <c r="BI2" i="17"/>
  <c r="BH2" i="17"/>
  <c r="BG2" i="17"/>
  <c r="BF2" i="17"/>
  <c r="BE2" i="17"/>
  <c r="BB12" i="73"/>
  <c r="BB26" i="2"/>
  <c r="BG27" i="2" s="1"/>
  <c r="BB11" i="76"/>
  <c r="BG12" i="73" l="1"/>
  <c r="AB103" i="15"/>
  <c r="BH113" i="13"/>
  <c r="BI87" i="14"/>
  <c r="AB87" i="16" s="1"/>
  <c r="AB88" i="16"/>
  <c r="BG11" i="76"/>
  <c r="BG35" i="76" s="1"/>
  <c r="BI26" i="13"/>
  <c r="AB22" i="15"/>
  <c r="AB26" i="15" s="1"/>
  <c r="BH101" i="13"/>
  <c r="BG16" i="73"/>
  <c r="BG18" i="2"/>
  <c r="BH85" i="14"/>
  <c r="BI85" i="14" s="1"/>
  <c r="AB85" i="16" s="1"/>
  <c r="BH50" i="14"/>
  <c r="BH22" i="13"/>
  <c r="BI104" i="13"/>
  <c r="AJ47" i="74"/>
  <c r="AI45" i="74"/>
  <c r="AJ45" i="74" s="1"/>
  <c r="BI16" i="2"/>
  <c r="AB16" i="10" s="1"/>
  <c r="BI4" i="2"/>
  <c r="AB4" i="10" s="1"/>
  <c r="BG36" i="76" l="1"/>
  <c r="BG15" i="76"/>
  <c r="BG7" i="13" s="1"/>
  <c r="AB104" i="15"/>
  <c r="BG29" i="73"/>
  <c r="BG3" i="13"/>
  <c r="BH103" i="13"/>
  <c r="BH104" i="13" s="1"/>
  <c r="BH26" i="13"/>
  <c r="AX48" i="76"/>
  <c r="AZ48" i="76"/>
  <c r="BA48" i="76"/>
  <c r="BB48" i="76"/>
  <c r="AW48" i="76"/>
  <c r="AY52" i="76"/>
  <c r="AX52" i="76"/>
  <c r="AW52" i="76"/>
  <c r="BA52" i="76"/>
  <c r="AZ52" i="76"/>
  <c r="BB52" i="76"/>
  <c r="BB85" i="14"/>
  <c r="BB62" i="46"/>
  <c r="BB63" i="46"/>
  <c r="BB64" i="46"/>
  <c r="BB30" i="17"/>
  <c r="BB77" i="17" s="1"/>
  <c r="BB11" i="17"/>
  <c r="BB12" i="17" s="1"/>
  <c r="BB80" i="17"/>
  <c r="BB67" i="17"/>
  <c r="BB66" i="17"/>
  <c r="BB54" i="17"/>
  <c r="BB58" i="17" s="1"/>
  <c r="BB41" i="17"/>
  <c r="BB22" i="17"/>
  <c r="BB37" i="14"/>
  <c r="BB20" i="14"/>
  <c r="BB88" i="14"/>
  <c r="BB87" i="14" s="1"/>
  <c r="BB80" i="14"/>
  <c r="BB78" i="13" s="1"/>
  <c r="BB76" i="14"/>
  <c r="BB70" i="14"/>
  <c r="BB64" i="14"/>
  <c r="BB65" i="14" s="1"/>
  <c r="BB50" i="14"/>
  <c r="BB32" i="14"/>
  <c r="BB17" i="14"/>
  <c r="BB31" i="13"/>
  <c r="BB37" i="13"/>
  <c r="BB101" i="13"/>
  <c r="BB90" i="13"/>
  <c r="BB81" i="13"/>
  <c r="BB77" i="13"/>
  <c r="BB75" i="13"/>
  <c r="BB70" i="13"/>
  <c r="BG71" i="13" s="1"/>
  <c r="BB68" i="13"/>
  <c r="BB65" i="13"/>
  <c r="BB62" i="13"/>
  <c r="BB59" i="13"/>
  <c r="BB26" i="13"/>
  <c r="BB21" i="13"/>
  <c r="BB102" i="13" s="1"/>
  <c r="BB27" i="73"/>
  <c r="BB23" i="73"/>
  <c r="BB7" i="73"/>
  <c r="BB4" i="73"/>
  <c r="BB43" i="2"/>
  <c r="BB37" i="2"/>
  <c r="BB30" i="2"/>
  <c r="BG31" i="2" s="1"/>
  <c r="BB33" i="2"/>
  <c r="BG34" i="2" s="1"/>
  <c r="BB13" i="2"/>
  <c r="BB7" i="2"/>
  <c r="BB10" i="76"/>
  <c r="BB28" i="76"/>
  <c r="BB23" i="76"/>
  <c r="BB22" i="76"/>
  <c r="BB15" i="76"/>
  <c r="BB36" i="76"/>
  <c r="BB7" i="76"/>
  <c r="BB4" i="76"/>
  <c r="BG28" i="76" l="1"/>
  <c r="BG16" i="13" s="1"/>
  <c r="BG16" i="76"/>
  <c r="BB29" i="73"/>
  <c r="BC27" i="73"/>
  <c r="BC29" i="73" s="1"/>
  <c r="BB44" i="14"/>
  <c r="BC37" i="14"/>
  <c r="BB199" i="46"/>
  <c r="BB81" i="17"/>
  <c r="BG9" i="13"/>
  <c r="BG86" i="13" s="1"/>
  <c r="BG12" i="13"/>
  <c r="BG30" i="73"/>
  <c r="BG22" i="73"/>
  <c r="BB13" i="13"/>
  <c r="BG44" i="2"/>
  <c r="BG21" i="76"/>
  <c r="AZ49" i="76"/>
  <c r="BB16" i="13"/>
  <c r="AX49" i="76"/>
  <c r="BB12" i="13"/>
  <c r="BB21" i="14"/>
  <c r="BB54" i="14" s="1"/>
  <c r="BB34" i="17"/>
  <c r="BB43" i="17" s="1"/>
  <c r="BB60" i="17" s="1"/>
  <c r="BB4" i="13"/>
  <c r="BB7" i="13"/>
  <c r="BB49" i="76"/>
  <c r="BA49" i="76"/>
  <c r="BB65" i="46"/>
  <c r="BB24" i="17"/>
  <c r="BB103" i="13"/>
  <c r="BB104" i="13" s="1"/>
  <c r="BB22" i="2"/>
  <c r="BB38" i="2"/>
  <c r="BB46" i="2"/>
  <c r="BG47" i="2" s="1"/>
  <c r="BB31" i="76"/>
  <c r="BG32" i="76" s="1"/>
  <c r="BB18" i="76"/>
  <c r="BB35" i="76"/>
  <c r="BG29" i="76" l="1"/>
  <c r="BG18" i="13"/>
  <c r="BG28" i="13" s="1"/>
  <c r="BG112" i="13" s="1"/>
  <c r="BC12" i="13"/>
  <c r="BB72" i="14"/>
  <c r="BG31" i="17"/>
  <c r="BG7" i="17"/>
  <c r="BG8" i="17"/>
  <c r="BG24" i="14"/>
  <c r="BG32" i="14" s="1"/>
  <c r="BG11" i="17"/>
  <c r="BG87" i="13"/>
  <c r="BG93" i="13"/>
  <c r="BG85" i="13" s="1"/>
  <c r="BG29" i="17" s="1"/>
  <c r="BG24" i="73"/>
  <c r="BG23" i="73"/>
  <c r="BG19" i="73"/>
  <c r="BG22" i="76"/>
  <c r="BG23" i="76"/>
  <c r="BG18" i="76"/>
  <c r="BG19" i="76" s="1"/>
  <c r="BB18" i="13"/>
  <c r="BB61" i="17"/>
  <c r="BG29" i="13" l="1"/>
  <c r="BB28" i="13"/>
  <c r="BB77" i="14"/>
  <c r="BB74" i="14"/>
  <c r="BG9" i="17"/>
  <c r="BG71" i="17" s="1"/>
  <c r="BG30" i="17"/>
  <c r="BG73" i="17" s="1"/>
  <c r="BG89" i="13"/>
  <c r="BG90" i="13" s="1"/>
  <c r="BG91" i="13" s="1"/>
  <c r="BB82" i="13"/>
  <c r="BB82" i="17" l="1"/>
  <c r="BB34" i="13"/>
  <c r="BB38" i="13" l="1"/>
  <c r="BB40" i="13"/>
  <c r="BB44" i="13" s="1"/>
  <c r="BB73" i="14" l="1"/>
  <c r="BB55" i="13"/>
  <c r="BB49" i="13"/>
  <c r="BB52" i="13"/>
  <c r="BB53" i="13" l="1"/>
  <c r="BB56" i="13"/>
  <c r="BA43" i="14"/>
  <c r="BC43" i="14" s="1"/>
  <c r="BC44" i="14" s="1"/>
  <c r="BA12" i="73"/>
  <c r="BA30" i="17"/>
  <c r="BA85" i="14"/>
  <c r="BF16" i="73" l="1"/>
  <c r="BF32" i="73" s="1"/>
  <c r="BI21" i="2"/>
  <c r="AB21" i="10" s="1"/>
  <c r="BA62" i="46"/>
  <c r="BA63" i="46"/>
  <c r="BA64" i="46"/>
  <c r="BA11" i="17"/>
  <c r="BA80" i="17"/>
  <c r="BA77" i="17"/>
  <c r="BA67" i="17"/>
  <c r="BA66" i="17"/>
  <c r="BA54" i="17"/>
  <c r="BA58" i="17" s="1"/>
  <c r="BA41" i="17"/>
  <c r="BA34" i="17"/>
  <c r="BA22" i="17"/>
  <c r="BA20" i="14"/>
  <c r="BA88" i="14"/>
  <c r="BA87" i="14" s="1"/>
  <c r="BA80" i="14"/>
  <c r="BA78" i="13" s="1"/>
  <c r="BA76" i="14"/>
  <c r="BA70" i="14"/>
  <c r="BA64" i="14"/>
  <c r="BA65" i="14" s="1"/>
  <c r="BA50" i="14"/>
  <c r="BA44" i="14"/>
  <c r="BA32" i="14"/>
  <c r="BA17" i="14"/>
  <c r="BA31" i="13"/>
  <c r="BA37" i="13"/>
  <c r="BA101" i="13"/>
  <c r="BA90" i="13"/>
  <c r="BA81" i="13"/>
  <c r="BA77" i="13"/>
  <c r="BA75" i="13"/>
  <c r="BA70" i="13"/>
  <c r="BF71" i="13" s="1"/>
  <c r="BA68" i="13"/>
  <c r="BA65" i="13"/>
  <c r="BA62" i="13"/>
  <c r="BA59" i="13"/>
  <c r="BA26" i="13"/>
  <c r="BA21" i="13"/>
  <c r="BA102" i="13" s="1"/>
  <c r="BA10" i="73"/>
  <c r="AW12" i="73"/>
  <c r="AV12" i="73"/>
  <c r="BA13" i="73" s="1"/>
  <c r="BA29" i="73"/>
  <c r="BA24" i="73"/>
  <c r="BA23" i="73"/>
  <c r="BA19" i="73"/>
  <c r="BA16" i="73"/>
  <c r="BA3" i="13" s="1"/>
  <c r="BA7" i="73"/>
  <c r="BA4" i="73"/>
  <c r="BA28" i="76"/>
  <c r="BF29" i="76" s="1"/>
  <c r="BA22" i="76"/>
  <c r="BA7" i="76"/>
  <c r="BA4" i="76"/>
  <c r="BA43" i="2"/>
  <c r="BF44" i="2" s="1"/>
  <c r="BA37" i="2"/>
  <c r="BA13" i="2"/>
  <c r="BA7" i="2"/>
  <c r="BA12" i="13" l="1"/>
  <c r="BF34" i="73"/>
  <c r="BF30" i="73"/>
  <c r="BF91" i="13"/>
  <c r="BA16" i="13"/>
  <c r="BA21" i="14"/>
  <c r="BF55" i="2"/>
  <c r="BE55" i="2"/>
  <c r="BG55" i="2"/>
  <c r="BF17" i="73"/>
  <c r="BF3" i="13"/>
  <c r="BH21" i="2"/>
  <c r="BH55" i="2" s="1"/>
  <c r="BA13" i="13"/>
  <c r="BA81" i="17"/>
  <c r="BA199" i="46"/>
  <c r="BA65" i="46"/>
  <c r="BA43" i="17"/>
  <c r="BA60" i="17" s="1"/>
  <c r="BA12" i="17"/>
  <c r="BA24" i="17" s="1"/>
  <c r="BA54" i="14"/>
  <c r="BA103" i="13"/>
  <c r="BA104" i="13" s="1"/>
  <c r="BA32" i="73"/>
  <c r="BF33" i="73" s="1"/>
  <c r="BA72" i="14" l="1"/>
  <c r="BA77" i="14" s="1"/>
  <c r="BF12" i="13"/>
  <c r="BA18" i="13"/>
  <c r="BI55" i="2"/>
  <c r="BA28" i="13"/>
  <c r="BA61" i="17"/>
  <c r="BA34" i="13" l="1"/>
  <c r="BA74" i="14"/>
  <c r="BF19" i="73"/>
  <c r="BF20" i="73" s="1"/>
  <c r="BA82" i="13"/>
  <c r="BA38" i="13"/>
  <c r="BA40" i="13"/>
  <c r="BA44" i="13" s="1"/>
  <c r="BA82" i="17" l="1"/>
  <c r="BA73" i="14"/>
  <c r="BA52" i="13"/>
  <c r="BA55" i="13"/>
  <c r="BA49" i="13"/>
  <c r="BA53" i="13" l="1"/>
  <c r="BA56" i="13"/>
  <c r="AZ26" i="2" l="1"/>
  <c r="BE27" i="2" s="1"/>
  <c r="AZ22" i="2"/>
  <c r="AZ13" i="2"/>
  <c r="AZ7" i="2"/>
  <c r="AZ12" i="73"/>
  <c r="AZ10" i="73"/>
  <c r="AZ7" i="73"/>
  <c r="AZ4" i="73"/>
  <c r="AZ11" i="76"/>
  <c r="AZ10" i="76"/>
  <c r="AZ7" i="76"/>
  <c r="AZ4" i="76"/>
  <c r="BE12" i="76" l="1"/>
  <c r="BE13" i="73"/>
  <c r="BM13" i="73"/>
  <c r="BN13" i="73" s="1"/>
  <c r="BC12" i="73"/>
  <c r="BM12" i="73" s="1"/>
  <c r="BQ68" i="17"/>
  <c r="AZ31" i="13"/>
  <c r="AZ64" i="46"/>
  <c r="AZ63" i="46"/>
  <c r="AZ62" i="46"/>
  <c r="AZ30" i="17"/>
  <c r="AZ34" i="17" s="1"/>
  <c r="AZ11" i="17"/>
  <c r="AZ12" i="17" s="1"/>
  <c r="AZ80" i="17"/>
  <c r="AZ67" i="17"/>
  <c r="AZ66" i="17"/>
  <c r="AZ54" i="17"/>
  <c r="AZ58" i="17" s="1"/>
  <c r="AZ41" i="17"/>
  <c r="AZ22" i="17"/>
  <c r="AZ85" i="14"/>
  <c r="AZ20" i="14"/>
  <c r="BC20" i="14" s="1"/>
  <c r="AZ88" i="14"/>
  <c r="AZ87" i="14" s="1"/>
  <c r="AZ80" i="14"/>
  <c r="AZ76" i="14"/>
  <c r="AZ70" i="14"/>
  <c r="AZ64" i="14"/>
  <c r="AZ50" i="14"/>
  <c r="BC50" i="14" s="1"/>
  <c r="AZ44" i="14"/>
  <c r="AZ32" i="14"/>
  <c r="BC32" i="14" s="1"/>
  <c r="AZ17" i="14"/>
  <c r="AZ37" i="13"/>
  <c r="BD31" i="13" l="1"/>
  <c r="BD37" i="13"/>
  <c r="AZ81" i="17"/>
  <c r="AZ21" i="14"/>
  <c r="AZ54" i="14" s="1"/>
  <c r="BC17" i="14"/>
  <c r="BC21" i="14" s="1"/>
  <c r="AZ65" i="14"/>
  <c r="BD64" i="14"/>
  <c r="BD65" i="14" s="1"/>
  <c r="BC19" i="73"/>
  <c r="BC24" i="73"/>
  <c r="BC16" i="73"/>
  <c r="AZ65" i="46"/>
  <c r="AZ199" i="46"/>
  <c r="AZ77" i="17"/>
  <c r="AZ43" i="17"/>
  <c r="AZ60" i="17" s="1"/>
  <c r="AZ24" i="17"/>
  <c r="BC72" i="14" l="1"/>
  <c r="AZ72" i="14"/>
  <c r="BC54" i="14"/>
  <c r="BC32" i="73"/>
  <c r="BC3" i="13"/>
  <c r="AZ62" i="17"/>
  <c r="AZ61" i="17"/>
  <c r="BC73" i="14" l="1"/>
  <c r="BC74" i="14"/>
  <c r="BC77" i="14"/>
  <c r="AZ77" i="14"/>
  <c r="AZ74" i="14"/>
  <c r="AZ101" i="13"/>
  <c r="AZ90" i="13"/>
  <c r="AZ81" i="13"/>
  <c r="AZ78" i="13"/>
  <c r="AZ77" i="13"/>
  <c r="AZ75" i="13"/>
  <c r="AZ68" i="13"/>
  <c r="AZ65" i="13"/>
  <c r="AZ62" i="13"/>
  <c r="AZ59" i="13"/>
  <c r="AZ26" i="13"/>
  <c r="AZ21" i="13"/>
  <c r="AZ29" i="73"/>
  <c r="AZ24" i="73"/>
  <c r="AZ23" i="73"/>
  <c r="AZ51" i="2"/>
  <c r="AZ43" i="2"/>
  <c r="AZ38" i="2"/>
  <c r="AZ37" i="2"/>
  <c r="AZ30" i="2"/>
  <c r="BE31" i="2" s="1"/>
  <c r="BD43" i="2" l="1"/>
  <c r="BE44" i="2"/>
  <c r="BE91" i="13"/>
  <c r="BE30" i="73"/>
  <c r="AZ102" i="13"/>
  <c r="BD102" i="13" s="1"/>
  <c r="BD21" i="13"/>
  <c r="BD22" i="13" s="1"/>
  <c r="BD13" i="13"/>
  <c r="AZ12" i="13"/>
  <c r="AZ13" i="13"/>
  <c r="AZ4" i="13"/>
  <c r="AZ103" i="13"/>
  <c r="AZ104" i="13" s="1"/>
  <c r="AZ19" i="73"/>
  <c r="BE20" i="73" s="1"/>
  <c r="AZ16" i="73"/>
  <c r="BE17" i="73" s="1"/>
  <c r="AZ46" i="2"/>
  <c r="BE47" i="2" s="1"/>
  <c r="AZ33" i="2"/>
  <c r="BE34" i="2" s="1"/>
  <c r="AZ50" i="2"/>
  <c r="BE34" i="73" l="1"/>
  <c r="BD103" i="13"/>
  <c r="BD104" i="13" s="1"/>
  <c r="BD26" i="13"/>
  <c r="AZ3" i="13"/>
  <c r="AZ32" i="73"/>
  <c r="BE33" i="73" s="1"/>
  <c r="AZ28" i="76" l="1"/>
  <c r="AZ23" i="76"/>
  <c r="AZ22" i="76"/>
  <c r="AZ15" i="76"/>
  <c r="AZ36" i="76"/>
  <c r="AY11" i="76"/>
  <c r="BD12" i="76" s="1"/>
  <c r="AW11" i="76"/>
  <c r="AV11" i="76"/>
  <c r="BE29" i="76" l="1"/>
  <c r="BC28" i="76"/>
  <c r="AZ16" i="13"/>
  <c r="BB12" i="76"/>
  <c r="AZ7" i="13"/>
  <c r="AZ35" i="76"/>
  <c r="AZ31" i="76"/>
  <c r="AZ18" i="76"/>
  <c r="BC16" i="13" l="1"/>
  <c r="BC21" i="76"/>
  <c r="AZ9" i="13"/>
  <c r="AZ71" i="17" s="1"/>
  <c r="AZ65" i="17" l="1"/>
  <c r="AZ64" i="17"/>
  <c r="AZ68" i="17"/>
  <c r="AZ74" i="17"/>
  <c r="AZ69" i="14"/>
  <c r="AZ72" i="17"/>
  <c r="AZ93" i="13"/>
  <c r="AZ94" i="13" s="1"/>
  <c r="AZ98" i="13"/>
  <c r="AZ97" i="13"/>
  <c r="AZ73" i="17"/>
  <c r="BC17" i="46"/>
  <c r="AY30" i="17" l="1"/>
  <c r="AX30" i="17" s="1"/>
  <c r="AY11" i="17"/>
  <c r="AY20" i="14"/>
  <c r="AX58" i="14"/>
  <c r="AX53" i="14"/>
  <c r="AX52" i="14"/>
  <c r="AY50" i="14"/>
  <c r="AX49" i="14"/>
  <c r="AX48" i="14"/>
  <c r="AX47" i="14"/>
  <c r="AY44" i="14"/>
  <c r="AX42" i="14"/>
  <c r="AX41" i="14"/>
  <c r="AX40" i="14"/>
  <c r="AX39" i="14"/>
  <c r="AX38" i="14"/>
  <c r="AX37" i="14"/>
  <c r="AX36" i="14"/>
  <c r="AX35" i="14"/>
  <c r="AX31" i="14"/>
  <c r="AX30" i="14"/>
  <c r="AX29" i="14"/>
  <c r="AX28" i="14"/>
  <c r="AX27" i="14"/>
  <c r="AX26" i="14"/>
  <c r="AX25" i="14"/>
  <c r="AX24" i="14"/>
  <c r="AX19" i="14"/>
  <c r="AX18" i="14"/>
  <c r="AY17" i="14"/>
  <c r="AX16" i="14"/>
  <c r="AX15" i="14"/>
  <c r="AX14" i="14"/>
  <c r="AX13" i="14"/>
  <c r="AX12" i="14"/>
  <c r="AX11" i="14"/>
  <c r="AX9" i="14"/>
  <c r="AX8" i="14"/>
  <c r="AX7" i="14"/>
  <c r="AX6" i="14"/>
  <c r="AX5" i="14"/>
  <c r="AX4" i="14"/>
  <c r="AX66" i="14"/>
  <c r="AY76" i="14"/>
  <c r="AY79" i="14"/>
  <c r="BD80" i="14" s="1"/>
  <c r="BD78" i="13" s="1"/>
  <c r="AY80" i="17"/>
  <c r="AY81" i="17" s="1"/>
  <c r="AX56" i="17"/>
  <c r="AY54" i="17"/>
  <c r="AY58" i="17" s="1"/>
  <c r="AX58" i="17" s="1"/>
  <c r="AX53" i="17"/>
  <c r="AX52" i="17"/>
  <c r="AX51" i="17"/>
  <c r="AX50" i="17"/>
  <c r="AX49" i="17"/>
  <c r="AX45" i="17"/>
  <c r="AY41" i="17"/>
  <c r="AX41" i="17" s="1"/>
  <c r="AX40" i="17"/>
  <c r="AX39" i="17"/>
  <c r="AX38" i="17"/>
  <c r="AX37" i="17"/>
  <c r="AX33" i="17"/>
  <c r="AX32" i="17"/>
  <c r="AX31" i="17"/>
  <c r="AX29" i="17"/>
  <c r="AX66" i="17" s="1"/>
  <c r="AX28" i="17"/>
  <c r="AX64" i="46" s="1"/>
  <c r="AY22" i="17"/>
  <c r="AX21" i="17"/>
  <c r="AX20" i="17"/>
  <c r="AX19" i="17"/>
  <c r="AX18" i="17"/>
  <c r="AX17" i="17"/>
  <c r="AX16" i="17"/>
  <c r="AX15" i="17"/>
  <c r="AX10" i="17"/>
  <c r="AX9" i="17"/>
  <c r="AX8" i="17"/>
  <c r="AX7" i="17"/>
  <c r="AX6" i="17"/>
  <c r="AX5" i="17"/>
  <c r="AX37" i="13"/>
  <c r="AY21" i="14" l="1"/>
  <c r="AY34" i="17"/>
  <c r="AX67" i="17"/>
  <c r="AX76" i="14"/>
  <c r="AY32" i="14"/>
  <c r="AX34" i="17"/>
  <c r="AX80" i="17"/>
  <c r="AX54" i="17"/>
  <c r="AX22" i="17"/>
  <c r="AX77" i="17"/>
  <c r="AY12" i="17"/>
  <c r="AY43" i="17"/>
  <c r="AX43" i="17" s="1"/>
  <c r="AX60" i="17" s="1"/>
  <c r="AX11" i="17"/>
  <c r="AX81" i="17" l="1"/>
  <c r="AY54" i="14"/>
  <c r="AY24" i="17"/>
  <c r="AX24" i="17" s="1"/>
  <c r="AX61" i="17" s="1"/>
  <c r="AX12" i="17"/>
  <c r="AY60" i="17"/>
  <c r="AY61" i="17" l="1"/>
  <c r="AX199" i="46" l="1"/>
  <c r="AX90" i="13"/>
  <c r="AY89" i="13"/>
  <c r="AY88" i="13"/>
  <c r="AY87" i="13"/>
  <c r="AY86" i="13"/>
  <c r="AY85" i="13"/>
  <c r="AY77" i="13"/>
  <c r="AX77" i="13"/>
  <c r="AX75" i="13"/>
  <c r="AY74" i="13"/>
  <c r="BD75" i="13" s="1"/>
  <c r="AY73" i="13"/>
  <c r="AX70" i="13"/>
  <c r="BC71" i="13" s="1"/>
  <c r="AX68" i="13"/>
  <c r="AY67" i="13"/>
  <c r="AY65" i="13"/>
  <c r="AX65" i="13"/>
  <c r="AY62" i="13"/>
  <c r="AX62" i="13"/>
  <c r="AY59" i="13"/>
  <c r="AX59" i="13"/>
  <c r="AY48" i="13"/>
  <c r="AY47" i="13"/>
  <c r="AY33" i="13"/>
  <c r="AX26" i="13"/>
  <c r="AY25" i="13"/>
  <c r="AY24" i="13"/>
  <c r="AY23" i="13"/>
  <c r="AX21" i="13"/>
  <c r="AY20" i="13"/>
  <c r="AX8" i="13"/>
  <c r="AY27" i="73"/>
  <c r="AX9" i="73"/>
  <c r="AX6" i="73"/>
  <c r="AX3" i="73"/>
  <c r="AX26" i="73"/>
  <c r="AY24" i="73"/>
  <c r="AY23" i="73"/>
  <c r="AX22" i="73"/>
  <c r="BC23" i="73" s="1"/>
  <c r="AY19" i="73"/>
  <c r="BD20" i="73" s="1"/>
  <c r="AY15" i="73"/>
  <c r="AY16" i="73" s="1"/>
  <c r="AY13" i="73"/>
  <c r="AY7" i="73"/>
  <c r="AY4" i="73"/>
  <c r="AY41" i="2"/>
  <c r="AX40" i="2"/>
  <c r="AY37" i="2"/>
  <c r="AX36" i="2"/>
  <c r="BC37" i="2" s="1"/>
  <c r="AY29" i="2"/>
  <c r="AX24" i="2"/>
  <c r="AY13" i="2"/>
  <c r="AX12" i="2"/>
  <c r="BC13" i="2" s="1"/>
  <c r="AY26" i="76"/>
  <c r="AX9" i="76"/>
  <c r="AX6" i="76"/>
  <c r="AX3" i="76"/>
  <c r="AY28" i="76"/>
  <c r="AY23" i="76"/>
  <c r="AY22" i="76"/>
  <c r="AY18" i="76"/>
  <c r="BD19" i="76" s="1"/>
  <c r="AY12" i="76"/>
  <c r="AY7" i="76"/>
  <c r="AY4" i="76"/>
  <c r="AY16" i="13" l="1"/>
  <c r="BD29" i="76"/>
  <c r="BC91" i="13"/>
  <c r="BD68" i="13"/>
  <c r="BD70" i="13"/>
  <c r="AX4" i="73"/>
  <c r="BC4" i="73"/>
  <c r="AX7" i="73"/>
  <c r="BC7" i="73"/>
  <c r="AX10" i="73"/>
  <c r="BC10" i="73"/>
  <c r="BD17" i="73"/>
  <c r="AY3" i="13"/>
  <c r="AY67" i="17"/>
  <c r="AY66" i="17"/>
  <c r="AY77" i="17"/>
  <c r="AZ70" i="13"/>
  <c r="BE71" i="13" s="1"/>
  <c r="AY90" i="13"/>
  <c r="BD91" i="13" s="1"/>
  <c r="AY29" i="73"/>
  <c r="BD30" i="73" s="1"/>
  <c r="AY10" i="73"/>
  <c r="AY10" i="76"/>
  <c r="BI71" i="13" l="1"/>
  <c r="AA70" i="15"/>
  <c r="AB71" i="15" s="1"/>
  <c r="BD34" i="73"/>
  <c r="AY12" i="13"/>
  <c r="AY32" i="73"/>
  <c r="BD33" i="73" s="1"/>
  <c r="AE112" i="15" l="1"/>
  <c r="BD113" i="13"/>
  <c r="BB113" i="13"/>
  <c r="BA113" i="13"/>
  <c r="AZ113" i="13"/>
  <c r="AX113" i="13"/>
  <c r="AE33" i="18"/>
  <c r="AE102" i="15"/>
  <c r="AE78" i="15"/>
  <c r="AE71" i="15"/>
  <c r="AE47" i="15"/>
  <c r="AE85" i="16"/>
  <c r="AE8" i="16" s="1"/>
  <c r="AE50" i="16"/>
  <c r="AE2" i="16"/>
  <c r="AE2" i="18"/>
  <c r="AC71" i="15"/>
  <c r="AE33" i="74"/>
  <c r="AE2" i="74"/>
  <c r="AE47" i="10"/>
  <c r="AE2" i="10"/>
  <c r="AE32" i="75"/>
  <c r="AE2" i="75"/>
  <c r="AE126" i="15"/>
  <c r="AA82" i="16" l="1"/>
  <c r="AA80" i="16"/>
  <c r="AA66" i="16"/>
  <c r="AA65" i="16"/>
  <c r="AA53" i="16"/>
  <c r="AA52" i="16"/>
  <c r="AA49" i="16"/>
  <c r="AA48" i="16"/>
  <c r="AA47" i="16"/>
  <c r="AA41" i="16"/>
  <c r="AA39" i="16"/>
  <c r="AA36" i="16"/>
  <c r="AA31" i="16"/>
  <c r="AA30" i="16"/>
  <c r="AA29" i="16"/>
  <c r="AA28" i="16"/>
  <c r="AA27" i="16"/>
  <c r="AA26" i="16"/>
  <c r="AA25" i="16"/>
  <c r="AA19" i="16"/>
  <c r="AA9" i="16"/>
  <c r="AA8" i="16"/>
  <c r="AA7" i="16"/>
  <c r="AA6" i="16"/>
  <c r="AA113" i="18"/>
  <c r="AA111" i="18"/>
  <c r="AA109" i="18"/>
  <c r="AA100" i="18"/>
  <c r="AA96" i="18"/>
  <c r="AA93" i="18"/>
  <c r="AA91" i="18"/>
  <c r="AA88" i="18"/>
  <c r="AA77" i="18"/>
  <c r="AA67" i="18"/>
  <c r="AA66" i="18"/>
  <c r="AA48" i="15"/>
  <c r="AA43" i="15"/>
  <c r="AD43" i="15" s="1"/>
  <c r="AE43" i="15" s="1"/>
  <c r="AA32" i="15"/>
  <c r="AA25" i="15"/>
  <c r="AA24" i="15"/>
  <c r="AC24" i="15" s="1"/>
  <c r="AD24" i="15" s="1"/>
  <c r="AE24" i="15" s="1"/>
  <c r="AF24" i="15" s="1"/>
  <c r="AA23" i="15"/>
  <c r="AD23" i="15" s="1"/>
  <c r="AE23" i="15" s="1"/>
  <c r="AF23" i="15" s="1"/>
  <c r="AA21" i="15"/>
  <c r="AA20" i="15"/>
  <c r="AA8" i="15"/>
  <c r="AA6" i="15"/>
  <c r="AA5" i="15"/>
  <c r="AA18" i="74"/>
  <c r="AA13" i="74"/>
  <c r="AA11" i="74"/>
  <c r="AA10" i="74"/>
  <c r="AA9" i="74"/>
  <c r="AA7" i="74"/>
  <c r="AA6" i="74"/>
  <c r="AA4" i="74"/>
  <c r="AA3" i="74"/>
  <c r="AA22" i="10"/>
  <c r="AA13" i="10"/>
  <c r="AA14" i="75"/>
  <c r="AA12" i="75"/>
  <c r="AA10" i="75"/>
  <c r="AA9" i="75"/>
  <c r="AA7" i="75"/>
  <c r="AA6" i="75"/>
  <c r="AA4" i="75"/>
  <c r="AA3" i="75"/>
  <c r="AF43" i="15" l="1"/>
  <c r="AA3" i="10" l="1"/>
  <c r="AZ3" i="2"/>
  <c r="BE4" i="2" s="1"/>
  <c r="AA15" i="10"/>
  <c r="AZ15" i="2"/>
  <c r="BE16" i="2" s="1"/>
  <c r="AZ9" i="2" l="1"/>
  <c r="BE10" i="2" s="1"/>
  <c r="BA3" i="2"/>
  <c r="BF4" i="2" s="1"/>
  <c r="AZ18" i="2"/>
  <c r="BE19" i="2" s="1"/>
  <c r="BA15" i="2"/>
  <c r="BB15" i="2" l="1"/>
  <c r="BG16" i="2" s="1"/>
  <c r="BF16" i="2"/>
  <c r="BB3" i="2"/>
  <c r="BG3" i="2" s="1"/>
  <c r="BB18" i="2"/>
  <c r="BG19" i="2" s="1"/>
  <c r="BA9" i="2"/>
  <c r="BF10" i="2" s="1"/>
  <c r="BB51" i="2"/>
  <c r="BB9" i="2" l="1"/>
  <c r="BG9" i="2"/>
  <c r="BH3" i="2"/>
  <c r="BB50" i="2"/>
  <c r="BG10" i="2" l="1"/>
  <c r="BD89" i="14"/>
  <c r="AA89" i="16" s="1"/>
  <c r="BD88" i="14"/>
  <c r="AA88" i="16" s="1"/>
  <c r="BD84" i="14"/>
  <c r="AA84" i="16" s="1"/>
  <c r="BD83" i="14"/>
  <c r="AA83" i="16" s="1"/>
  <c r="AA47" i="15"/>
  <c r="AA59" i="16"/>
  <c r="AA50" i="16"/>
  <c r="BD2" i="14"/>
  <c r="BC2" i="14"/>
  <c r="BB2" i="14"/>
  <c r="BA2" i="14"/>
  <c r="AZ2" i="14"/>
  <c r="BD2" i="17"/>
  <c r="BC2" i="17"/>
  <c r="BB2" i="17"/>
  <c r="BA2" i="17"/>
  <c r="AZ2" i="17"/>
  <c r="BD106" i="13"/>
  <c r="AA88" i="15"/>
  <c r="AA78" i="15"/>
  <c r="BH71" i="13"/>
  <c r="AA33" i="15"/>
  <c r="AA22" i="15"/>
  <c r="AA26" i="15" s="1"/>
  <c r="AA102" i="15"/>
  <c r="AA101" i="15"/>
  <c r="BD60" i="46"/>
  <c r="AA60" i="45" s="1"/>
  <c r="BD12" i="46"/>
  <c r="AA12" i="45" s="1"/>
  <c r="BD2" i="46"/>
  <c r="BC2" i="46"/>
  <c r="BB2" i="46"/>
  <c r="BA2" i="46"/>
  <c r="AZ2" i="46"/>
  <c r="AA33" i="74"/>
  <c r="AA27" i="74"/>
  <c r="AA26" i="74"/>
  <c r="AA15" i="74"/>
  <c r="BD2" i="73"/>
  <c r="BC2" i="73"/>
  <c r="BB2" i="73"/>
  <c r="BA2" i="73"/>
  <c r="AZ2" i="73"/>
  <c r="AA41" i="10"/>
  <c r="AA40" i="10"/>
  <c r="BD29" i="2"/>
  <c r="AA29" i="10" s="1"/>
  <c r="AA24" i="10"/>
  <c r="BC7" i="2"/>
  <c r="BD6" i="2"/>
  <c r="AA6" i="10" s="1"/>
  <c r="BD2" i="2"/>
  <c r="BC2" i="2"/>
  <c r="BB2" i="2"/>
  <c r="BA2" i="2"/>
  <c r="AZ2" i="2"/>
  <c r="AA26" i="75"/>
  <c r="AA25" i="75"/>
  <c r="BD2" i="76"/>
  <c r="BC2" i="76"/>
  <c r="BB2" i="76"/>
  <c r="BA2" i="76"/>
  <c r="AZ2" i="76"/>
  <c r="BC113" i="13" l="1"/>
  <c r="AA103" i="15"/>
  <c r="AA104" i="15" s="1"/>
  <c r="BD87" i="14"/>
  <c r="AA87" i="16" s="1"/>
  <c r="BC87" i="14"/>
  <c r="AA18" i="16" s="1"/>
  <c r="BC85" i="14"/>
  <c r="AW26" i="2"/>
  <c r="BB27" i="2" s="1"/>
  <c r="AW4" i="76"/>
  <c r="AW10" i="76"/>
  <c r="AW7" i="76"/>
  <c r="BD85" i="14" l="1"/>
  <c r="AA85" i="16" s="1"/>
  <c r="AW43" i="13"/>
  <c r="AW32" i="13"/>
  <c r="AW37" i="13"/>
  <c r="AW31" i="13"/>
  <c r="AW80" i="14"/>
  <c r="AW76" i="14"/>
  <c r="AW70" i="14"/>
  <c r="AW64" i="14"/>
  <c r="AW65" i="14" s="1"/>
  <c r="AW50" i="14"/>
  <c r="AW44" i="14"/>
  <c r="AW32" i="14"/>
  <c r="AW88" i="14"/>
  <c r="AW87" i="14" s="1"/>
  <c r="AW17" i="14"/>
  <c r="AW21" i="14" s="1"/>
  <c r="AW64" i="46"/>
  <c r="AW63" i="46"/>
  <c r="AW62" i="46"/>
  <c r="AW30" i="17"/>
  <c r="AW77" i="17" s="1"/>
  <c r="AW11" i="17"/>
  <c r="AW80" i="17"/>
  <c r="AW67" i="17"/>
  <c r="AW66" i="17"/>
  <c r="AW54" i="17"/>
  <c r="AW58" i="17" s="1"/>
  <c r="AW41" i="17"/>
  <c r="AW22" i="17"/>
  <c r="AW29" i="73"/>
  <c r="BB30" i="73" s="1"/>
  <c r="AW24" i="73"/>
  <c r="AW23" i="73"/>
  <c r="AW19" i="73"/>
  <c r="AW16" i="73"/>
  <c r="AW13" i="73"/>
  <c r="AW41" i="2"/>
  <c r="AX41" i="2" s="1"/>
  <c r="AX43" i="2" s="1"/>
  <c r="BC44" i="2" s="1"/>
  <c r="AX45" i="2" l="1"/>
  <c r="AX13" i="13"/>
  <c r="AW72" i="14"/>
  <c r="AW81" i="17"/>
  <c r="AW199" i="46"/>
  <c r="AW54" i="14"/>
  <c r="AW77" i="14"/>
  <c r="AW34" i="17"/>
  <c r="AW43" i="17" s="1"/>
  <c r="AW60" i="17" s="1"/>
  <c r="AW12" i="17"/>
  <c r="AW24" i="17" s="1"/>
  <c r="AW32" i="73"/>
  <c r="AW74" i="14" l="1"/>
  <c r="AW61" i="17"/>
  <c r="AW43" i="2" l="1"/>
  <c r="BB44" i="2" s="1"/>
  <c r="AW37" i="2"/>
  <c r="AW38" i="2"/>
  <c r="AW22" i="2"/>
  <c r="AW13" i="2"/>
  <c r="AW7" i="2"/>
  <c r="AW28" i="76"/>
  <c r="AW23" i="76"/>
  <c r="AW22" i="76"/>
  <c r="AW18" i="76"/>
  <c r="BB19" i="76" s="1"/>
  <c r="AW15" i="76"/>
  <c r="BB16" i="76" s="1"/>
  <c r="AW12" i="76"/>
  <c r="AW90" i="13"/>
  <c r="AW81" i="13"/>
  <c r="AW78" i="13"/>
  <c r="AW77" i="13"/>
  <c r="AW75" i="13"/>
  <c r="AW70" i="13"/>
  <c r="BB71" i="13" s="1"/>
  <c r="AW68" i="13"/>
  <c r="AW65" i="13"/>
  <c r="AW62" i="13"/>
  <c r="AW59" i="13"/>
  <c r="AW26" i="13"/>
  <c r="AW21" i="13"/>
  <c r="BB29" i="76" l="1"/>
  <c r="BB91" i="13"/>
  <c r="AW33" i="2"/>
  <c r="BB34" i="2" s="1"/>
  <c r="AW30" i="2"/>
  <c r="BB31" i="2" s="1"/>
  <c r="AW31" i="76"/>
  <c r="BB32" i="76" s="1"/>
  <c r="AW46" i="2" l="1"/>
  <c r="BB47" i="2" s="1"/>
  <c r="AV26" i="2" l="1"/>
  <c r="AJ30" i="75"/>
  <c r="AJ17" i="75"/>
  <c r="AV199" i="46"/>
  <c r="AV32" i="13"/>
  <c r="AV43" i="13"/>
  <c r="AY43" i="13" s="1"/>
  <c r="AV37" i="13"/>
  <c r="AV90" i="13"/>
  <c r="AV81" i="13"/>
  <c r="AV77" i="13"/>
  <c r="AV75" i="13"/>
  <c r="AV70" i="13"/>
  <c r="BA71" i="13" s="1"/>
  <c r="AV68" i="13"/>
  <c r="AV65" i="13"/>
  <c r="AV62" i="13"/>
  <c r="AV59" i="13"/>
  <c r="AV26" i="13"/>
  <c r="AV21" i="13"/>
  <c r="AV64" i="14"/>
  <c r="AV65" i="14" s="1"/>
  <c r="AV80" i="14"/>
  <c r="AV78" i="13" s="1"/>
  <c r="AV76" i="14"/>
  <c r="AV70" i="14"/>
  <c r="AV50" i="14"/>
  <c r="AV44" i="14"/>
  <c r="AV32" i="14"/>
  <c r="AV88" i="14"/>
  <c r="AV87" i="14" s="1"/>
  <c r="AV17" i="14"/>
  <c r="AV21" i="14" s="1"/>
  <c r="AV30" i="17"/>
  <c r="AV77" i="17" s="1"/>
  <c r="AV11" i="17"/>
  <c r="AV12" i="17" s="1"/>
  <c r="AV80" i="17"/>
  <c r="AV67" i="17"/>
  <c r="AV66" i="17"/>
  <c r="AV54" i="17"/>
  <c r="AV58" i="17" s="1"/>
  <c r="AV41" i="17"/>
  <c r="AV22" i="17"/>
  <c r="AV29" i="73"/>
  <c r="BA30" i="73" s="1"/>
  <c r="AV24" i="73"/>
  <c r="AV23" i="73"/>
  <c r="AV19" i="73"/>
  <c r="BA20" i="73" s="1"/>
  <c r="AV16" i="73"/>
  <c r="AV13" i="73"/>
  <c r="AV43" i="2"/>
  <c r="BA44" i="2" s="1"/>
  <c r="AV37" i="2"/>
  <c r="AV22" i="2"/>
  <c r="AV13" i="2"/>
  <c r="AV7" i="2"/>
  <c r="AV10" i="76"/>
  <c r="AV7" i="76"/>
  <c r="AV4" i="76"/>
  <c r="AU4" i="76"/>
  <c r="AU10" i="76"/>
  <c r="AU7" i="76"/>
  <c r="AV28" i="76"/>
  <c r="BA29" i="76" s="1"/>
  <c r="AV23" i="76"/>
  <c r="AV22" i="76"/>
  <c r="AV18" i="76"/>
  <c r="AV15" i="76"/>
  <c r="AV12" i="76"/>
  <c r="BA91" i="13" l="1"/>
  <c r="BA17" i="73"/>
  <c r="BA34" i="73"/>
  <c r="AV72" i="14"/>
  <c r="AV34" i="17"/>
  <c r="AV43" i="17" s="1"/>
  <c r="AV60" i="17" s="1"/>
  <c r="AV81" i="17"/>
  <c r="AV38" i="2"/>
  <c r="AV54" i="14"/>
  <c r="AV24" i="17"/>
  <c r="AV32" i="73"/>
  <c r="BA33" i="73" s="1"/>
  <c r="AV33" i="2"/>
  <c r="AV30" i="2"/>
  <c r="AV31" i="76"/>
  <c r="AV77" i="14" l="1"/>
  <c r="AV61" i="17"/>
  <c r="AV46" i="2"/>
  <c r="AU12" i="73" l="1"/>
  <c r="AU11" i="76"/>
  <c r="AZ12" i="76" s="1"/>
  <c r="AZ13" i="73" l="1"/>
  <c r="AX12" i="73"/>
  <c r="BC13" i="73" s="1"/>
  <c r="AX24" i="73" l="1"/>
  <c r="AX19" i="73"/>
  <c r="BC20" i="73" s="1"/>
  <c r="AX16" i="73"/>
  <c r="AU32" i="13"/>
  <c r="AY32" i="13" s="1"/>
  <c r="AU31" i="13"/>
  <c r="AY31" i="13" s="1"/>
  <c r="AU37" i="13"/>
  <c r="AY37" i="13" s="1"/>
  <c r="AU43" i="14"/>
  <c r="AU20" i="14"/>
  <c r="AX20" i="14" s="1"/>
  <c r="AU88" i="14"/>
  <c r="AU87" i="14" s="1"/>
  <c r="AU80" i="14"/>
  <c r="AU76" i="14"/>
  <c r="AU70" i="14"/>
  <c r="AU64" i="14"/>
  <c r="AU65" i="14" s="1"/>
  <c r="AU50" i="14"/>
  <c r="AX50" i="14" s="1"/>
  <c r="AU32" i="14"/>
  <c r="AX32" i="14" s="1"/>
  <c r="AU17" i="14"/>
  <c r="AX17" i="14" s="1"/>
  <c r="AU64" i="46"/>
  <c r="AU63" i="46"/>
  <c r="AU62" i="46"/>
  <c r="AU30" i="17"/>
  <c r="AU77" i="17" s="1"/>
  <c r="AU11" i="17"/>
  <c r="AU12" i="17" s="1"/>
  <c r="AU80" i="17"/>
  <c r="AU67" i="17"/>
  <c r="AU66" i="17"/>
  <c r="AU54" i="17"/>
  <c r="AU58" i="17" s="1"/>
  <c r="AU41" i="17"/>
  <c r="AU22" i="17"/>
  <c r="AX21" i="14" l="1"/>
  <c r="BC17" i="73"/>
  <c r="AU44" i="14"/>
  <c r="AX43" i="14"/>
  <c r="AX44" i="14" s="1"/>
  <c r="AX3" i="13"/>
  <c r="AU81" i="17"/>
  <c r="AU199" i="46"/>
  <c r="AU34" i="17"/>
  <c r="AU43" i="17" s="1"/>
  <c r="AU60" i="17" s="1"/>
  <c r="AU21" i="14"/>
  <c r="AU24" i="17"/>
  <c r="AU101" i="13"/>
  <c r="AU90" i="13"/>
  <c r="AZ91" i="13" s="1"/>
  <c r="AU81" i="13"/>
  <c r="AU78" i="13"/>
  <c r="AU77" i="13"/>
  <c r="AU68" i="13"/>
  <c r="AU65" i="13"/>
  <c r="AU62" i="13"/>
  <c r="AU59" i="13"/>
  <c r="AU26" i="13"/>
  <c r="AU21" i="13"/>
  <c r="AU28" i="76"/>
  <c r="AU22" i="76"/>
  <c r="AU26" i="2"/>
  <c r="AZ27" i="2" s="1"/>
  <c r="AU43" i="2"/>
  <c r="AU37" i="2"/>
  <c r="AU13" i="2"/>
  <c r="AU7" i="2"/>
  <c r="AU27" i="73"/>
  <c r="AU24" i="73"/>
  <c r="AU23" i="73"/>
  <c r="AU19" i="73"/>
  <c r="AZ20" i="73" s="1"/>
  <c r="AU16" i="73"/>
  <c r="AU13" i="73"/>
  <c r="AU10" i="73"/>
  <c r="AU7" i="73"/>
  <c r="AU4" i="73"/>
  <c r="AX54" i="14" l="1"/>
  <c r="AU16" i="13"/>
  <c r="AZ29" i="76"/>
  <c r="AZ44" i="2"/>
  <c r="AY43" i="2"/>
  <c r="BD44" i="2" s="1"/>
  <c r="AU29" i="73"/>
  <c r="AU32" i="73" s="1"/>
  <c r="AZ33" i="73" s="1"/>
  <c r="AX27" i="73"/>
  <c r="AX29" i="73" s="1"/>
  <c r="AU102" i="13"/>
  <c r="AY21" i="13"/>
  <c r="AY22" i="13" s="1"/>
  <c r="AY26" i="13" s="1"/>
  <c r="AZ34" i="73"/>
  <c r="AZ17" i="73"/>
  <c r="AU51" i="2"/>
  <c r="AU72" i="14"/>
  <c r="AU54" i="14"/>
  <c r="AU22" i="2"/>
  <c r="AU62" i="17"/>
  <c r="AU3" i="13"/>
  <c r="AU13" i="13"/>
  <c r="AU61" i="17"/>
  <c r="AU75" i="13"/>
  <c r="AU103" i="13"/>
  <c r="AU104" i="13" s="1"/>
  <c r="AU30" i="2"/>
  <c r="AZ31" i="2" s="1"/>
  <c r="AU38" i="2"/>
  <c r="AU33" i="2"/>
  <c r="AZ34" i="2" s="1"/>
  <c r="AU50" i="2"/>
  <c r="BC30" i="73" l="1"/>
  <c r="BC34" i="73"/>
  <c r="AY13" i="13"/>
  <c r="AX12" i="13"/>
  <c r="AX32" i="73"/>
  <c r="BC33" i="73" s="1"/>
  <c r="AU12" i="13"/>
  <c r="AZ30" i="73"/>
  <c r="AU77" i="14"/>
  <c r="AU74" i="14"/>
  <c r="AU46" i="2"/>
  <c r="AZ47" i="2" s="1"/>
  <c r="AU4" i="13"/>
  <c r="AT14" i="76" l="1"/>
  <c r="AT20" i="13" l="1"/>
  <c r="AS24" i="2"/>
  <c r="AR26" i="2"/>
  <c r="AW27" i="2" s="1"/>
  <c r="AQ26" i="2"/>
  <c r="AP26" i="2"/>
  <c r="AU27" i="2" s="1"/>
  <c r="AM26" i="2"/>
  <c r="AL26" i="2"/>
  <c r="AK26" i="2"/>
  <c r="AS186" i="46"/>
  <c r="AT186" i="46" s="1"/>
  <c r="Y186" i="45" s="1"/>
  <c r="AS164" i="46"/>
  <c r="AT164" i="46" s="1"/>
  <c r="Y164" i="45" s="1"/>
  <c r="AS160" i="46"/>
  <c r="AT160" i="46" s="1"/>
  <c r="Y160" i="45" s="1"/>
  <c r="AS156" i="46"/>
  <c r="AT156" i="46" s="1"/>
  <c r="Y156" i="45" s="1"/>
  <c r="AS147" i="46"/>
  <c r="AT147" i="46" s="1"/>
  <c r="Y147" i="45" s="1"/>
  <c r="AS148" i="46"/>
  <c r="AT148" i="46" s="1"/>
  <c r="Y148" i="45" s="1"/>
  <c r="AS143" i="46"/>
  <c r="AT143" i="46" s="1"/>
  <c r="Y143" i="45" s="1"/>
  <c r="AT98" i="46"/>
  <c r="AU98" i="46" s="1"/>
  <c r="AV98" i="46" s="1"/>
  <c r="AW98" i="46" s="1"/>
  <c r="AT94" i="46"/>
  <c r="AU94" i="46" s="1"/>
  <c r="AV94" i="46" s="1"/>
  <c r="AW94" i="46" s="1"/>
  <c r="AX94" i="46" s="1"/>
  <c r="AY94" i="46" s="1"/>
  <c r="AT10" i="46"/>
  <c r="AT13" i="46"/>
  <c r="AU13" i="46" s="1"/>
  <c r="AT17" i="46"/>
  <c r="Y17" i="45" s="1"/>
  <c r="AT18" i="46"/>
  <c r="Y18" i="45" s="1"/>
  <c r="AT26" i="46"/>
  <c r="AT28" i="46"/>
  <c r="AT30" i="46"/>
  <c r="Y30" i="45" s="1"/>
  <c r="AT34" i="46"/>
  <c r="Y34" i="45" s="1"/>
  <c r="AT56" i="46"/>
  <c r="AU56" i="46" s="1"/>
  <c r="AV56" i="46" s="1"/>
  <c r="AW56" i="46" s="1"/>
  <c r="AX56" i="46" s="1"/>
  <c r="AY56" i="46" s="1"/>
  <c r="AT57" i="46"/>
  <c r="AT60" i="46"/>
  <c r="AT124" i="46"/>
  <c r="AU124" i="46" s="1"/>
  <c r="AV124" i="46" s="1"/>
  <c r="AW124" i="46" s="1"/>
  <c r="AT85" i="46"/>
  <c r="AU85" i="46" s="1"/>
  <c r="AT86" i="46"/>
  <c r="Y86" i="45" s="1"/>
  <c r="AT81" i="46"/>
  <c r="Y81" i="45" s="1"/>
  <c r="AT102" i="46"/>
  <c r="AJ38" i="74"/>
  <c r="AJ30" i="74" s="1"/>
  <c r="AJ28" i="75"/>
  <c r="AJ15" i="75"/>
  <c r="AJ18" i="74"/>
  <c r="BJ16" i="13"/>
  <c r="BJ7" i="13"/>
  <c r="BJ13" i="13"/>
  <c r="BJ4" i="13"/>
  <c r="BJ3" i="13"/>
  <c r="BJ12" i="13"/>
  <c r="AT13" i="2"/>
  <c r="AS12" i="2"/>
  <c r="AX13" i="2" s="1"/>
  <c r="AE15" i="10"/>
  <c r="AF15" i="10" s="1"/>
  <c r="AF16" i="10" s="1"/>
  <c r="AE3" i="10"/>
  <c r="AF3" i="10" s="1"/>
  <c r="AF4" i="10" s="1"/>
  <c r="BD4" i="2"/>
  <c r="AA4" i="10" s="1"/>
  <c r="AE16" i="10" l="1"/>
  <c r="AE4" i="10"/>
  <c r="Z94" i="45"/>
  <c r="AZ94" i="46"/>
  <c r="Z56" i="45"/>
  <c r="AZ56" i="46"/>
  <c r="BA56" i="46" s="1"/>
  <c r="BB56" i="46" s="1"/>
  <c r="BC56" i="46" s="1"/>
  <c r="BD56" i="46" s="1"/>
  <c r="BD16" i="2"/>
  <c r="AA16" i="10" s="1"/>
  <c r="AV27" i="2"/>
  <c r="AU3" i="2"/>
  <c r="AZ4" i="2" s="1"/>
  <c r="AU15" i="2"/>
  <c r="AU17" i="46"/>
  <c r="AV17" i="46" s="1"/>
  <c r="AW17" i="46" s="1"/>
  <c r="AX17" i="46" s="1"/>
  <c r="AU18" i="46"/>
  <c r="AV18" i="46" s="1"/>
  <c r="AW18" i="46" s="1"/>
  <c r="AX18" i="46" s="1"/>
  <c r="Y85" i="45"/>
  <c r="AU30" i="46"/>
  <c r="AV30" i="46" s="1"/>
  <c r="AW30" i="46" s="1"/>
  <c r="AX30" i="46" s="1"/>
  <c r="AY30" i="46" s="1"/>
  <c r="Y56" i="45"/>
  <c r="Y124" i="45"/>
  <c r="AX98" i="46"/>
  <c r="AD17" i="45"/>
  <c r="AE17" i="45" s="1"/>
  <c r="AF17" i="45" s="1"/>
  <c r="AV85" i="46"/>
  <c r="Y26" i="45"/>
  <c r="AU26" i="46"/>
  <c r="AV186" i="46"/>
  <c r="Y98" i="45"/>
  <c r="AU102" i="46"/>
  <c r="Y102" i="45"/>
  <c r="AX124" i="46"/>
  <c r="AW186" i="46"/>
  <c r="AU186" i="46"/>
  <c r="Y13" i="45"/>
  <c r="AU81" i="46"/>
  <c r="AU143" i="46" s="1"/>
  <c r="AU34" i="46"/>
  <c r="AV34" i="46" s="1"/>
  <c r="AW34" i="46" s="1"/>
  <c r="AX34" i="46" s="1"/>
  <c r="AY34" i="46" s="1"/>
  <c r="Y94" i="45"/>
  <c r="AU86" i="46"/>
  <c r="AJ31" i="75"/>
  <c r="AK33" i="75" s="1"/>
  <c r="AJ18" i="75"/>
  <c r="AS31" i="13"/>
  <c r="AS37" i="13"/>
  <c r="AS89" i="14"/>
  <c r="AT89" i="14" s="1"/>
  <c r="AS84" i="14"/>
  <c r="AT84" i="14" s="1"/>
  <c r="AS83" i="14"/>
  <c r="AT83" i="14" s="1"/>
  <c r="AS80" i="14"/>
  <c r="AS66" i="14"/>
  <c r="AT43" i="14"/>
  <c r="AT28" i="14"/>
  <c r="AS28" i="14" s="1"/>
  <c r="AT76" i="14"/>
  <c r="AT70" i="14"/>
  <c r="AS58" i="14"/>
  <c r="AS53" i="14"/>
  <c r="AS52" i="14"/>
  <c r="AT50" i="14"/>
  <c r="AS41" i="14"/>
  <c r="AS40" i="14"/>
  <c r="AS38" i="14"/>
  <c r="AS37" i="14"/>
  <c r="AS35" i="14"/>
  <c r="AS31" i="14"/>
  <c r="AS30" i="14"/>
  <c r="AS29" i="14"/>
  <c r="AS27" i="14"/>
  <c r="AS26" i="14"/>
  <c r="AS25" i="14"/>
  <c r="AS24" i="14"/>
  <c r="AS20" i="14"/>
  <c r="AS19" i="14"/>
  <c r="AT17" i="14"/>
  <c r="AT21" i="14" s="1"/>
  <c r="AT72" i="14" s="1"/>
  <c r="AS16" i="14"/>
  <c r="AS15" i="14"/>
  <c r="AS14" i="14"/>
  <c r="AS13" i="14"/>
  <c r="AS12" i="14"/>
  <c r="AS11" i="14"/>
  <c r="AS8" i="14"/>
  <c r="AS7" i="14"/>
  <c r="AS6" i="14"/>
  <c r="AS5" i="14"/>
  <c r="AS4" i="14"/>
  <c r="AT30" i="17"/>
  <c r="AS30" i="17" s="1"/>
  <c r="AS77" i="17" s="1"/>
  <c r="AO11" i="17"/>
  <c r="AT11" i="17"/>
  <c r="AT80" i="17"/>
  <c r="AT81" i="17" s="1"/>
  <c r="AS56" i="17"/>
  <c r="AT54" i="17"/>
  <c r="AT58" i="17" s="1"/>
  <c r="AS53" i="17"/>
  <c r="AS52" i="17"/>
  <c r="AS51" i="17"/>
  <c r="AS50" i="17"/>
  <c r="AS49" i="17"/>
  <c r="AS45" i="17"/>
  <c r="AT41" i="17"/>
  <c r="AS41" i="17" s="1"/>
  <c r="AS40" i="17"/>
  <c r="AS39" i="17"/>
  <c r="AS38" i="17"/>
  <c r="AS37" i="17"/>
  <c r="AS33" i="17"/>
  <c r="AS63" i="46" s="1"/>
  <c r="AS32" i="17"/>
  <c r="AS31" i="17"/>
  <c r="AS29" i="17"/>
  <c r="AS66" i="17" s="1"/>
  <c r="AS28" i="17"/>
  <c r="AT22" i="17"/>
  <c r="AS21" i="17"/>
  <c r="AS20" i="17"/>
  <c r="AS19" i="17"/>
  <c r="AS18" i="17"/>
  <c r="AS17" i="17"/>
  <c r="AS16" i="17"/>
  <c r="AS15" i="17"/>
  <c r="AS10" i="17"/>
  <c r="AS9" i="17"/>
  <c r="AS67" i="17" s="1"/>
  <c r="AS8" i="17"/>
  <c r="AS7" i="17"/>
  <c r="AS6" i="17"/>
  <c r="AS5" i="17"/>
  <c r="AU148" i="46" l="1"/>
  <c r="AA56" i="45"/>
  <c r="BE56" i="46"/>
  <c r="BF56" i="46" s="1"/>
  <c r="BG56" i="46" s="1"/>
  <c r="BH56" i="46" s="1"/>
  <c r="BI56" i="46" s="1"/>
  <c r="AB56" i="45" s="1"/>
  <c r="AC56" i="45" s="1"/>
  <c r="AD56" i="45" s="1"/>
  <c r="AE56" i="45" s="1"/>
  <c r="AF56" i="45" s="1"/>
  <c r="AY18" i="46"/>
  <c r="Z18" i="45" s="1"/>
  <c r="AZ18" i="46"/>
  <c r="BA18" i="46" s="1"/>
  <c r="BB18" i="46" s="1"/>
  <c r="BD18" i="46" s="1"/>
  <c r="AY17" i="46"/>
  <c r="Z17" i="45" s="1"/>
  <c r="AZ17" i="46"/>
  <c r="AV15" i="2"/>
  <c r="AZ16" i="2"/>
  <c r="Z34" i="45"/>
  <c r="AZ34" i="46"/>
  <c r="BA34" i="46" s="1"/>
  <c r="BB34" i="46" s="1"/>
  <c r="BC34" i="46" s="1"/>
  <c r="BD34" i="46" s="1"/>
  <c r="Z30" i="45"/>
  <c r="AZ30" i="46"/>
  <c r="BA30" i="46" s="1"/>
  <c r="BB30" i="46" s="1"/>
  <c r="BC30" i="46" s="1"/>
  <c r="BD30" i="46" s="1"/>
  <c r="BE30" i="46" s="1"/>
  <c r="BA94" i="46"/>
  <c r="AV3" i="2"/>
  <c r="BA4" i="2" s="1"/>
  <c r="BC15" i="2"/>
  <c r="AU9" i="2"/>
  <c r="AZ10" i="2" s="1"/>
  <c r="AU18" i="2"/>
  <c r="AZ19" i="2" s="1"/>
  <c r="AU147" i="46"/>
  <c r="AK34" i="75"/>
  <c r="AT32" i="14"/>
  <c r="AW160" i="46"/>
  <c r="AU160" i="46"/>
  <c r="AV160" i="46"/>
  <c r="AS64" i="46"/>
  <c r="AT64" i="46" s="1"/>
  <c r="AS62" i="46"/>
  <c r="AY124" i="46"/>
  <c r="AX186" i="46"/>
  <c r="AY186" i="46" s="1"/>
  <c r="Z186" i="45" s="1"/>
  <c r="AY98" i="46"/>
  <c r="AX160" i="46"/>
  <c r="AV81" i="46"/>
  <c r="AW85" i="46"/>
  <c r="AV147" i="46"/>
  <c r="AV86" i="46"/>
  <c r="AV102" i="46"/>
  <c r="AU164" i="46"/>
  <c r="AV26" i="46"/>
  <c r="AU156" i="46"/>
  <c r="AS199" i="46"/>
  <c r="AS82" i="14"/>
  <c r="AT34" i="17"/>
  <c r="AT43" i="17" s="1"/>
  <c r="AS43" i="17" s="1"/>
  <c r="AT82" i="14"/>
  <c r="AT79" i="14"/>
  <c r="AS76" i="14"/>
  <c r="AT63" i="46"/>
  <c r="AS64" i="14"/>
  <c r="AS65" i="14" s="1"/>
  <c r="AT73" i="14"/>
  <c r="AT77" i="14"/>
  <c r="AS70" i="14"/>
  <c r="AT44" i="14"/>
  <c r="AS34" i="17"/>
  <c r="AS22" i="17"/>
  <c r="AS80" i="17"/>
  <c r="AS58" i="17"/>
  <c r="AS54" i="17"/>
  <c r="AT12" i="17"/>
  <c r="AS12" i="17" s="1"/>
  <c r="AS11" i="17"/>
  <c r="AS103" i="13"/>
  <c r="AS104" i="13" s="1"/>
  <c r="AS101" i="13"/>
  <c r="AS90" i="13"/>
  <c r="AX91" i="13" s="1"/>
  <c r="AT89" i="13"/>
  <c r="AT88" i="13"/>
  <c r="AT87" i="13"/>
  <c r="AT86" i="13"/>
  <c r="AT85" i="13"/>
  <c r="AS78" i="13"/>
  <c r="AS77" i="13"/>
  <c r="AT73" i="13"/>
  <c r="AS70" i="13"/>
  <c r="AX71" i="13" s="1"/>
  <c r="AS68" i="13"/>
  <c r="AT67" i="13"/>
  <c r="AS65" i="13"/>
  <c r="AS62" i="13"/>
  <c r="AT74" i="14"/>
  <c r="AS59" i="13"/>
  <c r="AT48" i="13"/>
  <c r="AT33" i="13"/>
  <c r="AT31" i="13"/>
  <c r="AS26" i="13"/>
  <c r="AT24" i="13"/>
  <c r="AT23" i="13"/>
  <c r="AS21" i="13"/>
  <c r="AS102" i="13" s="1"/>
  <c r="AT27" i="73"/>
  <c r="AS26" i="73"/>
  <c r="AT15" i="73"/>
  <c r="AT16" i="73" s="1"/>
  <c r="AY17" i="73" s="1"/>
  <c r="AT24" i="73"/>
  <c r="AT23" i="73"/>
  <c r="AS22" i="73"/>
  <c r="AX23" i="73" s="1"/>
  <c r="AT19" i="73"/>
  <c r="AY20" i="73" s="1"/>
  <c r="AT13" i="73"/>
  <c r="AS12" i="73"/>
  <c r="AX13" i="73" s="1"/>
  <c r="AT10" i="73"/>
  <c r="AS10" i="73"/>
  <c r="AT7" i="73"/>
  <c r="AS7" i="73"/>
  <c r="AT4" i="73"/>
  <c r="AS4" i="73"/>
  <c r="AQ54" i="2"/>
  <c r="AR54" i="2"/>
  <c r="AS54" i="2"/>
  <c r="AT41" i="2"/>
  <c r="AS41" i="2" s="1"/>
  <c r="AY16" i="2"/>
  <c r="AS40" i="2"/>
  <c r="AT37" i="2"/>
  <c r="AS36" i="2"/>
  <c r="AX37" i="2" s="1"/>
  <c r="AT29" i="2"/>
  <c r="AS7" i="2"/>
  <c r="AT6" i="2"/>
  <c r="AQ41" i="76"/>
  <c r="AR41" i="76"/>
  <c r="AS40" i="76"/>
  <c r="AS39" i="76"/>
  <c r="AT36" i="76"/>
  <c r="AT35" i="76"/>
  <c r="AT28" i="76"/>
  <c r="AY29" i="76" s="1"/>
  <c r="AS26" i="76"/>
  <c r="AS25" i="76"/>
  <c r="AT23" i="76"/>
  <c r="AT22" i="76"/>
  <c r="AS21" i="76"/>
  <c r="AT18" i="76"/>
  <c r="AY19" i="76" s="1"/>
  <c r="AT15" i="76"/>
  <c r="AT12" i="76"/>
  <c r="AS11" i="76"/>
  <c r="AT10" i="76"/>
  <c r="AS10" i="76"/>
  <c r="AT7" i="76"/>
  <c r="AS7" i="76"/>
  <c r="AT4" i="76"/>
  <c r="AS4" i="76"/>
  <c r="BE18" i="46" l="1"/>
  <c r="BI18" i="46" s="1"/>
  <c r="AB18" i="45" s="1"/>
  <c r="AA18" i="45"/>
  <c r="AA34" i="45"/>
  <c r="BE34" i="46"/>
  <c r="BF34" i="46" s="1"/>
  <c r="BG34" i="46" s="1"/>
  <c r="BH34" i="46" s="1"/>
  <c r="BI34" i="46" s="1"/>
  <c r="AB34" i="45" s="1"/>
  <c r="AA30" i="45"/>
  <c r="BF30" i="46"/>
  <c r="BG30" i="46" s="1"/>
  <c r="BH30" i="46" s="1"/>
  <c r="BI30" i="46" s="1"/>
  <c r="AB30" i="45" s="1"/>
  <c r="AC30" i="45" s="1"/>
  <c r="AD30" i="45" s="1"/>
  <c r="AE30" i="45" s="1"/>
  <c r="AF30" i="45" s="1"/>
  <c r="AD18" i="45"/>
  <c r="AE18" i="45" s="1"/>
  <c r="AF18" i="45" s="1"/>
  <c r="AC34" i="45"/>
  <c r="AD34" i="45" s="1"/>
  <c r="AE34" i="45" s="1"/>
  <c r="AF34" i="45" s="1"/>
  <c r="AT77" i="13"/>
  <c r="AY80" i="14"/>
  <c r="AY78" i="13" s="1"/>
  <c r="AU70" i="13"/>
  <c r="AZ71" i="13" s="1"/>
  <c r="AY68" i="13"/>
  <c r="AY70" i="13"/>
  <c r="BD71" i="13" s="1"/>
  <c r="AW15" i="2"/>
  <c r="BB16" i="2" s="1"/>
  <c r="BA16" i="2"/>
  <c r="AV18" i="2"/>
  <c r="Z98" i="45"/>
  <c r="AZ98" i="46"/>
  <c r="BB94" i="46"/>
  <c r="BA17" i="46"/>
  <c r="BD17" i="46" s="1"/>
  <c r="Z124" i="45"/>
  <c r="AZ124" i="46"/>
  <c r="AW3" i="2"/>
  <c r="BB4" i="2" s="1"/>
  <c r="AV9" i="2"/>
  <c r="BA10" i="2" s="1"/>
  <c r="AT54" i="14"/>
  <c r="AY160" i="46"/>
  <c r="Z160" i="45" s="1"/>
  <c r="AW86" i="46"/>
  <c r="AV148" i="46"/>
  <c r="AW26" i="46"/>
  <c r="AV156" i="46"/>
  <c r="AS36" i="76"/>
  <c r="AS81" i="17"/>
  <c r="AW102" i="46"/>
  <c r="AV164" i="46"/>
  <c r="AX85" i="46"/>
  <c r="AW147" i="46"/>
  <c r="AW81" i="46"/>
  <c r="AV143" i="46"/>
  <c r="AY13" i="46"/>
  <c r="AS41" i="76"/>
  <c r="AT67" i="17"/>
  <c r="AT66" i="17"/>
  <c r="AT77" i="17"/>
  <c r="AT29" i="73"/>
  <c r="AS60" i="17"/>
  <c r="AT60" i="17"/>
  <c r="AT24" i="17"/>
  <c r="AS24" i="17" s="1"/>
  <c r="AT90" i="13"/>
  <c r="AY91" i="13" s="1"/>
  <c r="AS24" i="73"/>
  <c r="AS16" i="73"/>
  <c r="AX17" i="73" s="1"/>
  <c r="AS19" i="73"/>
  <c r="AX20" i="73" s="1"/>
  <c r="AS43" i="2"/>
  <c r="AX44" i="2" s="1"/>
  <c r="AS23" i="76"/>
  <c r="AT31" i="76"/>
  <c r="AS35" i="76"/>
  <c r="AS28" i="76"/>
  <c r="AS42" i="76" s="1"/>
  <c r="AS15" i="76"/>
  <c r="AS18" i="76"/>
  <c r="BE17" i="46" l="1"/>
  <c r="BI17" i="46" s="1"/>
  <c r="AB17" i="45" s="1"/>
  <c r="AA17" i="45"/>
  <c r="AW18" i="2"/>
  <c r="BB19" i="2" s="1"/>
  <c r="AT32" i="73"/>
  <c r="AY33" i="73" s="1"/>
  <c r="AY34" i="73"/>
  <c r="AY30" i="73"/>
  <c r="Z13" i="45"/>
  <c r="AZ13" i="46"/>
  <c r="BC13" i="46" s="1"/>
  <c r="BD13" i="46" s="1"/>
  <c r="Z70" i="15"/>
  <c r="AA71" i="15" s="1"/>
  <c r="AX15" i="2"/>
  <c r="BA124" i="46"/>
  <c r="AZ186" i="46"/>
  <c r="BC94" i="46"/>
  <c r="AZ160" i="46"/>
  <c r="BA98" i="46"/>
  <c r="AW9" i="2"/>
  <c r="BB10" i="2" s="1"/>
  <c r="BC3" i="2"/>
  <c r="BH4" i="2" s="1"/>
  <c r="AX81" i="46"/>
  <c r="AW143" i="46"/>
  <c r="AX102" i="46"/>
  <c r="AW164" i="46"/>
  <c r="AX26" i="46"/>
  <c r="AW156" i="46"/>
  <c r="AX86" i="46"/>
  <c r="AW148" i="46"/>
  <c r="AY85" i="46"/>
  <c r="AX147" i="46"/>
  <c r="AY147" i="46" s="1"/>
  <c r="Z147" i="45" s="1"/>
  <c r="AT61" i="17"/>
  <c r="AS61" i="17"/>
  <c r="AS75" i="13"/>
  <c r="AT74" i="13"/>
  <c r="AY75" i="13" s="1"/>
  <c r="AS31" i="76"/>
  <c r="AD112" i="15"/>
  <c r="AY113" i="13"/>
  <c r="AW113" i="13"/>
  <c r="AV113" i="13"/>
  <c r="AU113" i="13"/>
  <c r="AA13" i="45" l="1"/>
  <c r="BE13" i="46"/>
  <c r="BD94" i="46"/>
  <c r="Z85" i="45"/>
  <c r="AZ85" i="46"/>
  <c r="BA186" i="46"/>
  <c r="BB124" i="46"/>
  <c r="BB98" i="46"/>
  <c r="BA160" i="46"/>
  <c r="AY26" i="46"/>
  <c r="AX156" i="46"/>
  <c r="AY156" i="46" s="1"/>
  <c r="Z156" i="45" s="1"/>
  <c r="AY81" i="46"/>
  <c r="AX143" i="46"/>
  <c r="AY143" i="46" s="1"/>
  <c r="Z143" i="45" s="1"/>
  <c r="AY86" i="46"/>
  <c r="AX148" i="46"/>
  <c r="AY148" i="46" s="1"/>
  <c r="Z148" i="45" s="1"/>
  <c r="AY102" i="46"/>
  <c r="AX164" i="46"/>
  <c r="AY164" i="46" s="1"/>
  <c r="Z164" i="45" s="1"/>
  <c r="AD85" i="16"/>
  <c r="AD8" i="16" s="1"/>
  <c r="AD50" i="16"/>
  <c r="AD33" i="18"/>
  <c r="AD2" i="18"/>
  <c r="AD102" i="15"/>
  <c r="AD78" i="15"/>
  <c r="AD71" i="15"/>
  <c r="AD47" i="15"/>
  <c r="AD2" i="16"/>
  <c r="AD33" i="74"/>
  <c r="AD2" i="74"/>
  <c r="AD47" i="10"/>
  <c r="AD2" i="10"/>
  <c r="AD32" i="75"/>
  <c r="AD2" i="75"/>
  <c r="Z113" i="18"/>
  <c r="Z111" i="18"/>
  <c r="Z109" i="18"/>
  <c r="Z100" i="18"/>
  <c r="Z96" i="18"/>
  <c r="Z93" i="18"/>
  <c r="Z91" i="18"/>
  <c r="Z88" i="18"/>
  <c r="Z77" i="18"/>
  <c r="Z67" i="18"/>
  <c r="Z66" i="18"/>
  <c r="Z48" i="15"/>
  <c r="Z43" i="15"/>
  <c r="Z32" i="15"/>
  <c r="Z25" i="15"/>
  <c r="Z24" i="15"/>
  <c r="Z23" i="15"/>
  <c r="Z21" i="15"/>
  <c r="Z20" i="15"/>
  <c r="Z8" i="15"/>
  <c r="Z6" i="15"/>
  <c r="Z5" i="15"/>
  <c r="Z82" i="16"/>
  <c r="Z80" i="16"/>
  <c r="Z66" i="16"/>
  <c r="Z53" i="16"/>
  <c r="Z52" i="16"/>
  <c r="Z49" i="16"/>
  <c r="Z48" i="16"/>
  <c r="Z47" i="16"/>
  <c r="Z41" i="16"/>
  <c r="Z39" i="16"/>
  <c r="Z36" i="16"/>
  <c r="Z31" i="16"/>
  <c r="Z30" i="16"/>
  <c r="Z29" i="16"/>
  <c r="Z28" i="16"/>
  <c r="Z27" i="16"/>
  <c r="Z26" i="16"/>
  <c r="Z25" i="16"/>
  <c r="Z19" i="16"/>
  <c r="Z9" i="16"/>
  <c r="Z7" i="16"/>
  <c r="Z6" i="16"/>
  <c r="Z18" i="74"/>
  <c r="Z13" i="74"/>
  <c r="Z11" i="74"/>
  <c r="Z9" i="74"/>
  <c r="Z6" i="74"/>
  <c r="Z3" i="74"/>
  <c r="Z15" i="10"/>
  <c r="Z13" i="10"/>
  <c r="Z3" i="10"/>
  <c r="Z12" i="75"/>
  <c r="Z10" i="75"/>
  <c r="Z7" i="75"/>
  <c r="Z4" i="75"/>
  <c r="AX88" i="14"/>
  <c r="AA94" i="45" l="1"/>
  <c r="BE94" i="46"/>
  <c r="BF13" i="46"/>
  <c r="BG13" i="46" s="1"/>
  <c r="BH13" i="46" s="1"/>
  <c r="BI13" i="46" s="1"/>
  <c r="AB13" i="45" s="1"/>
  <c r="AC13" i="45" s="1"/>
  <c r="AD13" i="45" s="1"/>
  <c r="AE13" i="45" s="1"/>
  <c r="AF13" i="45" s="1"/>
  <c r="Z102" i="45"/>
  <c r="AZ102" i="46"/>
  <c r="Z26" i="45"/>
  <c r="AZ26" i="46"/>
  <c r="BA85" i="46"/>
  <c r="AZ147" i="46"/>
  <c r="BB160" i="46"/>
  <c r="BC98" i="46"/>
  <c r="Z86" i="45"/>
  <c r="AZ86" i="46"/>
  <c r="Z81" i="45"/>
  <c r="AZ81" i="46"/>
  <c r="BB186" i="46"/>
  <c r="BC124" i="46"/>
  <c r="Z33" i="15"/>
  <c r="AW102" i="13"/>
  <c r="AR13" i="73"/>
  <c r="Z3" i="75"/>
  <c r="BF94" i="46" l="1"/>
  <c r="AZ143" i="46"/>
  <c r="BA81" i="46"/>
  <c r="BD98" i="46"/>
  <c r="BC160" i="46"/>
  <c r="BD160" i="46" s="1"/>
  <c r="AA160" i="45" s="1"/>
  <c r="AJ160" i="45" s="1"/>
  <c r="BA26" i="46"/>
  <c r="AZ156" i="46"/>
  <c r="BD124" i="46"/>
  <c r="BC186" i="46"/>
  <c r="BD186" i="46" s="1"/>
  <c r="AA186" i="45" s="1"/>
  <c r="AJ186" i="45" s="1"/>
  <c r="AZ164" i="46"/>
  <c r="BA102" i="46"/>
  <c r="AZ148" i="46"/>
  <c r="BA86" i="46"/>
  <c r="BA147" i="46"/>
  <c r="BB85" i="46"/>
  <c r="AW101" i="13"/>
  <c r="AW103" i="13"/>
  <c r="AW104" i="13" s="1"/>
  <c r="AW40" i="76"/>
  <c r="Z6" i="75"/>
  <c r="AV39" i="76"/>
  <c r="AW39" i="76"/>
  <c r="AU39" i="76"/>
  <c r="AX39" i="76"/>
  <c r="AU40" i="76"/>
  <c r="AX40" i="76"/>
  <c r="AV40" i="76"/>
  <c r="AA124" i="45" l="1"/>
  <c r="BE124" i="46"/>
  <c r="AA98" i="45"/>
  <c r="BE98" i="46"/>
  <c r="BG94" i="46"/>
  <c r="BC85" i="46"/>
  <c r="BB147" i="46"/>
  <c r="BB102" i="46"/>
  <c r="BA164" i="46"/>
  <c r="BA143" i="46"/>
  <c r="BB81" i="46"/>
  <c r="BB86" i="46"/>
  <c r="BA148" i="46"/>
  <c r="BB26" i="46"/>
  <c r="BA156" i="46"/>
  <c r="AV102" i="13"/>
  <c r="AV101" i="13"/>
  <c r="AV10" i="73"/>
  <c r="AV7" i="73"/>
  <c r="AV4" i="73"/>
  <c r="Z78" i="15"/>
  <c r="Z77" i="15"/>
  <c r="BE186" i="46" l="1"/>
  <c r="BF124" i="46"/>
  <c r="BE160" i="46"/>
  <c r="BF98" i="46"/>
  <c r="BH94" i="46"/>
  <c r="BC86" i="46"/>
  <c r="BB148" i="46"/>
  <c r="BB164" i="46"/>
  <c r="BC102" i="46"/>
  <c r="BB143" i="46"/>
  <c r="BC81" i="46"/>
  <c r="BC26" i="46"/>
  <c r="BB156" i="46"/>
  <c r="BC147" i="46"/>
  <c r="BD147" i="46" s="1"/>
  <c r="AA147" i="45" s="1"/>
  <c r="AJ147" i="45" s="1"/>
  <c r="BD85" i="46"/>
  <c r="AV103" i="13"/>
  <c r="AV104" i="13" s="1"/>
  <c r="AV7" i="13"/>
  <c r="AV3" i="13"/>
  <c r="AV35" i="76"/>
  <c r="AV36" i="76"/>
  <c r="BF160" i="46" l="1"/>
  <c r="BG98" i="46"/>
  <c r="BI94" i="46"/>
  <c r="AB94" i="45" s="1"/>
  <c r="AC94" i="45" s="1"/>
  <c r="AD94" i="45" s="1"/>
  <c r="AE94" i="45" s="1"/>
  <c r="AF94" i="45" s="1"/>
  <c r="BF186" i="46"/>
  <c r="BG124" i="46"/>
  <c r="AA85" i="45"/>
  <c r="BE85" i="46"/>
  <c r="BD102" i="46"/>
  <c r="BC164" i="46"/>
  <c r="BD164" i="46" s="1"/>
  <c r="AA164" i="45" s="1"/>
  <c r="AJ164" i="45" s="1"/>
  <c r="BD26" i="46"/>
  <c r="BC156" i="46"/>
  <c r="BD156" i="46" s="1"/>
  <c r="AA156" i="45" s="1"/>
  <c r="AJ156" i="45" s="1"/>
  <c r="BD81" i="46"/>
  <c r="BC143" i="46"/>
  <c r="BD143" i="46" s="1"/>
  <c r="AA143" i="45" s="1"/>
  <c r="AJ143" i="45" s="1"/>
  <c r="BD86" i="46"/>
  <c r="BC148" i="46"/>
  <c r="BD148" i="46" s="1"/>
  <c r="AA148" i="45" s="1"/>
  <c r="AJ148" i="45" s="1"/>
  <c r="AV50" i="2"/>
  <c r="AV16" i="13"/>
  <c r="AV4" i="13"/>
  <c r="AV51" i="2"/>
  <c r="BF85" i="46" l="1"/>
  <c r="BE147" i="46"/>
  <c r="AA81" i="45"/>
  <c r="BE81" i="46"/>
  <c r="AA102" i="45"/>
  <c r="BE102" i="46"/>
  <c r="BH124" i="46"/>
  <c r="BG186" i="46"/>
  <c r="BG160" i="46"/>
  <c r="BH98" i="46"/>
  <c r="AA86" i="45"/>
  <c r="BE86" i="46"/>
  <c r="AA26" i="45"/>
  <c r="BE26" i="46"/>
  <c r="AV9" i="13"/>
  <c r="AV12" i="13"/>
  <c r="AY89" i="14"/>
  <c r="Z89" i="16" s="1"/>
  <c r="AX87" i="14"/>
  <c r="AY84" i="14"/>
  <c r="Z84" i="16" s="1"/>
  <c r="AY83" i="14"/>
  <c r="Z83" i="16" s="1"/>
  <c r="Z59" i="16"/>
  <c r="Z50" i="16"/>
  <c r="AY106" i="13"/>
  <c r="AY101" i="13"/>
  <c r="Z101" i="15" s="1"/>
  <c r="Z88" i="15"/>
  <c r="AX102" i="13"/>
  <c r="Z33" i="74"/>
  <c r="Z27" i="74"/>
  <c r="Z26" i="74"/>
  <c r="Z15" i="74"/>
  <c r="Z10" i="74"/>
  <c r="AW10" i="73"/>
  <c r="Z7" i="74"/>
  <c r="AW7" i="73"/>
  <c r="Z4" i="74"/>
  <c r="AW4" i="73"/>
  <c r="Z41" i="10"/>
  <c r="Z40" i="10"/>
  <c r="Z29" i="10"/>
  <c r="Z24" i="10"/>
  <c r="AX7" i="2"/>
  <c r="AY6" i="2"/>
  <c r="Z26" i="75"/>
  <c r="Z25" i="75"/>
  <c r="BF81" i="46" l="1"/>
  <c r="BE143" i="46"/>
  <c r="BI124" i="46"/>
  <c r="AB124" i="45" s="1"/>
  <c r="AC124" i="45" s="1"/>
  <c r="BH186" i="46"/>
  <c r="BI186" i="46" s="1"/>
  <c r="AB186" i="45" s="1"/>
  <c r="BF26" i="46"/>
  <c r="BE156" i="46"/>
  <c r="BH160" i="46"/>
  <c r="BI160" i="46" s="1"/>
  <c r="AB160" i="45" s="1"/>
  <c r="BI98" i="46"/>
  <c r="AB98" i="45" s="1"/>
  <c r="AC98" i="45" s="1"/>
  <c r="BF102" i="46"/>
  <c r="BE164" i="46"/>
  <c r="BF86" i="46"/>
  <c r="BE148" i="46"/>
  <c r="BG85" i="46"/>
  <c r="BF147" i="46"/>
  <c r="Z6" i="10"/>
  <c r="BD7" i="2"/>
  <c r="AA7" i="10" s="1"/>
  <c r="AV98" i="13"/>
  <c r="AV69" i="14"/>
  <c r="AV73" i="17"/>
  <c r="AV72" i="17"/>
  <c r="AV97" i="13"/>
  <c r="AV71" i="17"/>
  <c r="AV65" i="17"/>
  <c r="AV74" i="17"/>
  <c r="AV93" i="13"/>
  <c r="AV94" i="13" s="1"/>
  <c r="AV68" i="17"/>
  <c r="AV64" i="17"/>
  <c r="AY103" i="13"/>
  <c r="AY104" i="13" s="1"/>
  <c r="Z22" i="15"/>
  <c r="Z26" i="15" s="1"/>
  <c r="AY88" i="14"/>
  <c r="AY102" i="13"/>
  <c r="Z102" i="15" s="1"/>
  <c r="Z103" i="15" s="1"/>
  <c r="AV13" i="13"/>
  <c r="AX103" i="13"/>
  <c r="AX101" i="13"/>
  <c r="AX85" i="14"/>
  <c r="Z18" i="16"/>
  <c r="AW3" i="13"/>
  <c r="AW35" i="76"/>
  <c r="AW7" i="13"/>
  <c r="AW36" i="76"/>
  <c r="AD98" i="45" l="1"/>
  <c r="AC160" i="45"/>
  <c r="AD124" i="45"/>
  <c r="AC186" i="45"/>
  <c r="BF148" i="46"/>
  <c r="BG86" i="46"/>
  <c r="BG147" i="46"/>
  <c r="BH85" i="46"/>
  <c r="BG102" i="46"/>
  <c r="BF164" i="46"/>
  <c r="BG26" i="46"/>
  <c r="BF156" i="46"/>
  <c r="BG81" i="46"/>
  <c r="BF143" i="46"/>
  <c r="Z104" i="15"/>
  <c r="AY87" i="14"/>
  <c r="Z87" i="16" s="1"/>
  <c r="Z88" i="16"/>
  <c r="AX104" i="13"/>
  <c r="Z8" i="16"/>
  <c r="AY85" i="14"/>
  <c r="Z85" i="16" s="1"/>
  <c r="AW50" i="2"/>
  <c r="AW4" i="13"/>
  <c r="AW51" i="2"/>
  <c r="AW16" i="13"/>
  <c r="AD186" i="45" l="1"/>
  <c r="AE124" i="45"/>
  <c r="AE98" i="45"/>
  <c r="AD160" i="45"/>
  <c r="BH86" i="46"/>
  <c r="BG148" i="46"/>
  <c r="BH147" i="46"/>
  <c r="BI147" i="46" s="1"/>
  <c r="AB147" i="45" s="1"/>
  <c r="BI85" i="46"/>
  <c r="AB85" i="45" s="1"/>
  <c r="AC85" i="45" s="1"/>
  <c r="BH26" i="46"/>
  <c r="BG156" i="46"/>
  <c r="BG143" i="46"/>
  <c r="BH81" i="46"/>
  <c r="BG164" i="46"/>
  <c r="BH102" i="46"/>
  <c r="AW9" i="13"/>
  <c r="AW12" i="13"/>
  <c r="AW13" i="13"/>
  <c r="AC147" i="45" l="1"/>
  <c r="AD85" i="45"/>
  <c r="AE160" i="45"/>
  <c r="AF98" i="45"/>
  <c r="AF160" i="45" s="1"/>
  <c r="AE186" i="45"/>
  <c r="AF124" i="45"/>
  <c r="AF186" i="45" s="1"/>
  <c r="BI81" i="46"/>
  <c r="AB81" i="45" s="1"/>
  <c r="AC81" i="45" s="1"/>
  <c r="BH143" i="46"/>
  <c r="BI143" i="46" s="1"/>
  <c r="AB143" i="45" s="1"/>
  <c r="BI102" i="46"/>
  <c r="AB102" i="45" s="1"/>
  <c r="AC102" i="45" s="1"/>
  <c r="BH164" i="46"/>
  <c r="BI164" i="46" s="1"/>
  <c r="AB164" i="45" s="1"/>
  <c r="BI26" i="46"/>
  <c r="AB26" i="45" s="1"/>
  <c r="AC26" i="45" s="1"/>
  <c r="BH156" i="46"/>
  <c r="BI156" i="46" s="1"/>
  <c r="AB156" i="45" s="1"/>
  <c r="BI86" i="46"/>
  <c r="AB86" i="45" s="1"/>
  <c r="AC86" i="45" s="1"/>
  <c r="BH148" i="46"/>
  <c r="BI148" i="46" s="1"/>
  <c r="AB148" i="45" s="1"/>
  <c r="AW93" i="13"/>
  <c r="AW94" i="13" s="1"/>
  <c r="AW97" i="13"/>
  <c r="AW98" i="13"/>
  <c r="AW74" i="17"/>
  <c r="AW65" i="17"/>
  <c r="AW64" i="17"/>
  <c r="AW71" i="17"/>
  <c r="AW68" i="17"/>
  <c r="AW69" i="14"/>
  <c r="AW72" i="17"/>
  <c r="AW73" i="17"/>
  <c r="AW18" i="13"/>
  <c r="AD102" i="45" l="1"/>
  <c r="AC164" i="45"/>
  <c r="AD147" i="45"/>
  <c r="AE85" i="45"/>
  <c r="AD26" i="45"/>
  <c r="AC156" i="45"/>
  <c r="AC143" i="45"/>
  <c r="AD81" i="45"/>
  <c r="AD86" i="45"/>
  <c r="AC148" i="45"/>
  <c r="AW28" i="13"/>
  <c r="AW34" i="13" s="1"/>
  <c r="AD148" i="45" l="1"/>
  <c r="AE86" i="45"/>
  <c r="AD143" i="45"/>
  <c r="AE81" i="45"/>
  <c r="AD156" i="45"/>
  <c r="AE26" i="45"/>
  <c r="AE147" i="45"/>
  <c r="AF85" i="45"/>
  <c r="AF147" i="45" s="1"/>
  <c r="AD164" i="45"/>
  <c r="AE102" i="45"/>
  <c r="AW29" i="13"/>
  <c r="AW82" i="13"/>
  <c r="AW82" i="17" s="1"/>
  <c r="BB35" i="13"/>
  <c r="AW38" i="13"/>
  <c r="AW40" i="13"/>
  <c r="BB41" i="13" s="1"/>
  <c r="AE164" i="45" l="1"/>
  <c r="AF102" i="45"/>
  <c r="AF164" i="45" s="1"/>
  <c r="AE156" i="45"/>
  <c r="AF26" i="45"/>
  <c r="AF156" i="45" s="1"/>
  <c r="AE143" i="45"/>
  <c r="AF81" i="45"/>
  <c r="AF143" i="45" s="1"/>
  <c r="AE148" i="45"/>
  <c r="AF86" i="45"/>
  <c r="AF148" i="45" s="1"/>
  <c r="AW83" i="13"/>
  <c r="AW44" i="13"/>
  <c r="AY2" i="17"/>
  <c r="AX2" i="17"/>
  <c r="AW2" i="17"/>
  <c r="AV2" i="17"/>
  <c r="AU2" i="17"/>
  <c r="AY2" i="14"/>
  <c r="AX2" i="14"/>
  <c r="AW2" i="14"/>
  <c r="AV2" i="14"/>
  <c r="AU2" i="14"/>
  <c r="AY2" i="46"/>
  <c r="AX2" i="46"/>
  <c r="AW2" i="46"/>
  <c r="AV2" i="46"/>
  <c r="AU2" i="46"/>
  <c r="AY2" i="73"/>
  <c r="AX2" i="73"/>
  <c r="AW2" i="73"/>
  <c r="AV2" i="73"/>
  <c r="AU2" i="73"/>
  <c r="AY2" i="2"/>
  <c r="AX2" i="2"/>
  <c r="AW2" i="2"/>
  <c r="AV2" i="2"/>
  <c r="AU2" i="2"/>
  <c r="AY2" i="76"/>
  <c r="AX2" i="76"/>
  <c r="AW2" i="76"/>
  <c r="AV2" i="76"/>
  <c r="AU2" i="76"/>
  <c r="BB45" i="13" l="1"/>
  <c r="AW73" i="14"/>
  <c r="AW49" i="13"/>
  <c r="BB50" i="13" s="1"/>
  <c r="AW52" i="13"/>
  <c r="AW55" i="13"/>
  <c r="AW53" i="13" l="1"/>
  <c r="AW56" i="13"/>
  <c r="AR199" i="46"/>
  <c r="AR62" i="46"/>
  <c r="AR63" i="46"/>
  <c r="AR64" i="46"/>
  <c r="AR30" i="17"/>
  <c r="AR77" i="17" s="1"/>
  <c r="AR11" i="17"/>
  <c r="AR80" i="17"/>
  <c r="AR67" i="17"/>
  <c r="AR66" i="17"/>
  <c r="AR54" i="17"/>
  <c r="AR58" i="17" s="1"/>
  <c r="AR41" i="17"/>
  <c r="AR22" i="17"/>
  <c r="AR43" i="14"/>
  <c r="AR80" i="14"/>
  <c r="AR78" i="13" s="1"/>
  <c r="AR76" i="14"/>
  <c r="AR36" i="14"/>
  <c r="AS36" i="14" s="1"/>
  <c r="AR70" i="14"/>
  <c r="AR17" i="14"/>
  <c r="AR81" i="13"/>
  <c r="AR37" i="13"/>
  <c r="AR103" i="13"/>
  <c r="AR104" i="13" s="1"/>
  <c r="AR101" i="13"/>
  <c r="AR90" i="13"/>
  <c r="AR77" i="13"/>
  <c r="AR75" i="13"/>
  <c r="AR70" i="13"/>
  <c r="AW71" i="13" s="1"/>
  <c r="AR68" i="13"/>
  <c r="AR65" i="13"/>
  <c r="AR62" i="13"/>
  <c r="AR59" i="13"/>
  <c r="AR26" i="13"/>
  <c r="AR21" i="13"/>
  <c r="AR102" i="13" s="1"/>
  <c r="AR43" i="2"/>
  <c r="AW44" i="2" s="1"/>
  <c r="AR37" i="2"/>
  <c r="AR30" i="2"/>
  <c r="AW31" i="2" s="1"/>
  <c r="AR51" i="2"/>
  <c r="AR22" i="2"/>
  <c r="AR13" i="2"/>
  <c r="AR7" i="2"/>
  <c r="AR28" i="76"/>
  <c r="AR23" i="76"/>
  <c r="AR22" i="76"/>
  <c r="AR18" i="76"/>
  <c r="AW19" i="76" s="1"/>
  <c r="AR15" i="76"/>
  <c r="AW16" i="76" s="1"/>
  <c r="AR12" i="76"/>
  <c r="AR27" i="73"/>
  <c r="AR24" i="73"/>
  <c r="AR23" i="73"/>
  <c r="AR19" i="73"/>
  <c r="AW20" i="73" s="1"/>
  <c r="AR16" i="73"/>
  <c r="AW17" i="73" s="1"/>
  <c r="AR34" i="17" l="1"/>
  <c r="AR43" i="17" s="1"/>
  <c r="AR60" i="17" s="1"/>
  <c r="AW29" i="76"/>
  <c r="AW91" i="13"/>
  <c r="AR29" i="73"/>
  <c r="AS27" i="73"/>
  <c r="AS29" i="73" s="1"/>
  <c r="AR42" i="76"/>
  <c r="AR81" i="17"/>
  <c r="AR12" i="17"/>
  <c r="AR24" i="17" s="1"/>
  <c r="AR64" i="14"/>
  <c r="AR65" i="14" s="1"/>
  <c r="AR32" i="14"/>
  <c r="AR46" i="2"/>
  <c r="AW47" i="2" s="1"/>
  <c r="AR38" i="2"/>
  <c r="AR50" i="2"/>
  <c r="AR33" i="2"/>
  <c r="AW34" i="2" s="1"/>
  <c r="AR31" i="76"/>
  <c r="AW32" i="76" s="1"/>
  <c r="AX30" i="73" l="1"/>
  <c r="AX34" i="73"/>
  <c r="AW30" i="73"/>
  <c r="AW34" i="73"/>
  <c r="AR32" i="73"/>
  <c r="AW33" i="73" s="1"/>
  <c r="AS32" i="73"/>
  <c r="AX33" i="73" s="1"/>
  <c r="AR61" i="17"/>
  <c r="AI75" i="18" l="1"/>
  <c r="AC47" i="15" l="1"/>
  <c r="AR7" i="13" l="1"/>
  <c r="AQ37" i="13"/>
  <c r="AP37" i="13"/>
  <c r="AR10" i="73"/>
  <c r="AQ10" i="73"/>
  <c r="AP10" i="73"/>
  <c r="AR7" i="73"/>
  <c r="AQ7" i="73"/>
  <c r="AP7" i="73"/>
  <c r="AR4" i="73"/>
  <c r="AQ4" i="73"/>
  <c r="AP4" i="73"/>
  <c r="AS8" i="13"/>
  <c r="AN26" i="76"/>
  <c r="AN25" i="76"/>
  <c r="AN21" i="76"/>
  <c r="AS22" i="76" s="1"/>
  <c r="AQ40" i="76"/>
  <c r="AQ39" i="76"/>
  <c r="AQ36" i="76"/>
  <c r="AQ35" i="76"/>
  <c r="AQ28" i="76"/>
  <c r="AV29" i="76" s="1"/>
  <c r="AQ23" i="76"/>
  <c r="AQ22" i="76"/>
  <c r="AQ18" i="76"/>
  <c r="AV19" i="76" s="1"/>
  <c r="AQ15" i="76"/>
  <c r="AV16" i="76" s="1"/>
  <c r="AQ12" i="76"/>
  <c r="AN11" i="76"/>
  <c r="AN12" i="73"/>
  <c r="AS13" i="73" s="1"/>
  <c r="AQ29" i="73"/>
  <c r="AN22" i="73"/>
  <c r="AS23" i="73" s="1"/>
  <c r="AQ11" i="17"/>
  <c r="AQ12" i="17" s="1"/>
  <c r="AQ199" i="46"/>
  <c r="AQ64" i="46"/>
  <c r="AQ63" i="46"/>
  <c r="AQ62" i="46"/>
  <c r="AQ30" i="17"/>
  <c r="AQ34" i="17" s="1"/>
  <c r="AQ80" i="17"/>
  <c r="AQ67" i="17"/>
  <c r="AQ66" i="17"/>
  <c r="AQ54" i="17"/>
  <c r="AQ58" i="17" s="1"/>
  <c r="AQ41" i="17"/>
  <c r="AQ22" i="17"/>
  <c r="AQ43" i="14"/>
  <c r="AQ80" i="14"/>
  <c r="AQ78" i="13" s="1"/>
  <c r="AQ49" i="14"/>
  <c r="AQ48" i="14"/>
  <c r="AQ47" i="14"/>
  <c r="AQ42" i="14"/>
  <c r="AQ76" i="14"/>
  <c r="AQ39" i="14"/>
  <c r="AQ70" i="14"/>
  <c r="AQ18" i="14"/>
  <c r="AQ17" i="14"/>
  <c r="AQ9" i="14"/>
  <c r="AS9" i="14" s="1"/>
  <c r="AQ64" i="14"/>
  <c r="AQ65" i="14" s="1"/>
  <c r="AQ70" i="13"/>
  <c r="AV71" i="13" s="1"/>
  <c r="AQ43" i="13"/>
  <c r="AQ103" i="13"/>
  <c r="AQ104" i="13" s="1"/>
  <c r="AQ101" i="13"/>
  <c r="AQ90" i="13"/>
  <c r="AQ77" i="13"/>
  <c r="AQ75" i="13"/>
  <c r="AQ68" i="13"/>
  <c r="AQ65" i="13"/>
  <c r="AQ62" i="13"/>
  <c r="AQ59" i="13"/>
  <c r="AQ25" i="13"/>
  <c r="AQ21" i="13"/>
  <c r="AQ102" i="13" s="1"/>
  <c r="AQ51" i="2"/>
  <c r="AQ43" i="2"/>
  <c r="AV44" i="2" s="1"/>
  <c r="AQ38" i="2"/>
  <c r="AQ37" i="2"/>
  <c r="AQ30" i="2"/>
  <c r="AV31" i="2" s="1"/>
  <c r="AQ22" i="2"/>
  <c r="AQ13" i="2"/>
  <c r="AQ7" i="2"/>
  <c r="AV30" i="73" l="1"/>
  <c r="AV91" i="13"/>
  <c r="AT43" i="13"/>
  <c r="AT37" i="13"/>
  <c r="AQ26" i="13"/>
  <c r="AT25" i="13"/>
  <c r="AR39" i="14"/>
  <c r="AS39" i="14" s="1"/>
  <c r="AR42" i="14"/>
  <c r="AS42" i="14" s="1"/>
  <c r="AR47" i="14"/>
  <c r="AS47" i="14" s="1"/>
  <c r="AR48" i="14"/>
  <c r="AS48" i="14" s="1"/>
  <c r="AS12" i="76"/>
  <c r="AQ42" i="76"/>
  <c r="AQ77" i="17"/>
  <c r="Z12" i="74"/>
  <c r="Z37" i="74"/>
  <c r="Z36" i="74"/>
  <c r="Z16" i="74"/>
  <c r="AQ31" i="76"/>
  <c r="AV32" i="76" s="1"/>
  <c r="AQ81" i="17"/>
  <c r="AQ88" i="14"/>
  <c r="AQ87" i="14" s="1"/>
  <c r="AR18" i="14"/>
  <c r="AS18" i="14" s="1"/>
  <c r="AQ50" i="14"/>
  <c r="AR49" i="14"/>
  <c r="AQ44" i="14"/>
  <c r="AQ12" i="13"/>
  <c r="AQ13" i="13"/>
  <c r="AQ16" i="13"/>
  <c r="AQ7" i="13"/>
  <c r="AQ65" i="46"/>
  <c r="AQ4" i="13"/>
  <c r="AT7" i="13"/>
  <c r="Y7" i="15" s="1"/>
  <c r="AQ43" i="17"/>
  <c r="AQ60" i="17" s="1"/>
  <c r="AQ24" i="17"/>
  <c r="AQ21" i="14"/>
  <c r="AQ81" i="13"/>
  <c r="AQ32" i="14"/>
  <c r="AQ46" i="2"/>
  <c r="AV47" i="2" s="1"/>
  <c r="AQ33" i="2"/>
  <c r="AV34" i="2" s="1"/>
  <c r="AQ50" i="2"/>
  <c r="AA12" i="74" l="1"/>
  <c r="BI12" i="73"/>
  <c r="AB12" i="74" s="1"/>
  <c r="AA11" i="75"/>
  <c r="AB11" i="75"/>
  <c r="AC11" i="75" s="1"/>
  <c r="AA37" i="74"/>
  <c r="AA36" i="74"/>
  <c r="AA16" i="74"/>
  <c r="AJ51" i="74" s="1"/>
  <c r="BB41" i="76"/>
  <c r="AZ41" i="76"/>
  <c r="Z11" i="75"/>
  <c r="AR50" i="14"/>
  <c r="Z47" i="15"/>
  <c r="AR44" i="14"/>
  <c r="AS49" i="14"/>
  <c r="AV41" i="76"/>
  <c r="AW41" i="76"/>
  <c r="AQ72" i="14"/>
  <c r="AR88" i="14"/>
  <c r="AR87" i="14" s="1"/>
  <c r="AR21" i="14"/>
  <c r="AQ61" i="17"/>
  <c r="AQ54" i="14"/>
  <c r="BG41" i="76" l="1"/>
  <c r="BH12" i="73"/>
  <c r="BL12" i="73" s="1"/>
  <c r="BN12" i="73" s="1"/>
  <c r="BI16" i="73"/>
  <c r="AB16" i="74" s="1"/>
  <c r="BI36" i="76"/>
  <c r="AB36" i="75" s="1"/>
  <c r="BI35" i="76"/>
  <c r="AB35" i="75" s="1"/>
  <c r="AB15" i="75"/>
  <c r="AA17" i="74"/>
  <c r="BD36" i="76"/>
  <c r="AA36" i="75" s="1"/>
  <c r="BD35" i="76"/>
  <c r="AA35" i="75" s="1"/>
  <c r="AA15" i="75"/>
  <c r="AQ74" i="14"/>
  <c r="Z3" i="15"/>
  <c r="AR72" i="14"/>
  <c r="AQ73" i="14"/>
  <c r="AR54" i="14"/>
  <c r="AQ77" i="14"/>
  <c r="BI3" i="13" l="1"/>
  <c r="BI17" i="73"/>
  <c r="AB17" i="74" s="1"/>
  <c r="BI29" i="73"/>
  <c r="BK29" i="73" s="1"/>
  <c r="BH16" i="73"/>
  <c r="BI7" i="13"/>
  <c r="BI16" i="76"/>
  <c r="AB16" i="75" s="1"/>
  <c r="AA3" i="15"/>
  <c r="AA39" i="74"/>
  <c r="AA30" i="74"/>
  <c r="AR74" i="14"/>
  <c r="AR73" i="14"/>
  <c r="AR77" i="14"/>
  <c r="Z12" i="15"/>
  <c r="AU42" i="76"/>
  <c r="AV42" i="76"/>
  <c r="AW42" i="76"/>
  <c r="AX28" i="76"/>
  <c r="BC29" i="76" l="1"/>
  <c r="AB3" i="15"/>
  <c r="BK3" i="13"/>
  <c r="AB7" i="15"/>
  <c r="AH6" i="15" s="1"/>
  <c r="BK7" i="13"/>
  <c r="BG42" i="76"/>
  <c r="BE42" i="76"/>
  <c r="BI12" i="13"/>
  <c r="BI34" i="73"/>
  <c r="AB39" i="74" s="1"/>
  <c r="BH29" i="73"/>
  <c r="BH32" i="73" s="1"/>
  <c r="BI30" i="73"/>
  <c r="AB30" i="74" s="1"/>
  <c r="BH3" i="13"/>
  <c r="BI16" i="13"/>
  <c r="BI29" i="76"/>
  <c r="AB29" i="75" s="1"/>
  <c r="BI44" i="76"/>
  <c r="AX42" i="76"/>
  <c r="AX16" i="13"/>
  <c r="AA12" i="15"/>
  <c r="AA7" i="15"/>
  <c r="BA42" i="76"/>
  <c r="BB42" i="76"/>
  <c r="AZ42" i="76"/>
  <c r="BC42" i="76"/>
  <c r="AA29" i="75"/>
  <c r="Z16" i="15"/>
  <c r="AX21" i="76"/>
  <c r="BC22" i="76" s="1"/>
  <c r="A36" i="75"/>
  <c r="A35" i="75"/>
  <c r="A34" i="75"/>
  <c r="A32" i="75"/>
  <c r="A31" i="75"/>
  <c r="A29" i="75"/>
  <c r="A28" i="75"/>
  <c r="X26" i="75"/>
  <c r="W26" i="75"/>
  <c r="V26" i="75"/>
  <c r="A26" i="75"/>
  <c r="X25" i="75"/>
  <c r="W25" i="75"/>
  <c r="V25" i="75"/>
  <c r="A25" i="75"/>
  <c r="A23" i="75"/>
  <c r="A22" i="75"/>
  <c r="A21" i="75"/>
  <c r="A19" i="75"/>
  <c r="A18" i="75"/>
  <c r="A16" i="75"/>
  <c r="A15" i="75"/>
  <c r="X14" i="75"/>
  <c r="W14" i="75"/>
  <c r="V14" i="75"/>
  <c r="A14" i="75"/>
  <c r="A12" i="75"/>
  <c r="X11" i="75"/>
  <c r="W11" i="75"/>
  <c r="V11" i="75"/>
  <c r="A11" i="75"/>
  <c r="Y10" i="75"/>
  <c r="X9" i="75"/>
  <c r="W9" i="75"/>
  <c r="V9" i="75"/>
  <c r="U9" i="75"/>
  <c r="T9" i="75"/>
  <c r="S9" i="75"/>
  <c r="R9" i="75"/>
  <c r="Q9" i="75"/>
  <c r="A9" i="75"/>
  <c r="Y7" i="75"/>
  <c r="U7" i="75"/>
  <c r="A7" i="75"/>
  <c r="X6" i="75"/>
  <c r="W6" i="75"/>
  <c r="V6" i="75"/>
  <c r="U6" i="75"/>
  <c r="A6" i="75"/>
  <c r="Y4" i="75"/>
  <c r="U4" i="75"/>
  <c r="A4" i="75"/>
  <c r="X3" i="75"/>
  <c r="W3" i="75"/>
  <c r="V3" i="75"/>
  <c r="U3" i="75"/>
  <c r="A3" i="75"/>
  <c r="AE28" i="76"/>
  <c r="AJ28" i="76"/>
  <c r="AO28" i="76"/>
  <c r="AT29" i="76" s="1"/>
  <c r="X41" i="76"/>
  <c r="W41" i="76"/>
  <c r="V41" i="76"/>
  <c r="AM40" i="76"/>
  <c r="AL40" i="76"/>
  <c r="AK40" i="76"/>
  <c r="AC40" i="76"/>
  <c r="AB40" i="76"/>
  <c r="AA40" i="76"/>
  <c r="X40" i="76"/>
  <c r="W40" i="76"/>
  <c r="V40" i="76"/>
  <c r="T40" i="76"/>
  <c r="S40" i="76"/>
  <c r="R40" i="76"/>
  <c r="Q40" i="76"/>
  <c r="O40" i="76"/>
  <c r="N40" i="76"/>
  <c r="M40" i="76"/>
  <c r="L40" i="76"/>
  <c r="J40" i="76"/>
  <c r="I40" i="76"/>
  <c r="H40" i="76"/>
  <c r="G40" i="76"/>
  <c r="E40" i="76"/>
  <c r="D40" i="76"/>
  <c r="C40" i="76"/>
  <c r="B40" i="76"/>
  <c r="AM39" i="76"/>
  <c r="AL39" i="76"/>
  <c r="AK39" i="76"/>
  <c r="AH39" i="76"/>
  <c r="AG39" i="76"/>
  <c r="AF39" i="76"/>
  <c r="AC39" i="76"/>
  <c r="AB39" i="76"/>
  <c r="AA39" i="76"/>
  <c r="X39" i="76"/>
  <c r="W39" i="76"/>
  <c r="V39" i="76"/>
  <c r="T39" i="76"/>
  <c r="S39" i="76"/>
  <c r="R39" i="76"/>
  <c r="Q39" i="76"/>
  <c r="O39" i="76"/>
  <c r="N39" i="76"/>
  <c r="M39" i="76"/>
  <c r="L39" i="76"/>
  <c r="J39" i="76"/>
  <c r="I39" i="76"/>
  <c r="H39" i="76"/>
  <c r="G39" i="76"/>
  <c r="E39" i="76"/>
  <c r="D39" i="76"/>
  <c r="C39" i="76"/>
  <c r="B39" i="76"/>
  <c r="AA36" i="76"/>
  <c r="Z36" i="76"/>
  <c r="X36" i="76"/>
  <c r="W36" i="76"/>
  <c r="V36" i="76"/>
  <c r="AJ35" i="76"/>
  <c r="W35" i="75" s="1"/>
  <c r="AA35" i="76"/>
  <c r="Z35" i="76"/>
  <c r="X35" i="76"/>
  <c r="W35" i="76"/>
  <c r="V35" i="76"/>
  <c r="AP28" i="76"/>
  <c r="AM28" i="76"/>
  <c r="AL28" i="76"/>
  <c r="AQ29" i="76" s="1"/>
  <c r="AK28" i="76"/>
  <c r="AH28" i="76"/>
  <c r="AG28" i="76"/>
  <c r="AF28" i="76"/>
  <c r="AD28" i="76"/>
  <c r="AC28" i="76"/>
  <c r="AB28" i="76"/>
  <c r="AA28" i="76"/>
  <c r="Z28" i="76"/>
  <c r="X28" i="76"/>
  <c r="W28" i="76"/>
  <c r="V28" i="76"/>
  <c r="C28" i="76"/>
  <c r="Y26" i="75"/>
  <c r="Y25" i="75"/>
  <c r="AJ23" i="76"/>
  <c r="W23" i="75" s="1"/>
  <c r="AA23" i="76"/>
  <c r="Z23" i="76"/>
  <c r="X23" i="76"/>
  <c r="W23" i="76"/>
  <c r="V23" i="76"/>
  <c r="AP22" i="76"/>
  <c r="AO22" i="76"/>
  <c r="X22" i="75" s="1"/>
  <c r="AM22" i="76"/>
  <c r="AL22" i="76"/>
  <c r="AK22" i="76"/>
  <c r="AJ22" i="76"/>
  <c r="W22" i="75" s="1"/>
  <c r="AH22" i="76"/>
  <c r="AG22" i="76"/>
  <c r="AF22" i="76"/>
  <c r="AC22" i="76"/>
  <c r="AB22" i="76"/>
  <c r="AA22" i="76"/>
  <c r="Z22" i="76"/>
  <c r="X22" i="76"/>
  <c r="V22" i="76"/>
  <c r="AN28" i="76"/>
  <c r="AS29" i="76" s="1"/>
  <c r="AI28" i="76"/>
  <c r="AE22" i="76"/>
  <c r="V22" i="75" s="1"/>
  <c r="U23" i="76"/>
  <c r="S28" i="76"/>
  <c r="R28" i="76"/>
  <c r="Q22" i="76"/>
  <c r="P28" i="76"/>
  <c r="N28" i="76"/>
  <c r="M28" i="76"/>
  <c r="L28" i="76"/>
  <c r="K28" i="76"/>
  <c r="I22" i="76"/>
  <c r="H28" i="76"/>
  <c r="G28" i="76"/>
  <c r="D28" i="76"/>
  <c r="AJ18" i="76"/>
  <c r="W18" i="75" s="1"/>
  <c r="AA18" i="76"/>
  <c r="Z18" i="76"/>
  <c r="X18" i="76"/>
  <c r="W18" i="76"/>
  <c r="V18" i="76"/>
  <c r="P18" i="76"/>
  <c r="AA15" i="76"/>
  <c r="Z15" i="76"/>
  <c r="X15" i="76"/>
  <c r="W15" i="76"/>
  <c r="V15" i="76"/>
  <c r="U15" i="76"/>
  <c r="Q15" i="76"/>
  <c r="M15" i="76"/>
  <c r="K15" i="76"/>
  <c r="I15" i="76"/>
  <c r="Y14" i="75"/>
  <c r="AJ15" i="76"/>
  <c r="AA12" i="76"/>
  <c r="X12" i="76"/>
  <c r="Q12" i="76"/>
  <c r="P12" i="76"/>
  <c r="AP15" i="76"/>
  <c r="AM18" i="76"/>
  <c r="AR19" i="76" s="1"/>
  <c r="AH15" i="76"/>
  <c r="AC12" i="76"/>
  <c r="AB18" i="76"/>
  <c r="U18" i="76"/>
  <c r="Q41" i="76"/>
  <c r="L12" i="76"/>
  <c r="J15" i="76"/>
  <c r="C15" i="76"/>
  <c r="AP10" i="76"/>
  <c r="AO10" i="76"/>
  <c r="AL10" i="76"/>
  <c r="AK10" i="76"/>
  <c r="AJ10" i="76"/>
  <c r="AH10" i="76"/>
  <c r="AG10" i="76"/>
  <c r="AB10" i="76"/>
  <c r="AA10" i="76"/>
  <c r="AC10" i="76"/>
  <c r="AP7" i="76"/>
  <c r="AL7" i="76"/>
  <c r="AK7" i="76"/>
  <c r="AH7" i="76"/>
  <c r="AG7" i="76"/>
  <c r="AE7" i="76"/>
  <c r="V7" i="75" s="1"/>
  <c r="AC7" i="76"/>
  <c r="AB7" i="76"/>
  <c r="AO7" i="76"/>
  <c r="X7" i="75" s="1"/>
  <c r="AN7" i="76"/>
  <c r="AP4" i="76"/>
  <c r="AO4" i="76"/>
  <c r="X4" i="75" s="1"/>
  <c r="AN4" i="76"/>
  <c r="AL4" i="76"/>
  <c r="AK4" i="76"/>
  <c r="AJ4" i="76"/>
  <c r="W4" i="75" s="1"/>
  <c r="AH4" i="76"/>
  <c r="AG4" i="76"/>
  <c r="AE4" i="76"/>
  <c r="V4" i="75" s="1"/>
  <c r="AC4" i="76"/>
  <c r="AB4" i="76"/>
  <c r="AT2" i="76"/>
  <c r="AS2" i="76"/>
  <c r="AR2" i="76"/>
  <c r="AQ2" i="76"/>
  <c r="AP2" i="76"/>
  <c r="AO2" i="76"/>
  <c r="AN2" i="76"/>
  <c r="AM2" i="76"/>
  <c r="AL2" i="76"/>
  <c r="AK2" i="76"/>
  <c r="AJ2" i="76"/>
  <c r="AI2" i="76"/>
  <c r="AH2" i="76"/>
  <c r="AG2" i="76"/>
  <c r="AF2" i="76"/>
  <c r="AE2" i="76"/>
  <c r="AD2" i="76"/>
  <c r="AC2" i="76"/>
  <c r="AB2" i="76"/>
  <c r="AA2" i="76"/>
  <c r="Z2" i="76"/>
  <c r="Y2" i="76"/>
  <c r="X2" i="76"/>
  <c r="W2" i="76"/>
  <c r="V2" i="76"/>
  <c r="U2" i="76"/>
  <c r="T2" i="76"/>
  <c r="S2" i="76"/>
  <c r="R2" i="76"/>
  <c r="Q2" i="76"/>
  <c r="P2" i="76"/>
  <c r="O2" i="76"/>
  <c r="N2" i="76"/>
  <c r="M2" i="76"/>
  <c r="L2" i="76"/>
  <c r="K2" i="76"/>
  <c r="J2" i="76"/>
  <c r="I2" i="76"/>
  <c r="H2" i="76"/>
  <c r="G2" i="76"/>
  <c r="F2" i="76"/>
  <c r="E2" i="76"/>
  <c r="D2" i="76"/>
  <c r="C2" i="76"/>
  <c r="B2" i="76"/>
  <c r="AC2" i="75"/>
  <c r="AB2" i="75"/>
  <c r="AA2" i="75"/>
  <c r="Z2" i="75"/>
  <c r="Y2" i="75"/>
  <c r="X2" i="75"/>
  <c r="W2" i="75"/>
  <c r="V2" i="75"/>
  <c r="U2" i="75"/>
  <c r="T2" i="75"/>
  <c r="S2" i="75"/>
  <c r="R2" i="75"/>
  <c r="Q2" i="75"/>
  <c r="P2" i="75"/>
  <c r="O2" i="75"/>
  <c r="N2" i="75"/>
  <c r="M2" i="75"/>
  <c r="L2" i="75"/>
  <c r="K2" i="75"/>
  <c r="J2" i="75"/>
  <c r="I2" i="75"/>
  <c r="H2" i="75"/>
  <c r="G2" i="75"/>
  <c r="F2" i="75"/>
  <c r="E2" i="75"/>
  <c r="D2" i="75"/>
  <c r="C2" i="75"/>
  <c r="B2" i="75"/>
  <c r="AE27" i="73"/>
  <c r="V27" i="74" s="1"/>
  <c r="AJ29" i="73"/>
  <c r="AO27" i="73"/>
  <c r="AO29" i="73" s="1"/>
  <c r="T37" i="74"/>
  <c r="S37" i="74"/>
  <c r="A37" i="74"/>
  <c r="T36" i="74"/>
  <c r="S36" i="74"/>
  <c r="A36" i="74"/>
  <c r="A35" i="74"/>
  <c r="A33" i="74"/>
  <c r="A32" i="74"/>
  <c r="A30" i="74"/>
  <c r="A29" i="74"/>
  <c r="W27" i="74"/>
  <c r="U27" i="74"/>
  <c r="T27" i="74"/>
  <c r="S27" i="74"/>
  <c r="R27" i="74"/>
  <c r="Q27" i="74"/>
  <c r="A27" i="74"/>
  <c r="X26" i="74"/>
  <c r="W26" i="74"/>
  <c r="V26" i="74"/>
  <c r="U26" i="74"/>
  <c r="T26" i="74"/>
  <c r="S26" i="74"/>
  <c r="R26" i="74"/>
  <c r="Q26" i="74"/>
  <c r="A26" i="74"/>
  <c r="A24" i="74"/>
  <c r="A23" i="74"/>
  <c r="A22" i="74"/>
  <c r="A20" i="74"/>
  <c r="A19" i="74"/>
  <c r="Y18" i="74"/>
  <c r="A17" i="74"/>
  <c r="A16" i="74"/>
  <c r="X15" i="74"/>
  <c r="W15" i="74"/>
  <c r="U15" i="74"/>
  <c r="T15" i="74"/>
  <c r="S15" i="74"/>
  <c r="R15" i="74"/>
  <c r="Q15" i="74"/>
  <c r="A15" i="74"/>
  <c r="A13" i="74"/>
  <c r="W12" i="74"/>
  <c r="U12" i="74"/>
  <c r="T12" i="74"/>
  <c r="S12" i="74"/>
  <c r="R12" i="74"/>
  <c r="Q12" i="74"/>
  <c r="A12" i="74"/>
  <c r="Y11" i="74"/>
  <c r="Y10" i="74"/>
  <c r="U10" i="74"/>
  <c r="A10" i="74"/>
  <c r="Y9" i="74"/>
  <c r="AB9" i="74" s="1"/>
  <c r="AC9" i="74" s="1"/>
  <c r="AD9" i="74" s="1"/>
  <c r="AE9" i="74" s="1"/>
  <c r="AF9" i="74" s="1"/>
  <c r="X9" i="74"/>
  <c r="V9" i="74"/>
  <c r="A9" i="74"/>
  <c r="U7" i="74"/>
  <c r="A7" i="74"/>
  <c r="X6" i="74"/>
  <c r="W6" i="74"/>
  <c r="V6" i="74"/>
  <c r="A6" i="74"/>
  <c r="U4" i="74"/>
  <c r="A4" i="74"/>
  <c r="X3" i="74"/>
  <c r="W3" i="74"/>
  <c r="V3" i="74"/>
  <c r="U3" i="74"/>
  <c r="A3" i="74"/>
  <c r="P29" i="74"/>
  <c r="O29" i="74"/>
  <c r="N29" i="74"/>
  <c r="M29" i="74"/>
  <c r="P24" i="74"/>
  <c r="O24" i="74"/>
  <c r="N24" i="74"/>
  <c r="M24" i="74"/>
  <c r="P23" i="74"/>
  <c r="O23" i="74"/>
  <c r="N23" i="74"/>
  <c r="M23" i="74"/>
  <c r="P19" i="74"/>
  <c r="O19" i="74"/>
  <c r="N19" i="74"/>
  <c r="M19" i="74"/>
  <c r="P16" i="74"/>
  <c r="O16" i="74"/>
  <c r="N16" i="74"/>
  <c r="M16" i="74"/>
  <c r="M17" i="74" s="1"/>
  <c r="P13" i="74"/>
  <c r="O13" i="74"/>
  <c r="N13" i="74"/>
  <c r="M13" i="74"/>
  <c r="AC2" i="74"/>
  <c r="AB2" i="74"/>
  <c r="AA2" i="74"/>
  <c r="Z2" i="74"/>
  <c r="Y2" i="74"/>
  <c r="X2" i="74"/>
  <c r="W2" i="74"/>
  <c r="V2" i="74"/>
  <c r="U2" i="74"/>
  <c r="T2" i="74"/>
  <c r="S2" i="74"/>
  <c r="R2" i="74"/>
  <c r="Q2" i="74"/>
  <c r="P2" i="74"/>
  <c r="O2" i="74"/>
  <c r="N2" i="74"/>
  <c r="M2" i="74"/>
  <c r="L2" i="74"/>
  <c r="K2" i="74"/>
  <c r="J2" i="74"/>
  <c r="I2" i="74"/>
  <c r="H2" i="74"/>
  <c r="G2" i="74"/>
  <c r="F2" i="74"/>
  <c r="E2" i="74"/>
  <c r="D2" i="74"/>
  <c r="C2" i="74"/>
  <c r="B2" i="74"/>
  <c r="D43" i="73"/>
  <c r="C43" i="73"/>
  <c r="B43" i="73"/>
  <c r="E42" i="73"/>
  <c r="D42" i="73"/>
  <c r="C42" i="73"/>
  <c r="B42" i="73"/>
  <c r="E41" i="73"/>
  <c r="D41" i="73"/>
  <c r="C41" i="73"/>
  <c r="B41" i="73"/>
  <c r="W37" i="74"/>
  <c r="W36" i="74"/>
  <c r="AP29" i="73"/>
  <c r="AM29" i="73"/>
  <c r="AL29" i="73"/>
  <c r="AK29" i="73"/>
  <c r="AH29" i="73"/>
  <c r="AG29" i="73"/>
  <c r="AF29" i="73"/>
  <c r="AB29" i="73"/>
  <c r="X29" i="73"/>
  <c r="W29" i="73"/>
  <c r="V29" i="73"/>
  <c r="S29" i="73"/>
  <c r="R29" i="73"/>
  <c r="Q29" i="73"/>
  <c r="P29" i="73"/>
  <c r="N29" i="73"/>
  <c r="M29" i="73"/>
  <c r="L29" i="73"/>
  <c r="K29" i="73"/>
  <c r="I29" i="73"/>
  <c r="H29" i="73"/>
  <c r="G29" i="73"/>
  <c r="F29" i="73"/>
  <c r="D29" i="73"/>
  <c r="C29" i="73"/>
  <c r="B29" i="73"/>
  <c r="Y27" i="74"/>
  <c r="AD29" i="73"/>
  <c r="AC29" i="73"/>
  <c r="AA29" i="73"/>
  <c r="Z29" i="73"/>
  <c r="U29" i="73"/>
  <c r="Y26" i="74"/>
  <c r="AJ24" i="73"/>
  <c r="W24" i="74" s="1"/>
  <c r="Z24" i="73"/>
  <c r="U24" i="74" s="1"/>
  <c r="X24" i="73"/>
  <c r="U24" i="73"/>
  <c r="T24" i="74" s="1"/>
  <c r="S24" i="73"/>
  <c r="R24" i="73"/>
  <c r="Q24" i="73"/>
  <c r="P24" i="73"/>
  <c r="S24" i="74" s="1"/>
  <c r="N24" i="73"/>
  <c r="M24" i="73"/>
  <c r="L24" i="73"/>
  <c r="K24" i="73"/>
  <c r="R24" i="74" s="1"/>
  <c r="I24" i="73"/>
  <c r="H24" i="73"/>
  <c r="G24" i="73"/>
  <c r="F24" i="73"/>
  <c r="Q24" i="74" s="1"/>
  <c r="D24" i="73"/>
  <c r="C24" i="73"/>
  <c r="B24" i="73"/>
  <c r="AP23" i="73"/>
  <c r="AO23" i="73"/>
  <c r="X23" i="74" s="1"/>
  <c r="AM23" i="73"/>
  <c r="AL23" i="73"/>
  <c r="AK23" i="73"/>
  <c r="AJ23" i="73"/>
  <c r="W23" i="74" s="1"/>
  <c r="AH23" i="73"/>
  <c r="AG23" i="73"/>
  <c r="AF23" i="73"/>
  <c r="AC23" i="73"/>
  <c r="AB23" i="73"/>
  <c r="AA23" i="73"/>
  <c r="Z23" i="73"/>
  <c r="U23" i="74" s="1"/>
  <c r="X23" i="73"/>
  <c r="W23" i="73"/>
  <c r="V23" i="73"/>
  <c r="U23" i="73"/>
  <c r="T23" i="74" s="1"/>
  <c r="S23" i="73"/>
  <c r="R23" i="73"/>
  <c r="Q23" i="73"/>
  <c r="P23" i="73"/>
  <c r="S23" i="74" s="1"/>
  <c r="N23" i="73"/>
  <c r="M23" i="73"/>
  <c r="L23" i="73"/>
  <c r="K23" i="73"/>
  <c r="R23" i="74" s="1"/>
  <c r="I23" i="73"/>
  <c r="H23" i="73"/>
  <c r="G23" i="73"/>
  <c r="Q23" i="74"/>
  <c r="AI29" i="73"/>
  <c r="AE23" i="73"/>
  <c r="V23" i="74" s="1"/>
  <c r="O29" i="73"/>
  <c r="J24" i="73"/>
  <c r="AJ19" i="73"/>
  <c r="W19" i="74" s="1"/>
  <c r="Z19" i="73"/>
  <c r="X19" i="73"/>
  <c r="U19" i="73"/>
  <c r="S19" i="73"/>
  <c r="R19" i="73"/>
  <c r="Q19" i="73"/>
  <c r="P19" i="73"/>
  <c r="S19" i="74" s="1"/>
  <c r="N19" i="73"/>
  <c r="M19" i="73"/>
  <c r="L19" i="73"/>
  <c r="K19" i="73"/>
  <c r="R19" i="74" s="1"/>
  <c r="J19" i="73"/>
  <c r="I19" i="73"/>
  <c r="H19" i="73"/>
  <c r="G19" i="73"/>
  <c r="F19" i="73"/>
  <c r="D19" i="73"/>
  <c r="C19" i="73"/>
  <c r="B19" i="73"/>
  <c r="AJ16" i="73"/>
  <c r="W16" i="74" s="1"/>
  <c r="Z16" i="73"/>
  <c r="U16" i="74" s="1"/>
  <c r="X16" i="73"/>
  <c r="U16" i="73"/>
  <c r="T16" i="74" s="1"/>
  <c r="S16" i="73"/>
  <c r="R16" i="73"/>
  <c r="Q16" i="73"/>
  <c r="P16" i="73"/>
  <c r="S16" i="74" s="1"/>
  <c r="N16" i="73"/>
  <c r="M16" i="73"/>
  <c r="L16" i="73"/>
  <c r="K16" i="73"/>
  <c r="I16" i="73"/>
  <c r="H16" i="73"/>
  <c r="G16" i="73"/>
  <c r="F16" i="73"/>
  <c r="D16" i="73"/>
  <c r="C16" i="73"/>
  <c r="B16" i="73"/>
  <c r="Y15" i="74"/>
  <c r="Z13" i="73"/>
  <c r="U13" i="74" s="1"/>
  <c r="X13" i="73"/>
  <c r="U13" i="73"/>
  <c r="T13" i="74" s="1"/>
  <c r="S13" i="73"/>
  <c r="R13" i="73"/>
  <c r="Q13" i="73"/>
  <c r="P13" i="73"/>
  <c r="S13" i="74" s="1"/>
  <c r="N13" i="73"/>
  <c r="M13" i="73"/>
  <c r="L13" i="73"/>
  <c r="K13" i="73"/>
  <c r="R13" i="74" s="1"/>
  <c r="J13" i="73"/>
  <c r="I13" i="73"/>
  <c r="H13" i="73"/>
  <c r="G13" i="73"/>
  <c r="Q13" i="74"/>
  <c r="AP19" i="73"/>
  <c r="AU20" i="73" s="1"/>
  <c r="AL16" i="73"/>
  <c r="AF16" i="73"/>
  <c r="AC24" i="73"/>
  <c r="AM10" i="73"/>
  <c r="AL10" i="73"/>
  <c r="AK10" i="73"/>
  <c r="AH10" i="73"/>
  <c r="AG10" i="73"/>
  <c r="AF10" i="73"/>
  <c r="AB10" i="73"/>
  <c r="AA10" i="73"/>
  <c r="AO10" i="73"/>
  <c r="X10" i="74" s="1"/>
  <c r="AO7" i="73"/>
  <c r="X7" i="74" s="1"/>
  <c r="AM7" i="73"/>
  <c r="AL7" i="73"/>
  <c r="AK7" i="73"/>
  <c r="AJ7" i="73"/>
  <c r="W7" i="74" s="1"/>
  <c r="AH7" i="73"/>
  <c r="AG7" i="73"/>
  <c r="AF7" i="73"/>
  <c r="AC7" i="73"/>
  <c r="AB7" i="73"/>
  <c r="AN7" i="73"/>
  <c r="AO4" i="73"/>
  <c r="X4" i="74" s="1"/>
  <c r="AM4" i="73"/>
  <c r="AL4" i="73"/>
  <c r="AK4" i="73"/>
  <c r="AJ4" i="73"/>
  <c r="W4" i="74" s="1"/>
  <c r="AH4" i="73"/>
  <c r="AG4" i="73"/>
  <c r="AC4" i="73"/>
  <c r="AB4" i="73"/>
  <c r="AT2" i="73"/>
  <c r="AS2" i="73"/>
  <c r="AR2" i="73"/>
  <c r="AQ2" i="73"/>
  <c r="AP2" i="73"/>
  <c r="AO2" i="73"/>
  <c r="AN2" i="73"/>
  <c r="AM2" i="73"/>
  <c r="AL2" i="73"/>
  <c r="AK2" i="73"/>
  <c r="AJ2" i="73"/>
  <c r="AI2" i="73"/>
  <c r="AH2" i="73"/>
  <c r="AG2" i="73"/>
  <c r="AF2" i="73"/>
  <c r="AE2" i="73"/>
  <c r="AD2" i="73"/>
  <c r="AC2" i="73"/>
  <c r="AB2" i="73"/>
  <c r="AA2" i="73"/>
  <c r="Z2" i="73"/>
  <c r="Y2" i="73"/>
  <c r="X2" i="73"/>
  <c r="W2" i="73"/>
  <c r="V2" i="73"/>
  <c r="U2" i="73"/>
  <c r="T2" i="73"/>
  <c r="S2" i="73"/>
  <c r="R2" i="73"/>
  <c r="Q2" i="73"/>
  <c r="P2" i="73"/>
  <c r="O2" i="73"/>
  <c r="N2" i="73"/>
  <c r="M2" i="73"/>
  <c r="L2" i="73"/>
  <c r="K2" i="73"/>
  <c r="J2" i="73"/>
  <c r="I2" i="73"/>
  <c r="H2" i="73"/>
  <c r="G2" i="73"/>
  <c r="F2" i="73"/>
  <c r="E2" i="73"/>
  <c r="D2" i="73"/>
  <c r="C2" i="73"/>
  <c r="B2" i="73"/>
  <c r="AH5" i="15" l="1"/>
  <c r="X27" i="74"/>
  <c r="AB16" i="15"/>
  <c r="BK16" i="13"/>
  <c r="AB12" i="15"/>
  <c r="BK12" i="13"/>
  <c r="BH12" i="13"/>
  <c r="BH22" i="73"/>
  <c r="BH30" i="73"/>
  <c r="AA16" i="15"/>
  <c r="BD42" i="76"/>
  <c r="AU29" i="76"/>
  <c r="AU30" i="73"/>
  <c r="R22" i="74"/>
  <c r="R29" i="74" s="1"/>
  <c r="AT30" i="73"/>
  <c r="P17" i="74"/>
  <c r="G17" i="73"/>
  <c r="N20" i="74"/>
  <c r="Z24" i="74"/>
  <c r="Z19" i="74"/>
  <c r="Z22" i="74" s="1"/>
  <c r="Z29" i="74" s="1"/>
  <c r="P20" i="74"/>
  <c r="N32" i="74"/>
  <c r="N17" i="74"/>
  <c r="O32" i="74"/>
  <c r="P30" i="74"/>
  <c r="M32" i="74"/>
  <c r="M33" i="74" s="1"/>
  <c r="Y9" i="75"/>
  <c r="Z9" i="75"/>
  <c r="Y3" i="75"/>
  <c r="Y6" i="75"/>
  <c r="AB19" i="76"/>
  <c r="V42" i="76"/>
  <c r="S22" i="74"/>
  <c r="S29" i="74" s="1"/>
  <c r="S32" i="74" s="1"/>
  <c r="N20" i="73"/>
  <c r="AR30" i="73"/>
  <c r="AE29" i="73"/>
  <c r="W21" i="75"/>
  <c r="W28" i="75" s="1"/>
  <c r="W42" i="76"/>
  <c r="AH29" i="76"/>
  <c r="Z16" i="76"/>
  <c r="AR29" i="76"/>
  <c r="AA19" i="76"/>
  <c r="AP16" i="13"/>
  <c r="AP7" i="13"/>
  <c r="W15" i="75"/>
  <c r="AR39" i="76"/>
  <c r="AR35" i="76"/>
  <c r="AR36" i="76"/>
  <c r="AR40" i="76"/>
  <c r="AP12" i="13"/>
  <c r="X17" i="73"/>
  <c r="M20" i="73"/>
  <c r="I20" i="73"/>
  <c r="V30" i="73"/>
  <c r="AQ30" i="73"/>
  <c r="X31" i="76"/>
  <c r="V16" i="76"/>
  <c r="AK12" i="76"/>
  <c r="AH18" i="76"/>
  <c r="AM19" i="76" s="1"/>
  <c r="AI41" i="76"/>
  <c r="AM12" i="76"/>
  <c r="AJ7" i="76"/>
  <c r="W7" i="75" s="1"/>
  <c r="AM15" i="76"/>
  <c r="AR16" i="76" s="1"/>
  <c r="AN15" i="76"/>
  <c r="AN18" i="76"/>
  <c r="AS19" i="76" s="1"/>
  <c r="Y35" i="76"/>
  <c r="Y39" i="76"/>
  <c r="AD40" i="76"/>
  <c r="AD7" i="76"/>
  <c r="AE10" i="76"/>
  <c r="D23" i="76"/>
  <c r="D15" i="76"/>
  <c r="I16" i="76" s="1"/>
  <c r="D41" i="76"/>
  <c r="Z19" i="76"/>
  <c r="U19" i="76"/>
  <c r="I12" i="76"/>
  <c r="L18" i="76"/>
  <c r="F28" i="76"/>
  <c r="C42" i="76" s="1"/>
  <c r="J22" i="76"/>
  <c r="F23" i="76"/>
  <c r="J28" i="76"/>
  <c r="J23" i="76"/>
  <c r="N42" i="76"/>
  <c r="AD39" i="76"/>
  <c r="AD4" i="76"/>
  <c r="AI40" i="76"/>
  <c r="AI7" i="76"/>
  <c r="F18" i="76"/>
  <c r="J41" i="76"/>
  <c r="J18" i="76"/>
  <c r="N41" i="76"/>
  <c r="N18" i="76"/>
  <c r="N12" i="76"/>
  <c r="R41" i="76"/>
  <c r="R18" i="76"/>
  <c r="W12" i="76"/>
  <c r="R12" i="76"/>
  <c r="Y41" i="76"/>
  <c r="Y15" i="76"/>
  <c r="Y18" i="76"/>
  <c r="AF36" i="76"/>
  <c r="AF35" i="76"/>
  <c r="AF41" i="76"/>
  <c r="AF15" i="76"/>
  <c r="AF23" i="76"/>
  <c r="AK35" i="76"/>
  <c r="AK23" i="76"/>
  <c r="AK36" i="76"/>
  <c r="AK15" i="76"/>
  <c r="AK18" i="76"/>
  <c r="K12" i="76"/>
  <c r="AF12" i="76"/>
  <c r="F15" i="76"/>
  <c r="AA16" i="76"/>
  <c r="AF18" i="76"/>
  <c r="AF19" i="76" s="1"/>
  <c r="B28" i="76"/>
  <c r="G29" i="76" s="1"/>
  <c r="B23" i="76"/>
  <c r="AP39" i="76"/>
  <c r="AT39" i="76" s="1"/>
  <c r="AP40" i="76"/>
  <c r="AT40" i="76" s="1"/>
  <c r="AD10" i="76"/>
  <c r="B41" i="76"/>
  <c r="B18" i="76"/>
  <c r="G41" i="76"/>
  <c r="G18" i="76"/>
  <c r="G23" i="76"/>
  <c r="K18" i="76"/>
  <c r="K23" i="76"/>
  <c r="S41" i="76"/>
  <c r="S18" i="76"/>
  <c r="X19" i="76" s="1"/>
  <c r="S23" i="76"/>
  <c r="S12" i="76"/>
  <c r="AB36" i="76"/>
  <c r="AB35" i="76"/>
  <c r="AB23" i="76"/>
  <c r="AB15" i="76"/>
  <c r="AG35" i="76"/>
  <c r="AG41" i="76"/>
  <c r="AG23" i="76"/>
  <c r="AG36" i="76"/>
  <c r="AG15" i="76"/>
  <c r="AG18" i="76"/>
  <c r="AG19" i="76" s="1"/>
  <c r="AL36" i="76"/>
  <c r="AL18" i="76"/>
  <c r="AQ19" i="76" s="1"/>
  <c r="AL12" i="76"/>
  <c r="AL35" i="76"/>
  <c r="AL23" i="76"/>
  <c r="AP36" i="76"/>
  <c r="AP23" i="76"/>
  <c r="AP18" i="76"/>
  <c r="AP35" i="76"/>
  <c r="AP12" i="76"/>
  <c r="G12" i="76"/>
  <c r="AG12" i="76"/>
  <c r="G15" i="76"/>
  <c r="G31" i="76" s="1"/>
  <c r="R15" i="76"/>
  <c r="R16" i="76" s="1"/>
  <c r="AL15" i="76"/>
  <c r="D18" i="76"/>
  <c r="AM42" i="76"/>
  <c r="AN39" i="76"/>
  <c r="AO39" i="76" s="1"/>
  <c r="AN35" i="76"/>
  <c r="Y40" i="76"/>
  <c r="Y36" i="76"/>
  <c r="AN40" i="76"/>
  <c r="AO40" i="76" s="1"/>
  <c r="AN36" i="76"/>
  <c r="AI10" i="76"/>
  <c r="AN10" i="76"/>
  <c r="C41" i="76"/>
  <c r="C18" i="76"/>
  <c r="C23" i="76"/>
  <c r="H23" i="76"/>
  <c r="H41" i="76"/>
  <c r="H15" i="76"/>
  <c r="H31" i="76" s="1"/>
  <c r="L23" i="76"/>
  <c r="L41" i="76"/>
  <c r="L15" i="76"/>
  <c r="L31" i="76" s="1"/>
  <c r="P23" i="76"/>
  <c r="P15" i="76"/>
  <c r="AC35" i="76"/>
  <c r="AC23" i="76"/>
  <c r="AC15" i="76"/>
  <c r="AC36" i="76"/>
  <c r="AC18" i="76"/>
  <c r="H12" i="76"/>
  <c r="M12" i="76"/>
  <c r="U12" i="76"/>
  <c r="AB12" i="76"/>
  <c r="B15" i="76"/>
  <c r="N15" i="76"/>
  <c r="N16" i="76" s="1"/>
  <c r="S15" i="76"/>
  <c r="S31" i="76" s="1"/>
  <c r="H18" i="76"/>
  <c r="M29" i="76"/>
  <c r="M42" i="76"/>
  <c r="M31" i="76"/>
  <c r="Y23" i="76"/>
  <c r="N22" i="76"/>
  <c r="R22" i="76"/>
  <c r="AD22" i="76"/>
  <c r="I23" i="76"/>
  <c r="M23" i="76"/>
  <c r="Q23" i="76"/>
  <c r="C31" i="76"/>
  <c r="Q28" i="76"/>
  <c r="AG29" i="76"/>
  <c r="R29" i="76"/>
  <c r="AI39" i="76"/>
  <c r="AJ39" i="76" s="1"/>
  <c r="AI35" i="76"/>
  <c r="AI4" i="76"/>
  <c r="AF40" i="76"/>
  <c r="AJ36" i="76"/>
  <c r="W36" i="75" s="1"/>
  <c r="AH40" i="76"/>
  <c r="I41" i="76"/>
  <c r="M41" i="76"/>
  <c r="AH41" i="76"/>
  <c r="AH36" i="76"/>
  <c r="AM36" i="76"/>
  <c r="AM35" i="76"/>
  <c r="V12" i="76"/>
  <c r="Z12" i="76"/>
  <c r="AH12" i="76"/>
  <c r="I18" i="76"/>
  <c r="M18" i="76"/>
  <c r="Q18" i="76"/>
  <c r="K31" i="76"/>
  <c r="S29" i="76"/>
  <c r="G22" i="76"/>
  <c r="K22" i="76"/>
  <c r="S22" i="76"/>
  <c r="W22" i="76"/>
  <c r="AI22" i="76"/>
  <c r="N23" i="76"/>
  <c r="R23" i="76"/>
  <c r="AH23" i="76"/>
  <c r="AM23" i="76"/>
  <c r="U28" i="76"/>
  <c r="Y28" i="76"/>
  <c r="AC29" i="76"/>
  <c r="AL29" i="76"/>
  <c r="AE39" i="76"/>
  <c r="Z41" i="76"/>
  <c r="H29" i="76"/>
  <c r="H42" i="76"/>
  <c r="L29" i="76"/>
  <c r="L42" i="76"/>
  <c r="P29" i="76"/>
  <c r="AI29" i="76"/>
  <c r="H22" i="76"/>
  <c r="L22" i="76"/>
  <c r="P22" i="76"/>
  <c r="AN22" i="76"/>
  <c r="AI23" i="76"/>
  <c r="AN23" i="76"/>
  <c r="I28" i="76"/>
  <c r="N29" i="76" s="1"/>
  <c r="Z31" i="76"/>
  <c r="AK29" i="76"/>
  <c r="AK42" i="76"/>
  <c r="AP29" i="76"/>
  <c r="AH35" i="76"/>
  <c r="AG40" i="76"/>
  <c r="G42" i="76"/>
  <c r="AN29" i="76"/>
  <c r="AN42" i="76"/>
  <c r="M22" i="76"/>
  <c r="U22" i="76"/>
  <c r="W31" i="76"/>
  <c r="AA31" i="76"/>
  <c r="AL42" i="76"/>
  <c r="AE40" i="76"/>
  <c r="W29" i="76"/>
  <c r="AA29" i="76"/>
  <c r="AM29" i="76"/>
  <c r="V31" i="76"/>
  <c r="AH31" i="76"/>
  <c r="AP31" i="76"/>
  <c r="X42" i="76"/>
  <c r="AC42" i="76"/>
  <c r="X29" i="76"/>
  <c r="AB29" i="76"/>
  <c r="AF29" i="76"/>
  <c r="AG42" i="76"/>
  <c r="B44" i="73"/>
  <c r="D44" i="73"/>
  <c r="AK30" i="73"/>
  <c r="U20" i="73"/>
  <c r="T20" i="74" s="1"/>
  <c r="P30" i="73"/>
  <c r="S30" i="74" s="1"/>
  <c r="Q30" i="73"/>
  <c r="AG30" i="73"/>
  <c r="Q20" i="73"/>
  <c r="X20" i="73"/>
  <c r="R30" i="73"/>
  <c r="Q16" i="74"/>
  <c r="L17" i="73"/>
  <c r="J16" i="73"/>
  <c r="M17" i="73"/>
  <c r="L20" i="73"/>
  <c r="R16" i="74"/>
  <c r="T19" i="74"/>
  <c r="T22" i="74" s="1"/>
  <c r="T29" i="74" s="1"/>
  <c r="T32" i="74" s="1"/>
  <c r="N17" i="73"/>
  <c r="Z17" i="73"/>
  <c r="U17" i="74" s="1"/>
  <c r="R20" i="73"/>
  <c r="Z20" i="73"/>
  <c r="U20" i="74" s="1"/>
  <c r="Q19" i="74"/>
  <c r="Q22" i="74" s="1"/>
  <c r="Q29" i="74" s="1"/>
  <c r="U19" i="74"/>
  <c r="U22" i="74" s="1"/>
  <c r="U29" i="74" s="1"/>
  <c r="U32" i="74" s="1"/>
  <c r="H17" i="73"/>
  <c r="P20" i="73"/>
  <c r="S20" i="74" s="1"/>
  <c r="I17" i="73"/>
  <c r="H20" i="73"/>
  <c r="T16" i="73"/>
  <c r="W22" i="74"/>
  <c r="W29" i="74" s="1"/>
  <c r="W32" i="74" s="1"/>
  <c r="AP16" i="73"/>
  <c r="AU17" i="73" s="1"/>
  <c r="AJ10" i="73"/>
  <c r="W10" i="74" s="1"/>
  <c r="AN10" i="73"/>
  <c r="AC16" i="73"/>
  <c r="AC32" i="73" s="1"/>
  <c r="AL13" i="73"/>
  <c r="W13" i="73"/>
  <c r="AG16" i="73"/>
  <c r="AL19" i="73"/>
  <c r="W9" i="74"/>
  <c r="N30" i="74"/>
  <c r="O17" i="74"/>
  <c r="O20" i="74"/>
  <c r="O30" i="74"/>
  <c r="P32" i="74"/>
  <c r="M30" i="74"/>
  <c r="V24" i="73"/>
  <c r="V19" i="73"/>
  <c r="V20" i="73" s="1"/>
  <c r="Y24" i="73"/>
  <c r="V13" i="73"/>
  <c r="V16" i="73"/>
  <c r="V17" i="73" s="1"/>
  <c r="E43" i="73"/>
  <c r="E19" i="73"/>
  <c r="J20" i="73" s="1"/>
  <c r="AB19" i="73"/>
  <c r="AB24" i="73"/>
  <c r="AF19" i="73"/>
  <c r="AF24" i="73"/>
  <c r="AK19" i="73"/>
  <c r="AK13" i="73"/>
  <c r="AK24" i="73"/>
  <c r="AK16" i="73"/>
  <c r="AP13" i="73"/>
  <c r="E16" i="73"/>
  <c r="R17" i="73"/>
  <c r="E24" i="73"/>
  <c r="Z32" i="73"/>
  <c r="Z30" i="73"/>
  <c r="U30" i="74" s="1"/>
  <c r="K17" i="73"/>
  <c r="R17" i="74" s="1"/>
  <c r="S20" i="73"/>
  <c r="U32" i="73"/>
  <c r="U30" i="73"/>
  <c r="T30" i="74" s="1"/>
  <c r="AA30" i="73"/>
  <c r="AA4" i="73"/>
  <c r="O19" i="73"/>
  <c r="O20" i="73" s="1"/>
  <c r="AH24" i="73"/>
  <c r="AH16" i="73"/>
  <c r="AM16" i="73"/>
  <c r="AR17" i="73" s="1"/>
  <c r="AM19" i="73"/>
  <c r="AR20" i="73" s="1"/>
  <c r="AM24" i="73"/>
  <c r="O13" i="73"/>
  <c r="AB13" i="73"/>
  <c r="AH13" i="73"/>
  <c r="AM13" i="73"/>
  <c r="O16" i="73"/>
  <c r="P17" i="73"/>
  <c r="S17" i="74" s="1"/>
  <c r="G20" i="73"/>
  <c r="K20" i="73"/>
  <c r="R20" i="74" s="1"/>
  <c r="AI30" i="73"/>
  <c r="N32" i="73"/>
  <c r="AF4" i="73"/>
  <c r="AN4" i="73"/>
  <c r="AA7" i="73"/>
  <c r="AI7" i="73"/>
  <c r="T19" i="73"/>
  <c r="T13" i="73"/>
  <c r="Q17" i="73"/>
  <c r="U17" i="73"/>
  <c r="T17" i="74" s="1"/>
  <c r="AB16" i="73"/>
  <c r="S17" i="73"/>
  <c r="AH19" i="73"/>
  <c r="T24" i="73"/>
  <c r="AH30" i="73"/>
  <c r="AC30" i="73"/>
  <c r="F32" i="73"/>
  <c r="T23" i="73"/>
  <c r="AN23" i="73"/>
  <c r="O24" i="73"/>
  <c r="W24" i="73"/>
  <c r="T29" i="73"/>
  <c r="AN29" i="73"/>
  <c r="I30" i="73"/>
  <c r="M30" i="73"/>
  <c r="D32" i="73"/>
  <c r="H32" i="73"/>
  <c r="M32" i="73"/>
  <c r="R32" i="73"/>
  <c r="X32" i="73"/>
  <c r="W19" i="73"/>
  <c r="W20" i="73" s="1"/>
  <c r="Y23" i="73"/>
  <c r="E29" i="73"/>
  <c r="Y29" i="73"/>
  <c r="AD30" i="73" s="1"/>
  <c r="N30" i="73"/>
  <c r="AL30" i="73"/>
  <c r="AP30" i="73"/>
  <c r="I32" i="73"/>
  <c r="J23" i="73"/>
  <c r="AD23" i="73"/>
  <c r="AG24" i="73"/>
  <c r="J29" i="73"/>
  <c r="G30" i="73"/>
  <c r="K30" i="73"/>
  <c r="R30" i="74" s="1"/>
  <c r="S30" i="73"/>
  <c r="W30" i="73"/>
  <c r="AM30" i="73"/>
  <c r="B32" i="73"/>
  <c r="P32" i="73"/>
  <c r="AF32" i="73"/>
  <c r="AL32" i="73"/>
  <c r="AC13" i="73"/>
  <c r="AG13" i="73"/>
  <c r="W16" i="73"/>
  <c r="W17" i="73" s="1"/>
  <c r="AC19" i="73"/>
  <c r="AC20" i="73" s="1"/>
  <c r="AG19" i="73"/>
  <c r="O23" i="73"/>
  <c r="AI23" i="73"/>
  <c r="AL24" i="73"/>
  <c r="AP24" i="73"/>
  <c r="C44" i="73"/>
  <c r="K32" i="73"/>
  <c r="S32" i="73"/>
  <c r="H30" i="73"/>
  <c r="L30" i="73"/>
  <c r="X30" i="73"/>
  <c r="AB30" i="73"/>
  <c r="AF30" i="73"/>
  <c r="C32" i="73"/>
  <c r="G32" i="73"/>
  <c r="L32" i="73"/>
  <c r="Q32" i="73"/>
  <c r="AS9" i="46"/>
  <c r="AT9" i="46" s="1"/>
  <c r="V185" i="45"/>
  <c r="W185" i="45"/>
  <c r="V163" i="45"/>
  <c r="W163" i="45"/>
  <c r="V146" i="45"/>
  <c r="W146" i="45"/>
  <c r="A123" i="45"/>
  <c r="A55" i="45"/>
  <c r="V55" i="45"/>
  <c r="W55" i="45"/>
  <c r="A33" i="45"/>
  <c r="V33" i="45"/>
  <c r="W33" i="45"/>
  <c r="A16" i="45"/>
  <c r="V16" i="45"/>
  <c r="W16" i="45"/>
  <c r="AL192" i="46"/>
  <c r="AB185" i="46"/>
  <c r="A185" i="46"/>
  <c r="A185" i="45" s="1"/>
  <c r="AB146" i="46"/>
  <c r="AD123" i="46"/>
  <c r="AE123" i="46" s="1"/>
  <c r="AF123" i="46" s="1"/>
  <c r="AG123" i="46" s="1"/>
  <c r="AH123" i="46" s="1"/>
  <c r="AI123" i="46" s="1"/>
  <c r="AJ123" i="46" s="1"/>
  <c r="AK123" i="46" s="1"/>
  <c r="AL123" i="46" s="1"/>
  <c r="AM123" i="46" s="1"/>
  <c r="AN123" i="46" s="1"/>
  <c r="AO123" i="46" s="1"/>
  <c r="AP123" i="46" s="1"/>
  <c r="AQ123" i="46" s="1"/>
  <c r="AR123" i="46" s="1"/>
  <c r="AS123" i="46" s="1"/>
  <c r="AT123" i="46" s="1"/>
  <c r="A101" i="46"/>
  <c r="A163" i="46" s="1"/>
  <c r="A163" i="45" s="1"/>
  <c r="AC101" i="46"/>
  <c r="AD101" i="46" s="1"/>
  <c r="AE101" i="46" s="1"/>
  <c r="AF101" i="46" s="1"/>
  <c r="AG101" i="46" s="1"/>
  <c r="AH101" i="46" s="1"/>
  <c r="AI101" i="46" s="1"/>
  <c r="AJ101" i="46" s="1"/>
  <c r="AK101" i="46" s="1"/>
  <c r="AL101" i="46" s="1"/>
  <c r="AM101" i="46" s="1"/>
  <c r="AN101" i="46" s="1"/>
  <c r="AO101" i="46" s="1"/>
  <c r="AP101" i="46" s="1"/>
  <c r="AQ101" i="46" s="1"/>
  <c r="AR101" i="46" s="1"/>
  <c r="AS101" i="46" s="1"/>
  <c r="AT101" i="46" s="1"/>
  <c r="AC84" i="46"/>
  <c r="AD84" i="46" s="1"/>
  <c r="AE84" i="46" s="1"/>
  <c r="AF84" i="46" s="1"/>
  <c r="AG84" i="46" s="1"/>
  <c r="AH84" i="46" s="1"/>
  <c r="AI84" i="46" s="1"/>
  <c r="AJ84" i="46" s="1"/>
  <c r="AK84" i="46" s="1"/>
  <c r="AL84" i="46" s="1"/>
  <c r="AM84" i="46" s="1"/>
  <c r="AN84" i="46" s="1"/>
  <c r="AO84" i="46" s="1"/>
  <c r="AP84" i="46" s="1"/>
  <c r="AQ84" i="46" s="1"/>
  <c r="AR84" i="46" s="1"/>
  <c r="AS84" i="46" s="1"/>
  <c r="AT84" i="46" s="1"/>
  <c r="A84" i="46"/>
  <c r="A146" i="46" s="1"/>
  <c r="A146" i="45" s="1"/>
  <c r="AO55" i="46"/>
  <c r="X55" i="45" s="1"/>
  <c r="AQ55" i="46"/>
  <c r="AR55" i="46" s="1"/>
  <c r="AO33" i="46"/>
  <c r="AQ33" i="46"/>
  <c r="AR33" i="46" s="1"/>
  <c r="AO16" i="46"/>
  <c r="X16" i="45" s="1"/>
  <c r="AQ16" i="46"/>
  <c r="AR16" i="46" s="1"/>
  <c r="AA79" i="16" l="1"/>
  <c r="BI79" i="14"/>
  <c r="AB79" i="16" s="1"/>
  <c r="BH24" i="73"/>
  <c r="BH23" i="73"/>
  <c r="BI22" i="73"/>
  <c r="BH19" i="73"/>
  <c r="W32" i="73"/>
  <c r="W33" i="73" s="1"/>
  <c r="Z32" i="74"/>
  <c r="AA77" i="15"/>
  <c r="AA23" i="74"/>
  <c r="AA24" i="74"/>
  <c r="AU34" i="73"/>
  <c r="P33" i="74"/>
  <c r="N33" i="74"/>
  <c r="AS30" i="73"/>
  <c r="AS16" i="76"/>
  <c r="K29" i="76"/>
  <c r="Z79" i="16"/>
  <c r="R32" i="74"/>
  <c r="AC9" i="75"/>
  <c r="AD9" i="75" s="1"/>
  <c r="AE9" i="75" s="1"/>
  <c r="AF9" i="75" s="1"/>
  <c r="Y123" i="45"/>
  <c r="AU123" i="46"/>
  <c r="Y84" i="45"/>
  <c r="AU84" i="46"/>
  <c r="Y101" i="45"/>
  <c r="AU101" i="46"/>
  <c r="O33" i="74"/>
  <c r="Z23" i="75"/>
  <c r="Z18" i="75"/>
  <c r="Z21" i="75" s="1"/>
  <c r="Z28" i="75" s="1"/>
  <c r="AY36" i="76"/>
  <c r="Z36" i="75" s="1"/>
  <c r="AY35" i="76"/>
  <c r="Z35" i="75" s="1"/>
  <c r="D31" i="76"/>
  <c r="W31" i="75"/>
  <c r="AP163" i="46"/>
  <c r="X101" i="45"/>
  <c r="W84" i="45"/>
  <c r="AP146" i="46"/>
  <c r="AP185" i="46"/>
  <c r="AK185" i="46"/>
  <c r="X84" i="45"/>
  <c r="A101" i="45"/>
  <c r="V123" i="45"/>
  <c r="AS33" i="46"/>
  <c r="AT33" i="46" s="1"/>
  <c r="AN185" i="46"/>
  <c r="AR185" i="46"/>
  <c r="AM185" i="46"/>
  <c r="X33" i="45"/>
  <c r="V84" i="45"/>
  <c r="W101" i="45"/>
  <c r="X123" i="45"/>
  <c r="AN146" i="46"/>
  <c r="AS16" i="46"/>
  <c r="AT16" i="46" s="1"/>
  <c r="AS55" i="46"/>
  <c r="AT55" i="46" s="1"/>
  <c r="AQ185" i="46"/>
  <c r="AL185" i="46"/>
  <c r="A84" i="45"/>
  <c r="V101" i="45"/>
  <c r="W123" i="45"/>
  <c r="O17" i="73"/>
  <c r="AR34" i="73"/>
  <c r="K19" i="76"/>
  <c r="D42" i="76"/>
  <c r="AQ16" i="76"/>
  <c r="AG31" i="76"/>
  <c r="AB16" i="76"/>
  <c r="AF16" i="76"/>
  <c r="J17" i="73"/>
  <c r="Q32" i="74"/>
  <c r="AP3" i="13"/>
  <c r="AB32" i="73"/>
  <c r="AL17" i="73"/>
  <c r="AC17" i="73"/>
  <c r="T17" i="73"/>
  <c r="T20" i="73"/>
  <c r="AC33" i="73"/>
  <c r="AP32" i="73"/>
  <c r="AU33" i="73" s="1"/>
  <c r="AM16" i="76"/>
  <c r="AP16" i="76"/>
  <c r="AK17" i="73"/>
  <c r="AK34" i="73"/>
  <c r="AM32" i="73"/>
  <c r="AR33" i="73" s="1"/>
  <c r="H19" i="76"/>
  <c r="H32" i="76"/>
  <c r="L32" i="76"/>
  <c r="I19" i="76"/>
  <c r="R31" i="76"/>
  <c r="W32" i="76" s="1"/>
  <c r="AP19" i="76"/>
  <c r="AM31" i="76"/>
  <c r="AR32" i="76" s="1"/>
  <c r="W16" i="76"/>
  <c r="AI36" i="76"/>
  <c r="AI12" i="76"/>
  <c r="AL16" i="76"/>
  <c r="AF31" i="76"/>
  <c r="AF32" i="76" s="1"/>
  <c r="AL19" i="76"/>
  <c r="AI15" i="76"/>
  <c r="AI18" i="76"/>
  <c r="AN19" i="76" s="1"/>
  <c r="AL31" i="76"/>
  <c r="AQ32" i="76" s="1"/>
  <c r="AN31" i="76"/>
  <c r="AS32" i="76" s="1"/>
  <c r="AB31" i="76"/>
  <c r="AG16" i="76"/>
  <c r="AN12" i="76"/>
  <c r="AD42" i="76"/>
  <c r="T28" i="76"/>
  <c r="Y29" i="76" s="1"/>
  <c r="T23" i="76"/>
  <c r="T22" i="76"/>
  <c r="AH42" i="76"/>
  <c r="U29" i="76"/>
  <c r="Z29" i="76"/>
  <c r="U31" i="76"/>
  <c r="Z32" i="76" s="1"/>
  <c r="X32" i="76"/>
  <c r="M32" i="76"/>
  <c r="AC31" i="76"/>
  <c r="AC32" i="76" s="1"/>
  <c r="AC16" i="76"/>
  <c r="AH16" i="76"/>
  <c r="T15" i="76"/>
  <c r="Y16" i="76" s="1"/>
  <c r="T41" i="76"/>
  <c r="U41" i="76" s="1"/>
  <c r="T18" i="76"/>
  <c r="Y19" i="76" s="1"/>
  <c r="T12" i="76"/>
  <c r="G16" i="76"/>
  <c r="S19" i="76"/>
  <c r="K16" i="76"/>
  <c r="AI42" i="76"/>
  <c r="AA32" i="76"/>
  <c r="O28" i="76"/>
  <c r="O23" i="76"/>
  <c r="O22" i="76"/>
  <c r="Q29" i="76"/>
  <c r="Q42" i="76"/>
  <c r="Q31" i="76"/>
  <c r="Q32" i="76" s="1"/>
  <c r="V29" i="76"/>
  <c r="P16" i="76"/>
  <c r="U16" i="76"/>
  <c r="F41" i="76"/>
  <c r="AO35" i="76"/>
  <c r="X35" i="75" s="1"/>
  <c r="AO23" i="76"/>
  <c r="X23" i="75" s="1"/>
  <c r="AO15" i="76"/>
  <c r="AT16" i="76" s="1"/>
  <c r="AO18" i="76"/>
  <c r="AT19" i="76" s="1"/>
  <c r="AO36" i="76"/>
  <c r="X36" i="75" s="1"/>
  <c r="AO12" i="76"/>
  <c r="X12" i="75" s="1"/>
  <c r="N19" i="76"/>
  <c r="AD23" i="76"/>
  <c r="AD18" i="76"/>
  <c r="AD19" i="76" s="1"/>
  <c r="AD12" i="76"/>
  <c r="AD15" i="76"/>
  <c r="E28" i="76"/>
  <c r="E23" i="76"/>
  <c r="AJ31" i="76"/>
  <c r="AJ29" i="76"/>
  <c r="W29" i="75" s="1"/>
  <c r="AF42" i="76"/>
  <c r="AO42" i="76"/>
  <c r="P31" i="76"/>
  <c r="P32" i="76" s="1"/>
  <c r="V19" i="76"/>
  <c r="Q19" i="76"/>
  <c r="AM41" i="76"/>
  <c r="AJ40" i="76"/>
  <c r="X16" i="76"/>
  <c r="S16" i="76"/>
  <c r="AH19" i="76"/>
  <c r="AC19" i="76"/>
  <c r="H16" i="76"/>
  <c r="M16" i="76"/>
  <c r="AO29" i="76"/>
  <c r="X29" i="75" s="1"/>
  <c r="AL41" i="76"/>
  <c r="O41" i="76"/>
  <c r="P41" i="76" s="1"/>
  <c r="O18" i="76"/>
  <c r="O19" i="76" s="1"/>
  <c r="O12" i="76"/>
  <c r="O15" i="76"/>
  <c r="O16" i="76" s="1"/>
  <c r="G19" i="76"/>
  <c r="P19" i="76"/>
  <c r="AK19" i="76"/>
  <c r="AK41" i="76"/>
  <c r="AJ41" i="76"/>
  <c r="R19" i="76"/>
  <c r="W19" i="76"/>
  <c r="E41" i="76"/>
  <c r="E15" i="76"/>
  <c r="J16" i="76" s="1"/>
  <c r="E18" i="76"/>
  <c r="J19" i="76" s="1"/>
  <c r="AD35" i="76"/>
  <c r="N31" i="76"/>
  <c r="S32" i="76" s="1"/>
  <c r="J42" i="76"/>
  <c r="K42" i="76" s="1"/>
  <c r="J31" i="76"/>
  <c r="F31" i="76"/>
  <c r="AN41" i="76"/>
  <c r="AE29" i="76"/>
  <c r="V29" i="75" s="1"/>
  <c r="AA42" i="76"/>
  <c r="AB42" i="76"/>
  <c r="Y22" i="76"/>
  <c r="I29" i="76"/>
  <c r="I42" i="76"/>
  <c r="I31" i="76"/>
  <c r="S42" i="76"/>
  <c r="Y42" i="76"/>
  <c r="Z42" i="76" s="1"/>
  <c r="AD29" i="76"/>
  <c r="Y31" i="76"/>
  <c r="M19" i="76"/>
  <c r="R42" i="76"/>
  <c r="L16" i="76"/>
  <c r="Q16" i="76"/>
  <c r="K41" i="76"/>
  <c r="B42" i="76"/>
  <c r="B31" i="76"/>
  <c r="G32" i="76" s="1"/>
  <c r="Y12" i="76"/>
  <c r="AK16" i="76"/>
  <c r="AK31" i="76"/>
  <c r="J12" i="76"/>
  <c r="L19" i="76"/>
  <c r="AD36" i="76"/>
  <c r="G33" i="73"/>
  <c r="K33" i="73"/>
  <c r="R33" i="74" s="1"/>
  <c r="I33" i="73"/>
  <c r="M33" i="73"/>
  <c r="O32" i="73"/>
  <c r="P33" i="73"/>
  <c r="S33" i="74" s="1"/>
  <c r="Z33" i="73"/>
  <c r="U33" i="74" s="1"/>
  <c r="Q33" i="73"/>
  <c r="S33" i="73"/>
  <c r="R33" i="73"/>
  <c r="AP34" i="73"/>
  <c r="AK32" i="73"/>
  <c r="AK33" i="73" s="1"/>
  <c r="AH17" i="73"/>
  <c r="AG32" i="73"/>
  <c r="AL33" i="73" s="1"/>
  <c r="AK20" i="73"/>
  <c r="AG20" i="73"/>
  <c r="AP20" i="73"/>
  <c r="AI10" i="73"/>
  <c r="V32" i="73"/>
  <c r="V33" i="73" s="1"/>
  <c r="AI24" i="73"/>
  <c r="AM17" i="73"/>
  <c r="AH32" i="73"/>
  <c r="AB17" i="73"/>
  <c r="AD4" i="73"/>
  <c r="AG17" i="73"/>
  <c r="AB20" i="73"/>
  <c r="Y19" i="73"/>
  <c r="Y20" i="73" s="1"/>
  <c r="Y13" i="73"/>
  <c r="Y16" i="73"/>
  <c r="Y17" i="73" s="1"/>
  <c r="AD10" i="73"/>
  <c r="J32" i="73"/>
  <c r="J30" i="73"/>
  <c r="AH20" i="73"/>
  <c r="AN19" i="73"/>
  <c r="AS20" i="73" s="1"/>
  <c r="AN13" i="73"/>
  <c r="AN16" i="73"/>
  <c r="AS34" i="73" s="1"/>
  <c r="N33" i="73"/>
  <c r="O30" i="73"/>
  <c r="AM20" i="73"/>
  <c r="Y30" i="73"/>
  <c r="H33" i="73"/>
  <c r="AN30" i="73"/>
  <c r="AI16" i="73"/>
  <c r="AI19" i="73"/>
  <c r="AE30" i="73"/>
  <c r="V30" i="74" s="1"/>
  <c r="U33" i="73"/>
  <c r="T33" i="74" s="1"/>
  <c r="E44" i="73"/>
  <c r="E32" i="73"/>
  <c r="L33" i="73"/>
  <c r="X33" i="73"/>
  <c r="AJ32" i="73"/>
  <c r="AJ30" i="73"/>
  <c r="W30" i="74" s="1"/>
  <c r="T30" i="73"/>
  <c r="T32" i="73"/>
  <c r="AN24" i="73"/>
  <c r="AA16" i="73"/>
  <c r="AA19" i="73"/>
  <c r="AA20" i="73" s="1"/>
  <c r="AA24" i="73"/>
  <c r="AF13" i="73"/>
  <c r="AA13" i="73"/>
  <c r="AP17" i="73"/>
  <c r="AI4" i="73"/>
  <c r="AL20" i="73"/>
  <c r="X12" i="74"/>
  <c r="AC10" i="73"/>
  <c r="AR163" i="46"/>
  <c r="AM163" i="46"/>
  <c r="AR146" i="46"/>
  <c r="AM146" i="46"/>
  <c r="AQ163" i="46"/>
  <c r="AL163" i="46"/>
  <c r="AQ146" i="46"/>
  <c r="AL146" i="46"/>
  <c r="AK163" i="46"/>
  <c r="AK146" i="46"/>
  <c r="AN163" i="46"/>
  <c r="AC163" i="46"/>
  <c r="AP199" i="46"/>
  <c r="AP192" i="46"/>
  <c r="AP64" i="46"/>
  <c r="AP63" i="46"/>
  <c r="AP62" i="46"/>
  <c r="AP30" i="17"/>
  <c r="AP77" i="17" s="1"/>
  <c r="AP11" i="17"/>
  <c r="AP12" i="17" s="1"/>
  <c r="AP80" i="17"/>
  <c r="AP67" i="17"/>
  <c r="AP66" i="17"/>
  <c r="AP54" i="17"/>
  <c r="AP58" i="17" s="1"/>
  <c r="AP41" i="17"/>
  <c r="AP22" i="17"/>
  <c r="AP43" i="14"/>
  <c r="AP88" i="14"/>
  <c r="AP80" i="14"/>
  <c r="AP76" i="14"/>
  <c r="AP70" i="14"/>
  <c r="AP64" i="14"/>
  <c r="AP50" i="14"/>
  <c r="AS50" i="14" s="1"/>
  <c r="AP32" i="14"/>
  <c r="AS32" i="14" s="1"/>
  <c r="AP17" i="14"/>
  <c r="AP47" i="13"/>
  <c r="AT47" i="13" s="1"/>
  <c r="AP32" i="13"/>
  <c r="AP21" i="13"/>
  <c r="AP90" i="13"/>
  <c r="AP81" i="13"/>
  <c r="AP77" i="13"/>
  <c r="AP75" i="13"/>
  <c r="AP68" i="13"/>
  <c r="AP65" i="13"/>
  <c r="AP62" i="13"/>
  <c r="AP59" i="13"/>
  <c r="AP26" i="13"/>
  <c r="AP22" i="2"/>
  <c r="AP43" i="2"/>
  <c r="AU44" i="2" s="1"/>
  <c r="AP37" i="2"/>
  <c r="AP30" i="2"/>
  <c r="AU31" i="2" s="1"/>
  <c r="AP51" i="2"/>
  <c r="AP13" i="2"/>
  <c r="AP7" i="2"/>
  <c r="Z16" i="10"/>
  <c r="AB33" i="73" l="1"/>
  <c r="BI77" i="13"/>
  <c r="AB77" i="15" s="1"/>
  <c r="BH79" i="14"/>
  <c r="BI23" i="73"/>
  <c r="AB23" i="74" s="1"/>
  <c r="BI24" i="73"/>
  <c r="AB24" i="74" s="1"/>
  <c r="BI19" i="73"/>
  <c r="AA20" i="74"/>
  <c r="AA19" i="74"/>
  <c r="AA22" i="74" s="1"/>
  <c r="AA29" i="74" s="1"/>
  <c r="AA22" i="75"/>
  <c r="AA23" i="75"/>
  <c r="AU91" i="13"/>
  <c r="AT32" i="13"/>
  <c r="AT101" i="13" s="1"/>
  <c r="I32" i="76"/>
  <c r="AP103" i="13"/>
  <c r="AP104" i="13" s="1"/>
  <c r="AS17" i="73"/>
  <c r="AP101" i="13"/>
  <c r="AT43" i="2"/>
  <c r="AY44" i="2" s="1"/>
  <c r="AP102" i="13"/>
  <c r="AT102" i="13" s="1"/>
  <c r="AT21" i="13"/>
  <c r="AT22" i="13" s="1"/>
  <c r="AP21" i="14"/>
  <c r="AS17" i="14"/>
  <c r="AS21" i="14" s="1"/>
  <c r="AP65" i="14"/>
  <c r="AT64" i="14"/>
  <c r="AT65" i="14" s="1"/>
  <c r="AP87" i="14"/>
  <c r="AP44" i="14"/>
  <c r="AS43" i="14"/>
  <c r="AS44" i="14" s="1"/>
  <c r="AG32" i="76"/>
  <c r="AS163" i="46"/>
  <c r="AT163" i="46" s="1"/>
  <c r="Y163" i="45" s="1"/>
  <c r="AV84" i="46"/>
  <c r="Y55" i="45"/>
  <c r="AU55" i="46"/>
  <c r="AV55" i="46" s="1"/>
  <c r="AW55" i="46" s="1"/>
  <c r="AX55" i="46" s="1"/>
  <c r="AY55" i="46" s="1"/>
  <c r="Y16" i="45"/>
  <c r="AU16" i="46"/>
  <c r="AV16" i="46" s="1"/>
  <c r="AW16" i="46" s="1"/>
  <c r="AX16" i="46" s="1"/>
  <c r="AY16" i="46" s="1"/>
  <c r="AV101" i="46"/>
  <c r="AV123" i="46"/>
  <c r="Y33" i="45"/>
  <c r="AU33" i="46"/>
  <c r="AV33" i="46" s="1"/>
  <c r="AW33" i="46" s="1"/>
  <c r="AX33" i="46" s="1"/>
  <c r="AY33" i="46" s="1"/>
  <c r="AY39" i="76"/>
  <c r="AY40" i="76"/>
  <c r="AP78" i="13"/>
  <c r="AO185" i="46"/>
  <c r="X185" i="45" s="1"/>
  <c r="AS146" i="46"/>
  <c r="AT146" i="46" s="1"/>
  <c r="Y146" i="45" s="1"/>
  <c r="AS185" i="46"/>
  <c r="AT185" i="46" s="1"/>
  <c r="Y185" i="45" s="1"/>
  <c r="K32" i="76"/>
  <c r="R32" i="76"/>
  <c r="AO19" i="76"/>
  <c r="X19" i="75" s="1"/>
  <c r="X18" i="75"/>
  <c r="X21" i="75" s="1"/>
  <c r="X28" i="75" s="1"/>
  <c r="AI31" i="76"/>
  <c r="AN32" i="76" s="1"/>
  <c r="X15" i="75"/>
  <c r="T33" i="73"/>
  <c r="AP15" i="2"/>
  <c r="AM33" i="73"/>
  <c r="AE42" i="76"/>
  <c r="AL32" i="76"/>
  <c r="AM32" i="76"/>
  <c r="AI19" i="76"/>
  <c r="AH32" i="76"/>
  <c r="AI16" i="76"/>
  <c r="AK32" i="76"/>
  <c r="AB32" i="76"/>
  <c r="AN16" i="76"/>
  <c r="AP32" i="76"/>
  <c r="AO41" i="76"/>
  <c r="E42" i="76"/>
  <c r="F42" i="76" s="1"/>
  <c r="E31" i="76"/>
  <c r="J32" i="76" s="1"/>
  <c r="T31" i="76"/>
  <c r="T29" i="76"/>
  <c r="T42" i="76"/>
  <c r="U42" i="76" s="1"/>
  <c r="AA41" i="76"/>
  <c r="AE36" i="76"/>
  <c r="V36" i="75" s="1"/>
  <c r="AE35" i="76"/>
  <c r="V35" i="75" s="1"/>
  <c r="AE23" i="76"/>
  <c r="V23" i="75" s="1"/>
  <c r="AE18" i="76"/>
  <c r="V18" i="75" s="1"/>
  <c r="V21" i="75" s="1"/>
  <c r="V28" i="75" s="1"/>
  <c r="AE12" i="76"/>
  <c r="V12" i="75" s="1"/>
  <c r="AE15" i="76"/>
  <c r="AJ12" i="76"/>
  <c r="W12" i="75" s="1"/>
  <c r="AC41" i="76"/>
  <c r="AB41" i="76"/>
  <c r="AO16" i="76"/>
  <c r="X16" i="75" s="1"/>
  <c r="AO31" i="76"/>
  <c r="AT32" i="76" s="1"/>
  <c r="T16" i="76"/>
  <c r="N32" i="76"/>
  <c r="AJ42" i="76"/>
  <c r="Y11" i="75"/>
  <c r="AD16" i="76"/>
  <c r="AD31" i="76"/>
  <c r="AD41" i="76"/>
  <c r="U32" i="76"/>
  <c r="J29" i="76"/>
  <c r="O31" i="76"/>
  <c r="O32" i="76" s="1"/>
  <c r="O29" i="76"/>
  <c r="O42" i="76"/>
  <c r="P42" i="76" s="1"/>
  <c r="V32" i="76"/>
  <c r="T19" i="76"/>
  <c r="AC3" i="75"/>
  <c r="AD3" i="75" s="1"/>
  <c r="AE3" i="75" s="1"/>
  <c r="AF3" i="75" s="1"/>
  <c r="AC6" i="75"/>
  <c r="AD6" i="75" s="1"/>
  <c r="AE6" i="75" s="1"/>
  <c r="AF6" i="75" s="1"/>
  <c r="AP33" i="73"/>
  <c r="O33" i="73"/>
  <c r="AG33" i="73"/>
  <c r="Y32" i="73"/>
  <c r="Y33" i="73" s="1"/>
  <c r="AH33" i="73"/>
  <c r="AE24" i="73"/>
  <c r="V24" i="74" s="1"/>
  <c r="AN17" i="73"/>
  <c r="AE10" i="73"/>
  <c r="V10" i="74" s="1"/>
  <c r="U9" i="74"/>
  <c r="AI13" i="73"/>
  <c r="X37" i="74"/>
  <c r="AO19" i="73"/>
  <c r="AT20" i="73" s="1"/>
  <c r="AO13" i="73"/>
  <c r="X13" i="74" s="1"/>
  <c r="X36" i="74"/>
  <c r="AO24" i="73"/>
  <c r="X24" i="74" s="1"/>
  <c r="AO16" i="73"/>
  <c r="AT34" i="73" s="1"/>
  <c r="AA17" i="73"/>
  <c r="AF17" i="73"/>
  <c r="AA32" i="73"/>
  <c r="AO30" i="73"/>
  <c r="X30" i="74" s="1"/>
  <c r="AF20" i="73"/>
  <c r="V36" i="74"/>
  <c r="V37" i="74"/>
  <c r="AE19" i="73"/>
  <c r="V19" i="74" s="1"/>
  <c r="AJ13" i="73"/>
  <c r="W13" i="74" s="1"/>
  <c r="AE13" i="73"/>
  <c r="V13" i="74" s="1"/>
  <c r="AN20" i="73"/>
  <c r="AI32" i="73"/>
  <c r="AN32" i="73"/>
  <c r="AS33" i="73" s="1"/>
  <c r="J33" i="73"/>
  <c r="AD7" i="73"/>
  <c r="U6" i="74"/>
  <c r="AD24" i="73"/>
  <c r="AD13" i="73"/>
  <c r="AD19" i="73"/>
  <c r="AD20" i="73" s="1"/>
  <c r="AO163" i="46"/>
  <c r="X163" i="45" s="1"/>
  <c r="AO146" i="46"/>
  <c r="X146" i="45" s="1"/>
  <c r="AP65" i="46"/>
  <c r="AP24" i="17"/>
  <c r="AP81" i="17"/>
  <c r="AP34" i="17"/>
  <c r="AP43" i="17" s="1"/>
  <c r="AP60" i="17" s="1"/>
  <c r="AP46" i="2"/>
  <c r="AU47" i="2" s="1"/>
  <c r="AP38" i="2"/>
  <c r="AP33" i="2"/>
  <c r="AU34" i="2" s="1"/>
  <c r="AP50" i="2"/>
  <c r="AP27" i="2"/>
  <c r="BI20" i="73" l="1"/>
  <c r="AB20" i="74" s="1"/>
  <c r="AB19" i="74"/>
  <c r="AB22" i="74" s="1"/>
  <c r="AB29" i="74" s="1"/>
  <c r="AB32" i="74" s="1"/>
  <c r="AC33" i="74" s="1"/>
  <c r="BH80" i="14"/>
  <c r="BH77" i="13"/>
  <c r="AA32" i="74"/>
  <c r="AA34" i="74"/>
  <c r="AA19" i="75"/>
  <c r="AA18" i="75"/>
  <c r="AA21" i="75" s="1"/>
  <c r="AA28" i="75" s="1"/>
  <c r="AA31" i="75" s="1"/>
  <c r="Z33" i="45"/>
  <c r="AZ33" i="46"/>
  <c r="Z16" i="45"/>
  <c r="AZ16" i="46"/>
  <c r="BA16" i="46" s="1"/>
  <c r="BB16" i="46" s="1"/>
  <c r="BC16" i="46" s="1"/>
  <c r="BD16" i="46" s="1"/>
  <c r="Z55" i="45"/>
  <c r="AZ55" i="46"/>
  <c r="BA55" i="46" s="1"/>
  <c r="BB55" i="46" s="1"/>
  <c r="BC55" i="46" s="1"/>
  <c r="BD55" i="46" s="1"/>
  <c r="AP54" i="14"/>
  <c r="AQ15" i="2"/>
  <c r="AU16" i="2"/>
  <c r="AS72" i="14"/>
  <c r="AP72" i="14"/>
  <c r="AS54" i="14"/>
  <c r="AT26" i="13"/>
  <c r="AT103" i="13"/>
  <c r="AT104" i="13" s="1"/>
  <c r="AS57" i="2"/>
  <c r="AR57" i="2"/>
  <c r="AQ57" i="2"/>
  <c r="AT17" i="73"/>
  <c r="AU185" i="46"/>
  <c r="AU163" i="46"/>
  <c r="AU146" i="46"/>
  <c r="AW123" i="46"/>
  <c r="AV185" i="46"/>
  <c r="AW84" i="46"/>
  <c r="AV146" i="46"/>
  <c r="AW101" i="46"/>
  <c r="AV163" i="46"/>
  <c r="V15" i="75"/>
  <c r="V31" i="75" s="1"/>
  <c r="X31" i="75"/>
  <c r="X39" i="75"/>
  <c r="AP18" i="2"/>
  <c r="AU19" i="2" s="1"/>
  <c r="AK18" i="75"/>
  <c r="AL18" i="75" s="1"/>
  <c r="AP61" i="17"/>
  <c r="AR16" i="13"/>
  <c r="Y32" i="75"/>
  <c r="AO32" i="76"/>
  <c r="X32" i="75" s="1"/>
  <c r="AD32" i="76"/>
  <c r="AI32" i="76"/>
  <c r="AE16" i="76"/>
  <c r="V16" i="75" s="1"/>
  <c r="AJ16" i="76"/>
  <c r="W16" i="75" s="1"/>
  <c r="AE31" i="76"/>
  <c r="T32" i="76"/>
  <c r="Y32" i="76"/>
  <c r="Y12" i="75"/>
  <c r="Y36" i="75"/>
  <c r="Y35" i="75"/>
  <c r="AP41" i="76"/>
  <c r="AT41" i="76" s="1"/>
  <c r="AE19" i="76"/>
  <c r="V19" i="75" s="1"/>
  <c r="AJ19" i="76"/>
  <c r="W19" i="75" s="1"/>
  <c r="AE41" i="76"/>
  <c r="AN33" i="73"/>
  <c r="AE16" i="73"/>
  <c r="V15" i="74"/>
  <c r="AO17" i="73"/>
  <c r="X17" i="74" s="1"/>
  <c r="X16" i="74"/>
  <c r="AO20" i="73"/>
  <c r="X20" i="74" s="1"/>
  <c r="X19" i="74"/>
  <c r="X22" i="74" s="1"/>
  <c r="X29" i="74" s="1"/>
  <c r="V12" i="74"/>
  <c r="V22" i="74" s="1"/>
  <c r="V29" i="74" s="1"/>
  <c r="AJ29" i="74" s="1"/>
  <c r="AJ31" i="74" s="1"/>
  <c r="AQ16" i="73"/>
  <c r="AQ13" i="73"/>
  <c r="U36" i="74"/>
  <c r="AE4" i="73"/>
  <c r="V4" i="74" s="1"/>
  <c r="AI20" i="73"/>
  <c r="AA33" i="73"/>
  <c r="AF33" i="73"/>
  <c r="AD16" i="73"/>
  <c r="U37" i="74"/>
  <c r="AE7" i="73"/>
  <c r="V7" i="74" s="1"/>
  <c r="AE20" i="73"/>
  <c r="V20" i="74" s="1"/>
  <c r="AJ20" i="73"/>
  <c r="W20" i="74" s="1"/>
  <c r="AO32" i="73"/>
  <c r="AT33" i="73" s="1"/>
  <c r="AB34" i="74" l="1"/>
  <c r="AA16" i="45"/>
  <c r="BI16" i="46"/>
  <c r="AB16" i="45" s="1"/>
  <c r="AC16" i="45" s="1"/>
  <c r="AA55" i="45"/>
  <c r="BE55" i="46"/>
  <c r="BF55" i="46" s="1"/>
  <c r="BG55" i="46" s="1"/>
  <c r="BH55" i="46" s="1"/>
  <c r="BI55" i="46" s="1"/>
  <c r="AB55" i="45" s="1"/>
  <c r="BA33" i="46"/>
  <c r="BB33" i="46" s="1"/>
  <c r="BC33" i="46" s="1"/>
  <c r="BD33" i="46" s="1"/>
  <c r="AV17" i="73"/>
  <c r="AV34" i="73"/>
  <c r="AR15" i="2"/>
  <c r="AR18" i="2" s="1"/>
  <c r="AW19" i="2" s="1"/>
  <c r="AV16" i="2"/>
  <c r="AQ18" i="2"/>
  <c r="AV19" i="2" s="1"/>
  <c r="AS77" i="14"/>
  <c r="AS74" i="14"/>
  <c r="AS73" i="14"/>
  <c r="AP74" i="14"/>
  <c r="AP73" i="14"/>
  <c r="AP77" i="14"/>
  <c r="AX123" i="46"/>
  <c r="AW185" i="46"/>
  <c r="AX84" i="46"/>
  <c r="AW146" i="46"/>
  <c r="AX101" i="46"/>
  <c r="AW163" i="46"/>
  <c r="AQ3" i="13"/>
  <c r="AQ34" i="73"/>
  <c r="W39" i="75"/>
  <c r="V16" i="74"/>
  <c r="W39" i="74" s="1"/>
  <c r="AQ32" i="73"/>
  <c r="AV33" i="73" s="1"/>
  <c r="AE32" i="76"/>
  <c r="V32" i="75" s="1"/>
  <c r="AJ32" i="76"/>
  <c r="W32" i="75" s="1"/>
  <c r="AE32" i="73"/>
  <c r="AJ33" i="73" s="1"/>
  <c r="W33" i="74" s="1"/>
  <c r="AJ17" i="73"/>
  <c r="W17" i="74" s="1"/>
  <c r="AE17" i="73"/>
  <c r="V17" i="74" s="1"/>
  <c r="X32" i="74"/>
  <c r="X34" i="74"/>
  <c r="X39" i="74"/>
  <c r="Y33" i="74"/>
  <c r="AO33" i="73"/>
  <c r="X33" i="74" s="1"/>
  <c r="AQ17" i="73"/>
  <c r="AD17" i="73"/>
  <c r="AD32" i="73"/>
  <c r="AI17" i="73"/>
  <c r="AC55" i="45" l="1"/>
  <c r="AD55" i="45" s="1"/>
  <c r="AE55" i="45" s="1"/>
  <c r="AF55" i="45" s="1"/>
  <c r="AA33" i="45"/>
  <c r="BE33" i="46"/>
  <c r="BF33" i="46" s="1"/>
  <c r="BG33" i="46" s="1"/>
  <c r="BH33" i="46" s="1"/>
  <c r="BI33" i="46" s="1"/>
  <c r="AB33" i="45" s="1"/>
  <c r="AS15" i="2"/>
  <c r="AX16" i="2" s="1"/>
  <c r="AW16" i="2"/>
  <c r="AQ9" i="13"/>
  <c r="AD16" i="45"/>
  <c r="AE16" i="45" s="1"/>
  <c r="AF16" i="45" s="1"/>
  <c r="AY84" i="46"/>
  <c r="AX146" i="46"/>
  <c r="AY146" i="46" s="1"/>
  <c r="Z146" i="45" s="1"/>
  <c r="AX163" i="46"/>
  <c r="AY163" i="46" s="1"/>
  <c r="Z163" i="45" s="1"/>
  <c r="AY101" i="46"/>
  <c r="AY123" i="46"/>
  <c r="AX185" i="46"/>
  <c r="AY185" i="46" s="1"/>
  <c r="Z185" i="45" s="1"/>
  <c r="AQ33" i="73"/>
  <c r="V32" i="74"/>
  <c r="AE33" i="73"/>
  <c r="V33" i="74" s="1"/>
  <c r="AD11" i="75"/>
  <c r="AE11" i="75" s="1"/>
  <c r="AF11" i="75" s="1"/>
  <c r="AH15" i="75"/>
  <c r="AK31" i="75"/>
  <c r="AL31" i="75" s="1"/>
  <c r="Y12" i="74"/>
  <c r="AK18" i="74" s="1"/>
  <c r="AL18" i="74" s="1"/>
  <c r="AD33" i="73"/>
  <c r="AI33" i="73"/>
  <c r="AN21" i="13"/>
  <c r="AC33" i="45" l="1"/>
  <c r="AD33" i="45" s="1"/>
  <c r="AE33" i="45" s="1"/>
  <c r="AF33" i="45" s="1"/>
  <c r="AF15" i="75"/>
  <c r="AF36" i="75"/>
  <c r="AF35" i="75"/>
  <c r="AB41" i="75"/>
  <c r="AE35" i="75"/>
  <c r="AE15" i="75"/>
  <c r="AE36" i="75"/>
  <c r="Z123" i="45"/>
  <c r="AZ123" i="46"/>
  <c r="Z84" i="45"/>
  <c r="AZ84" i="46"/>
  <c r="Z101" i="45"/>
  <c r="AZ101" i="46"/>
  <c r="AQ71" i="17"/>
  <c r="AQ93" i="13"/>
  <c r="AQ94" i="13" s="1"/>
  <c r="AQ64" i="17"/>
  <c r="AQ74" i="17"/>
  <c r="AQ97" i="13"/>
  <c r="AV10" i="13"/>
  <c r="AQ72" i="17"/>
  <c r="AQ69" i="14"/>
  <c r="AQ73" i="17"/>
  <c r="AQ98" i="13"/>
  <c r="AQ65" i="17"/>
  <c r="AQ68" i="17"/>
  <c r="AD15" i="75"/>
  <c r="AD36" i="75"/>
  <c r="AD35" i="75"/>
  <c r="AC36" i="75"/>
  <c r="AC15" i="75"/>
  <c r="AC35" i="75"/>
  <c r="AH28" i="75"/>
  <c r="AR3" i="13"/>
  <c r="AQ23" i="73"/>
  <c r="AQ24" i="73"/>
  <c r="AQ19" i="73"/>
  <c r="AV20" i="73" s="1"/>
  <c r="Y13" i="74"/>
  <c r="Y6" i="74"/>
  <c r="AF7" i="15" l="1"/>
  <c r="AF16" i="75"/>
  <c r="AF28" i="75"/>
  <c r="AE28" i="75"/>
  <c r="AE7" i="15"/>
  <c r="AE16" i="75"/>
  <c r="AZ146" i="46"/>
  <c r="BA84" i="46"/>
  <c r="BA101" i="46"/>
  <c r="AZ163" i="46"/>
  <c r="BA123" i="46"/>
  <c r="AZ185" i="46"/>
  <c r="AD7" i="15"/>
  <c r="AD16" i="75"/>
  <c r="AD28" i="75"/>
  <c r="AS3" i="13"/>
  <c r="AT3" i="13"/>
  <c r="Z17" i="74"/>
  <c r="AQ20" i="73"/>
  <c r="AC7" i="15"/>
  <c r="AC28" i="75"/>
  <c r="AC16" i="75"/>
  <c r="AR12" i="13"/>
  <c r="Y16" i="74"/>
  <c r="Y37" i="74"/>
  <c r="Y7" i="74"/>
  <c r="Y17" i="74"/>
  <c r="AN199" i="46"/>
  <c r="AO196" i="46"/>
  <c r="X196" i="45" s="1"/>
  <c r="AN192" i="46"/>
  <c r="AO30" i="17"/>
  <c r="AO34" i="17" s="1"/>
  <c r="AN11" i="17"/>
  <c r="AO80" i="17"/>
  <c r="AO81" i="17" s="1"/>
  <c r="AN56" i="17"/>
  <c r="AO54" i="17"/>
  <c r="AO58" i="17" s="1"/>
  <c r="AN53" i="17"/>
  <c r="AN52" i="17"/>
  <c r="AN51" i="17"/>
  <c r="AN50" i="17"/>
  <c r="AN49" i="17"/>
  <c r="AN45" i="17"/>
  <c r="AO41" i="17"/>
  <c r="AN41" i="17" s="1"/>
  <c r="AN40" i="17"/>
  <c r="AN39" i="17"/>
  <c r="AN38" i="17"/>
  <c r="AN37" i="17"/>
  <c r="AN33" i="17"/>
  <c r="AN63" i="46" s="1"/>
  <c r="AO63" i="46" s="1"/>
  <c r="AN32" i="17"/>
  <c r="AN31" i="17"/>
  <c r="AN29" i="17"/>
  <c r="AN66" i="17" s="1"/>
  <c r="AN28" i="17"/>
  <c r="AN64" i="46" s="1"/>
  <c r="AO64" i="46" s="1"/>
  <c r="AO22" i="17"/>
  <c r="AN21" i="17"/>
  <c r="AN20" i="17"/>
  <c r="AN19" i="17"/>
  <c r="AN18" i="17"/>
  <c r="AN17" i="17"/>
  <c r="AN16" i="17"/>
  <c r="AN15" i="17"/>
  <c r="AO12" i="17"/>
  <c r="AN12" i="17" s="1"/>
  <c r="AN10" i="17"/>
  <c r="AN9" i="17"/>
  <c r="AN8" i="17"/>
  <c r="AN7" i="17"/>
  <c r="AN6" i="17"/>
  <c r="AN5" i="17"/>
  <c r="AO43" i="14"/>
  <c r="AO28" i="14"/>
  <c r="AO32" i="14" s="1"/>
  <c r="AO89" i="14"/>
  <c r="AO84" i="14"/>
  <c r="AO83" i="14"/>
  <c r="AN82" i="14"/>
  <c r="AN80" i="14"/>
  <c r="AO79" i="14"/>
  <c r="AT80" i="14" s="1"/>
  <c r="AT78" i="13" s="1"/>
  <c r="AO76" i="14"/>
  <c r="AO70" i="14"/>
  <c r="AN66" i="14"/>
  <c r="AN58" i="14"/>
  <c r="AN53" i="14"/>
  <c r="AO50" i="14"/>
  <c r="AN19" i="14"/>
  <c r="AO17" i="14"/>
  <c r="AN32" i="13"/>
  <c r="AN37" i="13"/>
  <c r="AO106" i="13"/>
  <c r="AN90" i="13"/>
  <c r="AO89" i="13"/>
  <c r="AO88" i="13"/>
  <c r="AO87" i="13"/>
  <c r="AO86" i="13"/>
  <c r="AO85" i="13"/>
  <c r="AO66" i="17" s="1"/>
  <c r="AO81" i="13"/>
  <c r="AN77" i="13"/>
  <c r="AN75" i="13"/>
  <c r="AO74" i="13"/>
  <c r="AT75" i="13" s="1"/>
  <c r="AO73" i="13"/>
  <c r="AN70" i="13"/>
  <c r="AS71" i="13" s="1"/>
  <c r="AN68" i="13"/>
  <c r="AO67" i="13"/>
  <c r="AN65" i="13"/>
  <c r="AO64" i="13"/>
  <c r="AT65" i="13" s="1"/>
  <c r="AN62" i="13"/>
  <c r="AO61" i="13"/>
  <c r="AT62" i="13" s="1"/>
  <c r="AN59" i="13"/>
  <c r="AO58" i="13"/>
  <c r="AT59" i="13" s="1"/>
  <c r="AO48" i="13"/>
  <c r="AO33" i="13"/>
  <c r="AO31" i="13"/>
  <c r="AN25" i="13"/>
  <c r="AO24" i="13"/>
  <c r="AO23" i="13"/>
  <c r="AO20" i="13"/>
  <c r="AN24" i="2"/>
  <c r="AO13" i="2"/>
  <c r="AN41" i="2"/>
  <c r="AN40" i="2"/>
  <c r="AO37" i="2"/>
  <c r="AN36" i="2"/>
  <c r="AS37" i="2" s="1"/>
  <c r="AO29" i="2"/>
  <c r="AO22" i="2"/>
  <c r="AN21" i="2"/>
  <c r="AT16" i="2"/>
  <c r="AN12" i="2"/>
  <c r="AN7" i="2"/>
  <c r="AO6" i="2"/>
  <c r="AT7" i="2" s="1"/>
  <c r="AO2" i="2"/>
  <c r="AN2" i="2"/>
  <c r="AF16" i="15" l="1"/>
  <c r="AF29" i="75"/>
  <c r="AF39" i="75"/>
  <c r="AF21" i="75"/>
  <c r="AE16" i="15"/>
  <c r="AE39" i="75"/>
  <c r="AE29" i="75"/>
  <c r="AE21" i="75"/>
  <c r="BA163" i="46"/>
  <c r="BB101" i="46"/>
  <c r="BB84" i="46"/>
  <c r="BA146" i="46"/>
  <c r="BA185" i="46"/>
  <c r="BB123" i="46"/>
  <c r="AS13" i="2"/>
  <c r="AN26" i="2"/>
  <c r="AN55" i="2"/>
  <c r="AT68" i="13"/>
  <c r="AT70" i="13"/>
  <c r="AY71" i="13" s="1"/>
  <c r="AS91" i="13"/>
  <c r="AN101" i="13"/>
  <c r="AD16" i="15"/>
  <c r="AD39" i="75"/>
  <c r="AD21" i="75"/>
  <c r="AD29" i="75"/>
  <c r="AO43" i="17"/>
  <c r="AN43" i="17" s="1"/>
  <c r="Z30" i="74"/>
  <c r="Z39" i="74"/>
  <c r="AN62" i="46"/>
  <c r="AN65" i="46" s="1"/>
  <c r="AO82" i="14"/>
  <c r="AN78" i="13"/>
  <c r="AO32" i="13"/>
  <c r="AO101" i="13" s="1"/>
  <c r="AN103" i="13"/>
  <c r="AN104" i="13" s="1"/>
  <c r="AC16" i="15"/>
  <c r="AC21" i="75"/>
  <c r="AT12" i="13"/>
  <c r="AO77" i="17"/>
  <c r="AO67" i="17"/>
  <c r="AP70" i="13"/>
  <c r="AU71" i="13" s="1"/>
  <c r="AB6" i="74"/>
  <c r="Y30" i="74"/>
  <c r="Y39" i="74"/>
  <c r="AO77" i="13"/>
  <c r="AN54" i="2"/>
  <c r="AN22" i="17"/>
  <c r="AO24" i="17"/>
  <c r="AN24" i="17" s="1"/>
  <c r="AN58" i="17"/>
  <c r="AN80" i="17"/>
  <c r="AN30" i="17"/>
  <c r="AN34" i="17" s="1"/>
  <c r="AN67" i="17"/>
  <c r="AN54" i="17"/>
  <c r="AO21" i="14"/>
  <c r="AO72" i="14" s="1"/>
  <c r="AO73" i="14" s="1"/>
  <c r="AO44" i="14"/>
  <c r="AN26" i="13"/>
  <c r="AO90" i="13"/>
  <c r="AT91" i="13" s="1"/>
  <c r="AN102" i="13"/>
  <c r="AN43" i="2"/>
  <c r="AS44" i="2" s="1"/>
  <c r="AF23" i="75" l="1"/>
  <c r="AF22" i="75"/>
  <c r="AF18" i="75"/>
  <c r="AE22" i="75"/>
  <c r="AE23" i="75"/>
  <c r="AE18" i="75"/>
  <c r="BB146" i="46"/>
  <c r="BC84" i="46"/>
  <c r="BC123" i="46"/>
  <c r="BB185" i="46"/>
  <c r="BC101" i="46"/>
  <c r="BB163" i="46"/>
  <c r="AO60" i="17"/>
  <c r="AO61" i="17" s="1"/>
  <c r="AN60" i="17"/>
  <c r="AN61" i="17" s="1"/>
  <c r="AD23" i="75"/>
  <c r="AD22" i="75"/>
  <c r="AD18" i="75"/>
  <c r="AC18" i="75"/>
  <c r="AC23" i="75"/>
  <c r="AS12" i="13"/>
  <c r="AC6" i="74"/>
  <c r="AD6" i="74" s="1"/>
  <c r="AE6" i="74" s="1"/>
  <c r="AF6" i="74" s="1"/>
  <c r="AN81" i="17"/>
  <c r="AN77" i="17"/>
  <c r="AO77" i="14"/>
  <c r="AO74" i="14"/>
  <c r="AO54" i="14"/>
  <c r="AN33" i="2"/>
  <c r="AN30" i="2"/>
  <c r="AN50" i="2"/>
  <c r="AN38" i="2"/>
  <c r="AN51" i="2"/>
  <c r="AT2" i="2"/>
  <c r="AS2" i="2"/>
  <c r="AR2" i="2"/>
  <c r="AQ2" i="2"/>
  <c r="AP2" i="2"/>
  <c r="AC2" i="10"/>
  <c r="Y13" i="10"/>
  <c r="AF19" i="75" l="1"/>
  <c r="AE19" i="75"/>
  <c r="BC185" i="46"/>
  <c r="BD185" i="46" s="1"/>
  <c r="AA185" i="45" s="1"/>
  <c r="AJ185" i="45" s="1"/>
  <c r="BD123" i="46"/>
  <c r="BD84" i="46"/>
  <c r="BC146" i="46"/>
  <c r="BD146" i="46" s="1"/>
  <c r="AA146" i="45" s="1"/>
  <c r="AJ146" i="45" s="1"/>
  <c r="BC163" i="46"/>
  <c r="BD163" i="46" s="1"/>
  <c r="AA163" i="45" s="1"/>
  <c r="AJ163" i="45" s="1"/>
  <c r="BD101" i="46"/>
  <c r="AY4" i="2"/>
  <c r="Z4" i="10" s="1"/>
  <c r="AT4" i="2"/>
  <c r="AD19" i="75"/>
  <c r="Z23" i="74"/>
  <c r="Y3" i="10"/>
  <c r="AP3" i="2"/>
  <c r="AU4" i="2" s="1"/>
  <c r="AN46" i="2"/>
  <c r="AC33" i="18"/>
  <c r="AC112" i="15"/>
  <c r="AC78" i="15"/>
  <c r="AC2" i="18"/>
  <c r="AC85" i="16"/>
  <c r="AC8" i="16" s="1"/>
  <c r="AC50" i="16"/>
  <c r="AC2" i="16"/>
  <c r="AC139" i="15"/>
  <c r="AC138" i="15"/>
  <c r="AC136" i="15"/>
  <c r="AC135" i="15"/>
  <c r="AC102" i="15"/>
  <c r="AD4" i="10"/>
  <c r="Y48" i="15"/>
  <c r="Y43" i="15"/>
  <c r="Y32" i="15"/>
  <c r="Y25" i="15"/>
  <c r="Y24" i="15"/>
  <c r="Y23" i="15"/>
  <c r="Y21" i="15"/>
  <c r="Y20" i="15"/>
  <c r="Y8" i="15"/>
  <c r="Y113" i="18"/>
  <c r="Y111" i="18"/>
  <c r="Y109" i="18"/>
  <c r="Y100" i="18"/>
  <c r="Y96" i="18"/>
  <c r="Y93" i="18"/>
  <c r="Y91" i="18"/>
  <c r="Y88" i="18"/>
  <c r="Y77" i="18"/>
  <c r="Y67" i="18"/>
  <c r="Y66" i="18"/>
  <c r="Y82" i="16"/>
  <c r="Y79" i="16"/>
  <c r="Y66" i="16"/>
  <c r="Y65" i="16"/>
  <c r="Y53" i="16"/>
  <c r="Y52" i="16"/>
  <c r="Y49" i="16"/>
  <c r="Y48" i="16"/>
  <c r="Y47" i="16"/>
  <c r="Y41" i="16"/>
  <c r="Y39" i="16"/>
  <c r="Y36" i="16"/>
  <c r="Y31" i="16"/>
  <c r="Y30" i="16"/>
  <c r="Y29" i="16"/>
  <c r="Y28" i="16"/>
  <c r="Y27" i="16"/>
  <c r="Y26" i="16"/>
  <c r="Y25" i="16"/>
  <c r="Y19" i="16"/>
  <c r="Y9" i="16"/>
  <c r="Y7" i="16"/>
  <c r="Y6" i="16"/>
  <c r="AT113" i="13"/>
  <c r="AR113" i="13"/>
  <c r="AQ113" i="13"/>
  <c r="AP113" i="13"/>
  <c r="AT2" i="46"/>
  <c r="AS2" i="46"/>
  <c r="AR2" i="46"/>
  <c r="AQ2" i="46"/>
  <c r="AP2" i="46"/>
  <c r="AR2" i="17"/>
  <c r="AQ2" i="17"/>
  <c r="AP2" i="17"/>
  <c r="AT2" i="17"/>
  <c r="AS2" i="17"/>
  <c r="AR2" i="14"/>
  <c r="AQ2" i="14"/>
  <c r="AP2" i="14"/>
  <c r="Y89" i="16"/>
  <c r="Y84" i="16"/>
  <c r="Y83" i="16"/>
  <c r="Y80" i="16"/>
  <c r="AX80" i="14"/>
  <c r="AX78" i="13" s="1"/>
  <c r="Y47" i="15"/>
  <c r="Y59" i="16"/>
  <c r="Y50" i="16"/>
  <c r="AT2" i="14"/>
  <c r="AS2" i="14"/>
  <c r="AT106" i="13"/>
  <c r="Y101" i="15"/>
  <c r="Y88" i="15"/>
  <c r="Y78" i="15"/>
  <c r="Y77" i="15"/>
  <c r="Y33" i="15"/>
  <c r="Y22" i="15"/>
  <c r="Y15" i="10"/>
  <c r="AA84" i="45" l="1"/>
  <c r="BE84" i="46"/>
  <c r="AA101" i="45"/>
  <c r="BE101" i="46"/>
  <c r="AA123" i="45"/>
  <c r="BE123" i="46"/>
  <c r="AD16" i="10"/>
  <c r="Y8" i="16"/>
  <c r="AC8" i="15"/>
  <c r="Y57" i="45"/>
  <c r="AY57" i="46"/>
  <c r="Y10" i="18"/>
  <c r="Y18" i="18"/>
  <c r="Y38" i="18"/>
  <c r="Y16" i="18"/>
  <c r="Y32" i="18"/>
  <c r="Y63" i="45"/>
  <c r="AQ3" i="2"/>
  <c r="Y112" i="15"/>
  <c r="Y24" i="74"/>
  <c r="Y23" i="74"/>
  <c r="Z20" i="74"/>
  <c r="AP9" i="2"/>
  <c r="AU10" i="2" s="1"/>
  <c r="Y26" i="15"/>
  <c r="Y18" i="16"/>
  <c r="Y85" i="16"/>
  <c r="Y40" i="10"/>
  <c r="BF123" i="46" l="1"/>
  <c r="BE185" i="46"/>
  <c r="BF101" i="46"/>
  <c r="BE163" i="46"/>
  <c r="BE146" i="46"/>
  <c r="BF84" i="46"/>
  <c r="Z16" i="18"/>
  <c r="Z32" i="18"/>
  <c r="Z18" i="18"/>
  <c r="Z57" i="45"/>
  <c r="AQ9" i="2"/>
  <c r="AV10" i="2" s="1"/>
  <c r="AV4" i="2"/>
  <c r="AS113" i="13"/>
  <c r="AD8" i="15"/>
  <c r="Y28" i="45"/>
  <c r="AY28" i="46"/>
  <c r="AR3" i="2"/>
  <c r="Y33" i="18"/>
  <c r="Y42" i="16"/>
  <c r="Y20" i="74"/>
  <c r="Y19" i="74"/>
  <c r="Y22" i="74" s="1"/>
  <c r="AR4" i="13"/>
  <c r="Y20" i="16"/>
  <c r="AP4" i="13"/>
  <c r="AE8" i="15" l="1"/>
  <c r="AA32" i="18"/>
  <c r="BG32" i="17"/>
  <c r="BH32" i="17" s="1"/>
  <c r="BI32" i="17" s="1"/>
  <c r="AB32" i="18" s="1"/>
  <c r="AA18" i="18"/>
  <c r="BG18" i="17"/>
  <c r="BH18" i="17" s="1"/>
  <c r="BI18" i="17" s="1"/>
  <c r="AB18" i="18" s="1"/>
  <c r="AA16" i="18"/>
  <c r="BG16" i="17"/>
  <c r="BH16" i="17" s="1"/>
  <c r="BI16" i="17" s="1"/>
  <c r="AB16" i="18" s="1"/>
  <c r="BF146" i="46"/>
  <c r="BG84" i="46"/>
  <c r="BG101" i="46"/>
  <c r="BF163" i="46"/>
  <c r="BG123" i="46"/>
  <c r="BF185" i="46"/>
  <c r="BD57" i="46"/>
  <c r="Z28" i="45"/>
  <c r="BD28" i="46"/>
  <c r="AS3" i="2"/>
  <c r="AS9" i="2" s="1"/>
  <c r="AW4" i="2"/>
  <c r="Y64" i="45"/>
  <c r="AR9" i="2"/>
  <c r="AW10" i="2" s="1"/>
  <c r="Y73" i="15"/>
  <c r="AR13" i="13"/>
  <c r="Y29" i="74"/>
  <c r="Z34" i="74" s="1"/>
  <c r="AP9" i="13"/>
  <c r="Y28" i="18"/>
  <c r="AR9" i="13"/>
  <c r="AP13" i="13"/>
  <c r="Y41" i="10"/>
  <c r="AF8" i="15" l="1"/>
  <c r="AA57" i="45"/>
  <c r="BI57" i="46"/>
  <c r="AB57" i="45" s="1"/>
  <c r="BH101" i="46"/>
  <c r="BG163" i="46"/>
  <c r="AA28" i="45"/>
  <c r="BI28" i="46"/>
  <c r="AB28" i="45" s="1"/>
  <c r="BG146" i="46"/>
  <c r="BH84" i="46"/>
  <c r="BH123" i="46"/>
  <c r="BG185" i="46"/>
  <c r="AT9" i="2"/>
  <c r="AW10" i="13"/>
  <c r="Y49" i="18"/>
  <c r="Y15" i="18"/>
  <c r="Y6" i="10"/>
  <c r="AY7" i="2"/>
  <c r="Z7" i="10" s="1"/>
  <c r="AX3" i="2"/>
  <c r="AR72" i="17"/>
  <c r="AR73" i="17"/>
  <c r="AR93" i="13"/>
  <c r="AR94" i="13" s="1"/>
  <c r="AR71" i="17"/>
  <c r="AR65" i="17"/>
  <c r="AR69" i="14"/>
  <c r="AR68" i="17"/>
  <c r="AR64" i="17"/>
  <c r="AR98" i="13"/>
  <c r="AR74" i="17"/>
  <c r="AR97" i="13"/>
  <c r="Y34" i="74"/>
  <c r="Y32" i="74"/>
  <c r="AP71" i="17"/>
  <c r="AP65" i="17"/>
  <c r="AP69" i="14"/>
  <c r="AP98" i="13"/>
  <c r="AP68" i="17"/>
  <c r="AP64" i="17"/>
  <c r="AP97" i="13"/>
  <c r="AP74" i="17"/>
  <c r="AP93" i="13"/>
  <c r="AP94" i="13" s="1"/>
  <c r="AP72" i="17"/>
  <c r="AP73" i="17"/>
  <c r="Y74" i="15"/>
  <c r="Y119" i="18"/>
  <c r="Y43" i="16"/>
  <c r="Y29" i="10"/>
  <c r="BI101" i="46" l="1"/>
  <c r="AB101" i="45" s="1"/>
  <c r="AC101" i="45" s="1"/>
  <c r="BH163" i="46"/>
  <c r="BI163" i="46" s="1"/>
  <c r="AB163" i="45" s="1"/>
  <c r="BI123" i="46"/>
  <c r="AB123" i="45" s="1"/>
  <c r="AC123" i="45" s="1"/>
  <c r="BH185" i="46"/>
  <c r="BI185" i="46" s="1"/>
  <c r="AB185" i="45" s="1"/>
  <c r="BH146" i="46"/>
  <c r="BI146" i="46" s="1"/>
  <c r="AB146" i="45" s="1"/>
  <c r="BI84" i="46"/>
  <c r="AB84" i="45" s="1"/>
  <c r="AC84" i="45" s="1"/>
  <c r="BC4" i="2"/>
  <c r="AX9" i="2"/>
  <c r="Z49" i="18"/>
  <c r="Z15" i="18"/>
  <c r="Z10" i="18"/>
  <c r="Z42" i="16"/>
  <c r="Z20" i="16"/>
  <c r="Y45" i="18"/>
  <c r="Y6" i="18"/>
  <c r="Y58" i="16"/>
  <c r="AD84" i="45" l="1"/>
  <c r="AC146" i="45"/>
  <c r="AD123" i="45"/>
  <c r="AC185" i="45"/>
  <c r="AD101" i="45"/>
  <c r="AC163" i="45"/>
  <c r="AA15" i="18"/>
  <c r="BG15" i="17"/>
  <c r="BH15" i="17" s="1"/>
  <c r="BI15" i="17" s="1"/>
  <c r="AB15" i="18" s="1"/>
  <c r="AA49" i="18"/>
  <c r="BG49" i="17"/>
  <c r="BH49" i="17" s="1"/>
  <c r="BI49" i="17" s="1"/>
  <c r="AB49" i="18" s="1"/>
  <c r="AX10" i="2"/>
  <c r="AY9" i="2"/>
  <c r="AY10" i="2" s="1"/>
  <c r="Z38" i="18"/>
  <c r="Y24" i="10"/>
  <c r="AD185" i="45" l="1"/>
  <c r="AE123" i="45"/>
  <c r="AD163" i="45"/>
  <c r="AE101" i="45"/>
  <c r="AD146" i="45"/>
  <c r="AE84" i="45"/>
  <c r="Z73" i="15"/>
  <c r="AR27" i="2"/>
  <c r="AE185" i="45" l="1"/>
  <c r="AF123" i="45"/>
  <c r="AF185" i="45" s="1"/>
  <c r="AE146" i="45"/>
  <c r="AF84" i="45"/>
  <c r="AF146" i="45" s="1"/>
  <c r="AE163" i="45"/>
  <c r="AF101" i="45"/>
  <c r="AF163" i="45" s="1"/>
  <c r="Z74" i="15"/>
  <c r="Z119" i="18"/>
  <c r="AM199" i="46"/>
  <c r="AM192" i="46"/>
  <c r="AM62" i="46"/>
  <c r="AM63" i="46"/>
  <c r="AM64" i="46"/>
  <c r="AM30" i="17"/>
  <c r="AM77" i="17" s="1"/>
  <c r="AM22" i="17"/>
  <c r="AM11" i="17"/>
  <c r="AM12" i="17" s="1"/>
  <c r="AM80" i="17"/>
  <c r="AM67" i="17"/>
  <c r="AM66" i="17"/>
  <c r="AM54" i="17"/>
  <c r="AM58" i="17" s="1"/>
  <c r="AM41" i="17"/>
  <c r="AM80" i="14"/>
  <c r="AM47" i="13"/>
  <c r="AM37" i="13"/>
  <c r="AM26" i="13"/>
  <c r="AM103" i="13"/>
  <c r="AM104" i="13" s="1"/>
  <c r="AM101" i="13"/>
  <c r="AM90" i="13"/>
  <c r="AM77" i="13"/>
  <c r="AM75" i="13"/>
  <c r="AM70" i="13"/>
  <c r="AR71" i="13" s="1"/>
  <c r="AM68" i="13"/>
  <c r="AM65" i="13"/>
  <c r="AM62" i="13"/>
  <c r="AM59" i="13"/>
  <c r="AM21" i="13"/>
  <c r="AM102" i="13" s="1"/>
  <c r="AM22" i="2"/>
  <c r="AM43" i="2"/>
  <c r="AM38" i="2"/>
  <c r="AM37" i="2"/>
  <c r="AM30" i="2"/>
  <c r="AM13" i="2"/>
  <c r="AM7" i="2"/>
  <c r="AA10" i="18" l="1"/>
  <c r="AA42" i="16"/>
  <c r="Z75" i="15"/>
  <c r="Z6" i="18"/>
  <c r="Z58" i="16"/>
  <c r="Z43" i="16"/>
  <c r="AR31" i="2"/>
  <c r="AR44" i="2"/>
  <c r="AR91" i="13"/>
  <c r="AM24" i="17"/>
  <c r="AM81" i="17"/>
  <c r="AM34" i="17"/>
  <c r="AM43" i="17" s="1"/>
  <c r="AM60" i="17" s="1"/>
  <c r="AM51" i="2"/>
  <c r="AM33" i="2"/>
  <c r="AR34" i="2" s="1"/>
  <c r="AM50" i="2"/>
  <c r="AM46" i="2"/>
  <c r="AR47" i="2" s="1"/>
  <c r="Z45" i="18" l="1"/>
  <c r="AA20" i="16"/>
  <c r="AM61" i="17"/>
  <c r="AL49" i="14"/>
  <c r="AL199" i="46"/>
  <c r="AL62" i="46"/>
  <c r="AL63" i="46"/>
  <c r="AL64" i="46"/>
  <c r="AL30" i="17"/>
  <c r="AL77" i="17" s="1"/>
  <c r="AL11" i="17"/>
  <c r="AL12" i="17" s="1"/>
  <c r="AL80" i="17"/>
  <c r="AL67" i="17"/>
  <c r="AL66" i="17"/>
  <c r="AL54" i="17"/>
  <c r="AL58" i="17" s="1"/>
  <c r="AL41" i="17"/>
  <c r="AL22" i="17"/>
  <c r="AL52" i="14"/>
  <c r="AL47" i="14"/>
  <c r="AL43" i="14"/>
  <c r="AL42" i="14"/>
  <c r="AL41" i="14"/>
  <c r="AL40" i="14"/>
  <c r="AL39" i="14"/>
  <c r="AL38" i="14"/>
  <c r="AL37" i="14"/>
  <c r="AL31" i="14"/>
  <c r="AL30" i="14"/>
  <c r="AL29" i="14"/>
  <c r="AL28" i="14"/>
  <c r="AL27" i="14"/>
  <c r="AL25" i="14"/>
  <c r="AL24" i="14"/>
  <c r="AL20" i="14"/>
  <c r="AL18" i="14"/>
  <c r="AL15" i="14"/>
  <c r="AL16" i="14"/>
  <c r="AL14" i="14"/>
  <c r="AL13" i="14"/>
  <c r="AL12" i="14"/>
  <c r="AL11" i="14"/>
  <c r="AL8" i="14"/>
  <c r="AL7" i="14"/>
  <c r="AL6" i="14"/>
  <c r="AL5" i="14"/>
  <c r="AL4" i="14"/>
  <c r="AL80" i="14"/>
  <c r="AL48" i="14"/>
  <c r="AL36" i="14"/>
  <c r="AL35" i="14"/>
  <c r="AL26" i="14"/>
  <c r="AL9" i="14"/>
  <c r="AL47" i="13"/>
  <c r="AL37" i="13"/>
  <c r="AL103" i="13"/>
  <c r="AL104" i="13" s="1"/>
  <c r="AL101" i="13"/>
  <c r="AL90" i="13"/>
  <c r="AL77" i="13"/>
  <c r="AL75" i="13"/>
  <c r="AL70" i="13"/>
  <c r="AQ71" i="13" s="1"/>
  <c r="AL68" i="13"/>
  <c r="AL65" i="13"/>
  <c r="AL62" i="13"/>
  <c r="AL59" i="13"/>
  <c r="AL25" i="13"/>
  <c r="AL21" i="13"/>
  <c r="AL102" i="13" s="1"/>
  <c r="AL13" i="2"/>
  <c r="AL43" i="2"/>
  <c r="AL37" i="2"/>
  <c r="AL22" i="2"/>
  <c r="AL7" i="2"/>
  <c r="AA38" i="18" l="1"/>
  <c r="BG10" i="17"/>
  <c r="BG42" i="14" s="1"/>
  <c r="AM35" i="14"/>
  <c r="AN35" i="14" s="1"/>
  <c r="AM8" i="14"/>
  <c r="AN8" i="14" s="1"/>
  <c r="AM14" i="14"/>
  <c r="AN14" i="14" s="1"/>
  <c r="AM20" i="14"/>
  <c r="AN20" i="14" s="1"/>
  <c r="AM28" i="14"/>
  <c r="AN28" i="14" s="1"/>
  <c r="AM37" i="14"/>
  <c r="AN37" i="14" s="1"/>
  <c r="AM41" i="14"/>
  <c r="AM52" i="14"/>
  <c r="AN52" i="14" s="1"/>
  <c r="AM36" i="14"/>
  <c r="AN36" i="14" s="1"/>
  <c r="AM5" i="14"/>
  <c r="AM11" i="14"/>
  <c r="AN11" i="14" s="1"/>
  <c r="AM16" i="14"/>
  <c r="AN16" i="14" s="1"/>
  <c r="AM24" i="14"/>
  <c r="AM29" i="14"/>
  <c r="AN29" i="14" s="1"/>
  <c r="AM38" i="14"/>
  <c r="AN38" i="14" s="1"/>
  <c r="AM42" i="14"/>
  <c r="AN42" i="14" s="1"/>
  <c r="AM49" i="14"/>
  <c r="AN49" i="14" s="1"/>
  <c r="AM9" i="14"/>
  <c r="AN9" i="14" s="1"/>
  <c r="AM6" i="14"/>
  <c r="AN6" i="14" s="1"/>
  <c r="AM12" i="14"/>
  <c r="AN12" i="14" s="1"/>
  <c r="AM15" i="14"/>
  <c r="AN15" i="14" s="1"/>
  <c r="AM25" i="14"/>
  <c r="AN25" i="14" s="1"/>
  <c r="AM30" i="14"/>
  <c r="AN30" i="14" s="1"/>
  <c r="AM39" i="14"/>
  <c r="AM43" i="14"/>
  <c r="AN43" i="14" s="1"/>
  <c r="AM26" i="14"/>
  <c r="AN26" i="14" s="1"/>
  <c r="AL78" i="13"/>
  <c r="AM7" i="14"/>
  <c r="AN7" i="14" s="1"/>
  <c r="AM13" i="14"/>
  <c r="AN13" i="14" s="1"/>
  <c r="AM27" i="14"/>
  <c r="AN27" i="14" s="1"/>
  <c r="AM31" i="14"/>
  <c r="AN31" i="14" s="1"/>
  <c r="AM40" i="14"/>
  <c r="AM47" i="14"/>
  <c r="AN47" i="14" s="1"/>
  <c r="AQ44" i="2"/>
  <c r="AM4" i="14"/>
  <c r="AN4" i="14" s="1"/>
  <c r="AL26" i="13"/>
  <c r="AO25" i="13"/>
  <c r="AQ91" i="13"/>
  <c r="AL13" i="13"/>
  <c r="AL76" i="14"/>
  <c r="AL50" i="14"/>
  <c r="AM48" i="14"/>
  <c r="AN48" i="14" s="1"/>
  <c r="AL88" i="14"/>
  <c r="AL87" i="14" s="1"/>
  <c r="AM18" i="14"/>
  <c r="AM88" i="14" s="1"/>
  <c r="AL44" i="14"/>
  <c r="AL17" i="14"/>
  <c r="AL21" i="14" s="1"/>
  <c r="AL70" i="14"/>
  <c r="AL24" i="17"/>
  <c r="AL81" i="17"/>
  <c r="AL34" i="17"/>
  <c r="AL43" i="17" s="1"/>
  <c r="AL60" i="17" s="1"/>
  <c r="AL64" i="14"/>
  <c r="AL65" i="14" s="1"/>
  <c r="AL81" i="13"/>
  <c r="AL32" i="14"/>
  <c r="BH10" i="17" l="1"/>
  <c r="BI10" i="17" s="1"/>
  <c r="AB10" i="18" s="1"/>
  <c r="AA73" i="15"/>
  <c r="AN41" i="14"/>
  <c r="AN40" i="14"/>
  <c r="AM44" i="14"/>
  <c r="AN39" i="14"/>
  <c r="AM70" i="14"/>
  <c r="AN24" i="14"/>
  <c r="AM17" i="14"/>
  <c r="AM21" i="14" s="1"/>
  <c r="AM87" i="14"/>
  <c r="AN88" i="14"/>
  <c r="AM32" i="14"/>
  <c r="AM64" i="14"/>
  <c r="AM65" i="14" s="1"/>
  <c r="AN18" i="14"/>
  <c r="AM76" i="14"/>
  <c r="AM50" i="14"/>
  <c r="AN5" i="14"/>
  <c r="AL72" i="14"/>
  <c r="AL61" i="17"/>
  <c r="AL54" i="14"/>
  <c r="BH42" i="14" l="1"/>
  <c r="BI42" i="14" s="1"/>
  <c r="AB42" i="16" s="1"/>
  <c r="BG38" i="17"/>
  <c r="BG20" i="14" s="1"/>
  <c r="AA6" i="18"/>
  <c r="AA58" i="16"/>
  <c r="AA119" i="18"/>
  <c r="AA74" i="15"/>
  <c r="AN87" i="14"/>
  <c r="AS88" i="14"/>
  <c r="AN70" i="14"/>
  <c r="AN76" i="14"/>
  <c r="AN44" i="14"/>
  <c r="AM54" i="14"/>
  <c r="AN64" i="14"/>
  <c r="AN65" i="14" s="1"/>
  <c r="AN81" i="13"/>
  <c r="AM72" i="14"/>
  <c r="AM74" i="14" s="1"/>
  <c r="AL73" i="14"/>
  <c r="AL74" i="14"/>
  <c r="AL77" i="14"/>
  <c r="AA75" i="15" l="1"/>
  <c r="BG58" i="14"/>
  <c r="BH38" i="17"/>
  <c r="BH20" i="14" s="1"/>
  <c r="BG74" i="13"/>
  <c r="AA43" i="16"/>
  <c r="AS87" i="14"/>
  <c r="AT88" i="14"/>
  <c r="AM73" i="14"/>
  <c r="AM77" i="14"/>
  <c r="AK47" i="13"/>
  <c r="AO47" i="13" s="1"/>
  <c r="AK43" i="13"/>
  <c r="AO43" i="13" s="1"/>
  <c r="BG6" i="17" l="1"/>
  <c r="BH58" i="14"/>
  <c r="AA45" i="18"/>
  <c r="BI38" i="17"/>
  <c r="AB38" i="18" s="1"/>
  <c r="BG119" i="17"/>
  <c r="BG73" i="13"/>
  <c r="BH74" i="13"/>
  <c r="AT87" i="14"/>
  <c r="Y87" i="16" s="1"/>
  <c r="Y88" i="16"/>
  <c r="AK199" i="46"/>
  <c r="AK192" i="46"/>
  <c r="AK64" i="46"/>
  <c r="AK63" i="46"/>
  <c r="AK62" i="46"/>
  <c r="AK30" i="17"/>
  <c r="AK77" i="17" s="1"/>
  <c r="AK11" i="17"/>
  <c r="AK12" i="17" s="1"/>
  <c r="AK80" i="17"/>
  <c r="AK81" i="17" s="1"/>
  <c r="AK67" i="17"/>
  <c r="AK66" i="17"/>
  <c r="AK54" i="17"/>
  <c r="AK58" i="17" s="1"/>
  <c r="AK41" i="17"/>
  <c r="AK22" i="17"/>
  <c r="AK88" i="14"/>
  <c r="AK80" i="14"/>
  <c r="AK76" i="14"/>
  <c r="AK70" i="14"/>
  <c r="AK64" i="14"/>
  <c r="AK50" i="14"/>
  <c r="AN50" i="14" s="1"/>
  <c r="AK44" i="14"/>
  <c r="AK32" i="14"/>
  <c r="AN32" i="14" s="1"/>
  <c r="AK17" i="14"/>
  <c r="AK37" i="13"/>
  <c r="AO37" i="13" s="1"/>
  <c r="AK103" i="13"/>
  <c r="AK104" i="13" s="1"/>
  <c r="AK101" i="13"/>
  <c r="AK90" i="13"/>
  <c r="AP91" i="13" s="1"/>
  <c r="AK81" i="13"/>
  <c r="AK77" i="13"/>
  <c r="AK75" i="13"/>
  <c r="AK68" i="13"/>
  <c r="AK65" i="13"/>
  <c r="AK62" i="13"/>
  <c r="AK59" i="13"/>
  <c r="AK26" i="13"/>
  <c r="AK21" i="13"/>
  <c r="AK51" i="2"/>
  <c r="AK43" i="2"/>
  <c r="AK37" i="2"/>
  <c r="AK30" i="2"/>
  <c r="AK22" i="2"/>
  <c r="AK13" i="2"/>
  <c r="AK7" i="2"/>
  <c r="BI58" i="14" l="1"/>
  <c r="BH6" i="17"/>
  <c r="BI74" i="13"/>
  <c r="AB74" i="15" s="1"/>
  <c r="AB75" i="15" s="1"/>
  <c r="BH73" i="13"/>
  <c r="BI73" i="13" s="1"/>
  <c r="AB73" i="15" s="1"/>
  <c r="BH119" i="17"/>
  <c r="AK78" i="13"/>
  <c r="AK21" i="14"/>
  <c r="AN17" i="14"/>
  <c r="AN21" i="14" s="1"/>
  <c r="AK65" i="14"/>
  <c r="AO64" i="14"/>
  <c r="AO65" i="14" s="1"/>
  <c r="AK87" i="14"/>
  <c r="AO88" i="14"/>
  <c r="AO87" i="14" s="1"/>
  <c r="AP44" i="2"/>
  <c r="AO43" i="2"/>
  <c r="AT44" i="2" s="1"/>
  <c r="AP31" i="2"/>
  <c r="AK102" i="13"/>
  <c r="AO102" i="13" s="1"/>
  <c r="AO21" i="13"/>
  <c r="AO22" i="13" s="1"/>
  <c r="AK46" i="2"/>
  <c r="AP47" i="2" s="1"/>
  <c r="AK34" i="17"/>
  <c r="AK43" i="17" s="1"/>
  <c r="AK60" i="17" s="1"/>
  <c r="AK24" i="17"/>
  <c r="AK38" i="2"/>
  <c r="AK33" i="2"/>
  <c r="AP34" i="2" s="1"/>
  <c r="AK50" i="2"/>
  <c r="BI6" i="17" l="1"/>
  <c r="AB6" i="18" s="1"/>
  <c r="AB58" i="16"/>
  <c r="BG45" i="17"/>
  <c r="BI75" i="13"/>
  <c r="BI119" i="17"/>
  <c r="AB119" i="18" s="1"/>
  <c r="AN72" i="14"/>
  <c r="AK54" i="14"/>
  <c r="AK72" i="14"/>
  <c r="AK73" i="14" s="1"/>
  <c r="AN54" i="14"/>
  <c r="AN57" i="2"/>
  <c r="AO103" i="13"/>
  <c r="AO104" i="13" s="1"/>
  <c r="AO26" i="13"/>
  <c r="AK61" i="17"/>
  <c r="BG43" i="14" l="1"/>
  <c r="BH45" i="17"/>
  <c r="AN74" i="14"/>
  <c r="AN73" i="14"/>
  <c r="AN77" i="14"/>
  <c r="AK74" i="14"/>
  <c r="AK77" i="14"/>
  <c r="BI45" i="17" l="1"/>
  <c r="AB45" i="18" s="1"/>
  <c r="BH43" i="14"/>
  <c r="BI43" i="14" s="1"/>
  <c r="AB43" i="16" s="1"/>
  <c r="AB2" i="20"/>
  <c r="AB11" i="20"/>
  <c r="AB33" i="20"/>
  <c r="AB38" i="20"/>
  <c r="AN8" i="13" l="1"/>
  <c r="A184" i="45" l="1"/>
  <c r="A162" i="45"/>
  <c r="A122" i="45"/>
  <c r="A100" i="45"/>
  <c r="A54" i="45"/>
  <c r="A32" i="45"/>
  <c r="AB184" i="46"/>
  <c r="AI184" i="46"/>
  <c r="AB162" i="46"/>
  <c r="AC162" i="46"/>
  <c r="AH162" i="46"/>
  <c r="AI162" i="46"/>
  <c r="AC122" i="46" l="1"/>
  <c r="AJ122" i="46"/>
  <c r="W122" i="45" s="1"/>
  <c r="AJ100" i="46"/>
  <c r="AD100" i="46"/>
  <c r="AD162" i="46" s="1"/>
  <c r="AE162" i="46" s="1"/>
  <c r="V162" i="45" s="1"/>
  <c r="AJ54" i="46"/>
  <c r="AD54" i="46"/>
  <c r="AE54" i="46" s="1"/>
  <c r="AE32" i="46"/>
  <c r="V32" i="45" s="1"/>
  <c r="AJ32" i="46"/>
  <c r="AJ28" i="14"/>
  <c r="AK122" i="46" l="1"/>
  <c r="AL122" i="46" s="1"/>
  <c r="AD122" i="46"/>
  <c r="AC184" i="46"/>
  <c r="AF54" i="46"/>
  <c r="AG54" i="46" s="1"/>
  <c r="AH184" i="46" s="1"/>
  <c r="V54" i="45"/>
  <c r="AK100" i="46"/>
  <c r="W100" i="45"/>
  <c r="AK54" i="46"/>
  <c r="AL54" i="46" s="1"/>
  <c r="AM54" i="46" s="1"/>
  <c r="AN54" i="46" s="1"/>
  <c r="AO54" i="46" s="1"/>
  <c r="W54" i="45"/>
  <c r="AK32" i="46"/>
  <c r="AL32" i="46" s="1"/>
  <c r="AM32" i="46" s="1"/>
  <c r="AN32" i="46" s="1"/>
  <c r="AO32" i="46" s="1"/>
  <c r="W32" i="45"/>
  <c r="AE100" i="46"/>
  <c r="AJ64" i="13"/>
  <c r="AO65" i="13" s="1"/>
  <c r="AI12" i="46"/>
  <c r="X54" i="45" l="1"/>
  <c r="AP54" i="46"/>
  <c r="AQ54" i="46" s="1"/>
  <c r="AR54" i="46" s="1"/>
  <c r="X32" i="45"/>
  <c r="AP32" i="46"/>
  <c r="AQ32" i="46" s="1"/>
  <c r="AR32" i="46" s="1"/>
  <c r="AF100" i="46"/>
  <c r="V100" i="45"/>
  <c r="AK184" i="46"/>
  <c r="AM122" i="46"/>
  <c r="AL184" i="46"/>
  <c r="AL100" i="46"/>
  <c r="AK162" i="46"/>
  <c r="AE122" i="46"/>
  <c r="AD184" i="46"/>
  <c r="AE184" i="46" s="1"/>
  <c r="V184" i="45" s="1"/>
  <c r="AS32" i="46" l="1"/>
  <c r="AT32" i="46" s="1"/>
  <c r="AS54" i="46"/>
  <c r="AT54" i="46" s="1"/>
  <c r="AM100" i="46"/>
  <c r="AL162" i="46"/>
  <c r="AN122" i="46"/>
  <c r="AM184" i="46"/>
  <c r="AF122" i="46"/>
  <c r="V122" i="45"/>
  <c r="AG100" i="46"/>
  <c r="AG162" i="46" s="1"/>
  <c r="AF162" i="46"/>
  <c r="Y54" i="45" l="1"/>
  <c r="AU54" i="46"/>
  <c r="AV54" i="46" s="1"/>
  <c r="AW54" i="46" s="1"/>
  <c r="AX54" i="46" s="1"/>
  <c r="AY54" i="46" s="1"/>
  <c r="Y32" i="45"/>
  <c r="AU32" i="46"/>
  <c r="AV32" i="46" s="1"/>
  <c r="AW32" i="46" s="1"/>
  <c r="AX32" i="46" s="1"/>
  <c r="AY32" i="46" s="1"/>
  <c r="AO122" i="46"/>
  <c r="AN184" i="46"/>
  <c r="AO184" i="46" s="1"/>
  <c r="X184" i="45" s="1"/>
  <c r="AG122" i="46"/>
  <c r="AG184" i="46" s="1"/>
  <c r="AF184" i="46"/>
  <c r="AJ162" i="46"/>
  <c r="W162" i="45" s="1"/>
  <c r="AN100" i="46"/>
  <c r="AM162" i="46"/>
  <c r="W85" i="16"/>
  <c r="Z32" i="45" l="1"/>
  <c r="AZ32" i="46"/>
  <c r="BA32" i="46" s="1"/>
  <c r="BB32" i="46" s="1"/>
  <c r="BC32" i="46" s="1"/>
  <c r="BD32" i="46" s="1"/>
  <c r="Z54" i="45"/>
  <c r="AZ54" i="46"/>
  <c r="BA54" i="46" s="1"/>
  <c r="BB54" i="46" s="1"/>
  <c r="BC54" i="46" s="1"/>
  <c r="BD54" i="46" s="1"/>
  <c r="X122" i="45"/>
  <c r="AP122" i="46"/>
  <c r="AJ184" i="46"/>
  <c r="W184" i="45" s="1"/>
  <c r="AO100" i="46"/>
  <c r="AN162" i="46"/>
  <c r="AO162" i="46" s="1"/>
  <c r="X162" i="45" s="1"/>
  <c r="X85" i="16"/>
  <c r="AA54" i="45" l="1"/>
  <c r="BE54" i="46"/>
  <c r="BF54" i="46" s="1"/>
  <c r="BG54" i="46" s="1"/>
  <c r="BH54" i="46" s="1"/>
  <c r="BI54" i="46" s="1"/>
  <c r="AB54" i="45" s="1"/>
  <c r="AA32" i="45"/>
  <c r="BE32" i="46"/>
  <c r="BF32" i="46" s="1"/>
  <c r="BG32" i="46" s="1"/>
  <c r="BH32" i="46" s="1"/>
  <c r="BI32" i="46" s="1"/>
  <c r="AB32" i="45" s="1"/>
  <c r="AC54" i="45"/>
  <c r="AD54" i="45" s="1"/>
  <c r="AE54" i="45" s="1"/>
  <c r="AF54" i="45" s="1"/>
  <c r="X100" i="45"/>
  <c r="AP100" i="46"/>
  <c r="AP184" i="46"/>
  <c r="AQ122" i="46"/>
  <c r="AI199" i="46"/>
  <c r="AI192" i="46"/>
  <c r="AJ30" i="17"/>
  <c r="AJ11" i="17"/>
  <c r="AJ80" i="17"/>
  <c r="AJ81" i="17" s="1"/>
  <c r="AI56" i="17"/>
  <c r="AJ54" i="17"/>
  <c r="AJ58" i="17" s="1"/>
  <c r="AI58" i="17" s="1"/>
  <c r="AI53" i="17"/>
  <c r="AI52" i="17"/>
  <c r="AI51" i="17"/>
  <c r="AI50" i="17"/>
  <c r="AI49" i="17"/>
  <c r="AI45" i="17"/>
  <c r="AJ41" i="17"/>
  <c r="AI41" i="17" s="1"/>
  <c r="AI40" i="17"/>
  <c r="AI39" i="17"/>
  <c r="AI38" i="17"/>
  <c r="AI37" i="17"/>
  <c r="AI33" i="17"/>
  <c r="AI63" i="46" s="1"/>
  <c r="AI32" i="17"/>
  <c r="AI31" i="17"/>
  <c r="AI29" i="17"/>
  <c r="AI66" i="17" s="1"/>
  <c r="AI28" i="17"/>
  <c r="AI64" i="46" s="1"/>
  <c r="AJ22" i="17"/>
  <c r="AI21" i="17"/>
  <c r="AI20" i="17"/>
  <c r="AI19" i="17"/>
  <c r="AI18" i="17"/>
  <c r="AI17" i="17"/>
  <c r="AI16" i="17"/>
  <c r="AI15" i="17"/>
  <c r="AI10" i="17"/>
  <c r="AI9" i="17"/>
  <c r="AI67" i="17" s="1"/>
  <c r="AI8" i="17"/>
  <c r="AI7" i="17"/>
  <c r="AI6" i="17"/>
  <c r="AI5" i="17"/>
  <c r="AJ43" i="14"/>
  <c r="AJ44" i="14" s="1"/>
  <c r="AJ20" i="14"/>
  <c r="AJ89" i="14"/>
  <c r="AJ84" i="14"/>
  <c r="AJ83" i="14"/>
  <c r="AI82" i="14"/>
  <c r="AI80" i="14"/>
  <c r="AJ79" i="14"/>
  <c r="AJ76" i="14"/>
  <c r="AJ70" i="14"/>
  <c r="AI66" i="14"/>
  <c r="AI58" i="14"/>
  <c r="AI53" i="14"/>
  <c r="AJ50" i="14"/>
  <c r="AJ32" i="14"/>
  <c r="AI19" i="14"/>
  <c r="AJ17" i="14"/>
  <c r="AI90" i="13"/>
  <c r="AN91" i="13" s="1"/>
  <c r="AF47" i="13"/>
  <c r="AI48" i="13"/>
  <c r="AI21" i="13"/>
  <c r="AJ106" i="13"/>
  <c r="AI103" i="13"/>
  <c r="AI104" i="13" s="1"/>
  <c r="AJ89" i="13"/>
  <c r="AJ88" i="13"/>
  <c r="AJ87" i="13"/>
  <c r="AJ86" i="13"/>
  <c r="AJ85" i="13"/>
  <c r="AJ67" i="17" s="1"/>
  <c r="AJ81" i="13"/>
  <c r="AI77" i="13"/>
  <c r="AI75" i="13"/>
  <c r="AJ74" i="13"/>
  <c r="AO75" i="13" s="1"/>
  <c r="AI70" i="13"/>
  <c r="AN71" i="13" s="1"/>
  <c r="AI68" i="13"/>
  <c r="AJ67" i="13"/>
  <c r="AI65" i="13"/>
  <c r="AI62" i="13"/>
  <c r="AJ61" i="13"/>
  <c r="AO62" i="13" s="1"/>
  <c r="AI59" i="13"/>
  <c r="AJ58" i="13"/>
  <c r="AO59" i="13" s="1"/>
  <c r="AJ43" i="13"/>
  <c r="AJ33" i="13"/>
  <c r="AJ32" i="13"/>
  <c r="AI25" i="13"/>
  <c r="AI26" i="13" s="1"/>
  <c r="AJ23" i="13"/>
  <c r="AI101" i="13"/>
  <c r="AI41" i="2"/>
  <c r="AI40" i="2"/>
  <c r="AI36" i="2"/>
  <c r="AN37" i="2" s="1"/>
  <c r="AO4" i="2"/>
  <c r="AI24" i="2"/>
  <c r="AJ22" i="2"/>
  <c r="AI21" i="2"/>
  <c r="AN22" i="2" s="1"/>
  <c r="AO16" i="2"/>
  <c r="AJ13" i="2"/>
  <c r="AI12" i="2"/>
  <c r="AN13" i="2" s="1"/>
  <c r="AI7" i="2"/>
  <c r="AJ6" i="2"/>
  <c r="AO7" i="2" s="1"/>
  <c r="Y16" i="10"/>
  <c r="Y4" i="10"/>
  <c r="AC16" i="10"/>
  <c r="AC4" i="10"/>
  <c r="AC32" i="45" l="1"/>
  <c r="AD32" i="45" s="1"/>
  <c r="AE32" i="45" s="1"/>
  <c r="AF32" i="45" s="1"/>
  <c r="AI78" i="13"/>
  <c r="AO80" i="14"/>
  <c r="AO68" i="13"/>
  <c r="AO70" i="13"/>
  <c r="AQ184" i="46"/>
  <c r="AR122" i="46"/>
  <c r="AP162" i="46"/>
  <c r="AQ100" i="46"/>
  <c r="AJ66" i="17"/>
  <c r="AJ77" i="17"/>
  <c r="AI30" i="17"/>
  <c r="AI34" i="17" s="1"/>
  <c r="AK15" i="2"/>
  <c r="AP16" i="2" s="1"/>
  <c r="AK3" i="2"/>
  <c r="AP4" i="2" s="1"/>
  <c r="AJ82" i="14"/>
  <c r="AJ34" i="17"/>
  <c r="AJ43" i="17" s="1"/>
  <c r="AI43" i="17" s="1"/>
  <c r="AI60" i="17" s="1"/>
  <c r="AI62" i="46"/>
  <c r="AK70" i="13"/>
  <c r="AP71" i="13" s="1"/>
  <c r="AJ16" i="2"/>
  <c r="AI54" i="2"/>
  <c r="AJ4" i="2"/>
  <c r="AI54" i="17"/>
  <c r="AI80" i="17"/>
  <c r="AI22" i="17"/>
  <c r="AJ12" i="17"/>
  <c r="AI11" i="17"/>
  <c r="AJ77" i="13"/>
  <c r="AJ21" i="14"/>
  <c r="AJ72" i="14" s="1"/>
  <c r="AJ74" i="14" s="1"/>
  <c r="AI102" i="13"/>
  <c r="AJ90" i="13"/>
  <c r="AO91" i="13" s="1"/>
  <c r="AJ20" i="13"/>
  <c r="AI43" i="2"/>
  <c r="AI77" i="17" l="1"/>
  <c r="AT71" i="13"/>
  <c r="AO78" i="13"/>
  <c r="AN44" i="2"/>
  <c r="Y70" i="15"/>
  <c r="Z71" i="15" s="1"/>
  <c r="AQ162" i="46"/>
  <c r="AR100" i="46"/>
  <c r="AS122" i="46"/>
  <c r="AR184" i="46"/>
  <c r="AL3" i="2"/>
  <c r="AQ4" i="2" s="1"/>
  <c r="AL15" i="2"/>
  <c r="AQ16" i="2" s="1"/>
  <c r="AK18" i="2"/>
  <c r="AP19" i="2" s="1"/>
  <c r="AK9" i="2"/>
  <c r="AP10" i="2" s="1"/>
  <c r="AI81" i="17"/>
  <c r="AJ54" i="14"/>
  <c r="AJ24" i="17"/>
  <c r="AI24" i="17" s="1"/>
  <c r="AI61" i="17" s="1"/>
  <c r="AI12" i="17"/>
  <c r="AJ60" i="17"/>
  <c r="AJ77" i="14"/>
  <c r="AJ73" i="14"/>
  <c r="AJ101" i="13"/>
  <c r="AL9" i="2" l="1"/>
  <c r="AQ10" i="2" s="1"/>
  <c r="AS184" i="46"/>
  <c r="AT184" i="46" s="1"/>
  <c r="Y184" i="45" s="1"/>
  <c r="AT122" i="46"/>
  <c r="AR162" i="46"/>
  <c r="AS100" i="46"/>
  <c r="AM55" i="2"/>
  <c r="AM15" i="2"/>
  <c r="AM54" i="2"/>
  <c r="AL18" i="2"/>
  <c r="AQ19" i="2" s="1"/>
  <c r="AM3" i="2"/>
  <c r="AR4" i="2" s="1"/>
  <c r="AK54" i="2"/>
  <c r="AL54" i="2"/>
  <c r="AK55" i="2"/>
  <c r="AL55" i="2"/>
  <c r="AJ61" i="17"/>
  <c r="Y122" i="45" l="1"/>
  <c r="AU122" i="46"/>
  <c r="AP54" i="2"/>
  <c r="AT54" i="2" s="1"/>
  <c r="AN15" i="2"/>
  <c r="AR16" i="2"/>
  <c r="AX4" i="2"/>
  <c r="AO55" i="2"/>
  <c r="AO54" i="2"/>
  <c r="Y12" i="10"/>
  <c r="AN3" i="2"/>
  <c r="AS4" i="2" s="1"/>
  <c r="AS162" i="46"/>
  <c r="AT162" i="46" s="1"/>
  <c r="Y162" i="45" s="1"/>
  <c r="AT100" i="46"/>
  <c r="AM9" i="2"/>
  <c r="AR10" i="2" s="1"/>
  <c r="AM18" i="2"/>
  <c r="AR19" i="2" s="1"/>
  <c r="Z12" i="10" l="1"/>
  <c r="AN18" i="2"/>
  <c r="AS16" i="2"/>
  <c r="Y100" i="45"/>
  <c r="AU100" i="46"/>
  <c r="AV122" i="46"/>
  <c r="AU184" i="46"/>
  <c r="AU54" i="2"/>
  <c r="AV54" i="2"/>
  <c r="AW54" i="2"/>
  <c r="AX54" i="2"/>
  <c r="AN9" i="2"/>
  <c r="AS10" i="2" s="1"/>
  <c r="BI12" i="2" l="1"/>
  <c r="AB12" i="10" s="1"/>
  <c r="AA12" i="10"/>
  <c r="BB54" i="2"/>
  <c r="BA54" i="2"/>
  <c r="AZ54" i="2"/>
  <c r="BC54" i="2"/>
  <c r="AO18" i="2"/>
  <c r="AW122" i="46"/>
  <c r="AV184" i="46"/>
  <c r="AV100" i="46"/>
  <c r="AU162" i="46"/>
  <c r="AY54" i="2"/>
  <c r="AO9" i="2"/>
  <c r="AT10" i="2" s="1"/>
  <c r="AB2" i="16"/>
  <c r="AB2" i="18"/>
  <c r="AB136" i="15"/>
  <c r="AB135" i="15"/>
  <c r="AB112" i="15"/>
  <c r="AB2" i="10"/>
  <c r="X22" i="10"/>
  <c r="X21" i="10"/>
  <c r="X13" i="10"/>
  <c r="X12" i="10"/>
  <c r="X48" i="15"/>
  <c r="X25" i="15"/>
  <c r="X20" i="15"/>
  <c r="X113" i="18"/>
  <c r="X111" i="18"/>
  <c r="X109" i="18"/>
  <c r="X100" i="18"/>
  <c r="X96" i="18"/>
  <c r="X93" i="18"/>
  <c r="X91" i="18"/>
  <c r="X88" i="18"/>
  <c r="X66" i="16"/>
  <c r="X53" i="16"/>
  <c r="X48" i="16"/>
  <c r="X19" i="16"/>
  <c r="AG60" i="46"/>
  <c r="AM78" i="13"/>
  <c r="X89" i="16"/>
  <c r="X84" i="16"/>
  <c r="X83" i="16"/>
  <c r="X78" i="15"/>
  <c r="X59" i="16"/>
  <c r="X52" i="16"/>
  <c r="X49" i="16"/>
  <c r="X41" i="16"/>
  <c r="X36" i="16"/>
  <c r="X31" i="16"/>
  <c r="X30" i="16"/>
  <c r="X29" i="16"/>
  <c r="X27" i="16"/>
  <c r="X26" i="16"/>
  <c r="X25" i="16"/>
  <c r="X9" i="16"/>
  <c r="X7" i="16"/>
  <c r="X6" i="16"/>
  <c r="AO2" i="14"/>
  <c r="AN2" i="14"/>
  <c r="AM2" i="14"/>
  <c r="AL2" i="14"/>
  <c r="AK2" i="14"/>
  <c r="CF49" i="17"/>
  <c r="X45" i="18"/>
  <c r="X32" i="18"/>
  <c r="X18" i="18"/>
  <c r="X16" i="18"/>
  <c r="X10" i="18"/>
  <c r="AO2" i="17"/>
  <c r="AN2" i="17"/>
  <c r="AM2" i="17"/>
  <c r="AL2" i="17"/>
  <c r="AK2" i="17"/>
  <c r="X88" i="15"/>
  <c r="X43" i="15"/>
  <c r="X33" i="15"/>
  <c r="X32" i="15"/>
  <c r="X63" i="45"/>
  <c r="AO2" i="46"/>
  <c r="AN2" i="46"/>
  <c r="AM2" i="46"/>
  <c r="AL2" i="46"/>
  <c r="AK2" i="46"/>
  <c r="X24" i="15"/>
  <c r="X23" i="15"/>
  <c r="X21" i="15"/>
  <c r="AM2" i="2"/>
  <c r="AL2" i="2"/>
  <c r="AK2" i="2"/>
  <c r="X41" i="10"/>
  <c r="X40" i="10"/>
  <c r="X29" i="10"/>
  <c r="X15" i="10"/>
  <c r="X8" i="15"/>
  <c r="AN113" i="13"/>
  <c r="AK113" i="13"/>
  <c r="BE54" i="2" l="1"/>
  <c r="BF54" i="2"/>
  <c r="BG54" i="2"/>
  <c r="BH12" i="2"/>
  <c r="BH54" i="2" s="1"/>
  <c r="BD54" i="2"/>
  <c r="BC9" i="2"/>
  <c r="Z10" i="10"/>
  <c r="AW100" i="46"/>
  <c r="AV162" i="46"/>
  <c r="AX122" i="46"/>
  <c r="AW184" i="46"/>
  <c r="Y9" i="10"/>
  <c r="X7" i="10"/>
  <c r="Y7" i="10"/>
  <c r="X38" i="18"/>
  <c r="X6" i="10"/>
  <c r="X79" i="16"/>
  <c r="X101" i="15"/>
  <c r="X102" i="15"/>
  <c r="CF10" i="17"/>
  <c r="CF15" i="17"/>
  <c r="CF32" i="17"/>
  <c r="CF16" i="17"/>
  <c r="CF38" i="17"/>
  <c r="CF18" i="17"/>
  <c r="CF45" i="17"/>
  <c r="X80" i="16"/>
  <c r="CF33" i="17"/>
  <c r="X3" i="10"/>
  <c r="X77" i="15"/>
  <c r="X47" i="15"/>
  <c r="X28" i="16"/>
  <c r="AM113" i="13"/>
  <c r="AL113" i="13"/>
  <c r="AH31" i="13"/>
  <c r="BH13" i="2" l="1"/>
  <c r="BH26" i="2"/>
  <c r="BI54" i="2"/>
  <c r="BH9" i="2"/>
  <c r="BH10" i="2" s="1"/>
  <c r="BD9" i="2"/>
  <c r="BD10" i="2" s="1"/>
  <c r="AA10" i="10" s="1"/>
  <c r="BC10" i="2"/>
  <c r="Z9" i="10"/>
  <c r="AY122" i="46"/>
  <c r="AX184" i="46"/>
  <c r="AY184" i="46" s="1"/>
  <c r="Z184" i="45" s="1"/>
  <c r="AX100" i="46"/>
  <c r="AW162" i="46"/>
  <c r="X20" i="16"/>
  <c r="AJ31" i="13"/>
  <c r="X103" i="15"/>
  <c r="X50" i="16"/>
  <c r="X47" i="16"/>
  <c r="X22" i="15"/>
  <c r="X26" i="15" s="1"/>
  <c r="X43" i="16"/>
  <c r="X42" i="16"/>
  <c r="X33" i="18"/>
  <c r="X8" i="16"/>
  <c r="X82" i="16"/>
  <c r="A53" i="45"/>
  <c r="AB183" i="46"/>
  <c r="AC121" i="46"/>
  <c r="AD121" i="46" s="1"/>
  <c r="AE121" i="46" s="1"/>
  <c r="AF121" i="46" s="1"/>
  <c r="AG121" i="46" s="1"/>
  <c r="AI121" i="46" s="1"/>
  <c r="AJ121" i="46" s="1"/>
  <c r="AK121" i="46" s="1"/>
  <c r="AL121" i="46" s="1"/>
  <c r="AM121" i="46" s="1"/>
  <c r="AN121" i="46" s="1"/>
  <c r="A121" i="46"/>
  <c r="A121" i="45" s="1"/>
  <c r="AI53" i="46"/>
  <c r="AJ53" i="46" s="1"/>
  <c r="AK53" i="46" s="1"/>
  <c r="AC53" i="46"/>
  <c r="AD53" i="46" s="1"/>
  <c r="AE53" i="46" s="1"/>
  <c r="AF53" i="46" s="1"/>
  <c r="AG53" i="46" s="1"/>
  <c r="A31" i="45"/>
  <c r="AC161" i="46"/>
  <c r="AB161" i="46"/>
  <c r="AD99" i="46"/>
  <c r="AE99" i="46" s="1"/>
  <c r="AF99" i="46" s="1"/>
  <c r="AG99" i="46" s="1"/>
  <c r="AI99" i="46" s="1"/>
  <c r="AJ99" i="46" s="1"/>
  <c r="A99" i="46"/>
  <c r="A99" i="45" s="1"/>
  <c r="AE31" i="46"/>
  <c r="AF31" i="46" s="1"/>
  <c r="AG31" i="46" s="1"/>
  <c r="AI31" i="46" s="1"/>
  <c r="AJ31" i="46" s="1"/>
  <c r="AK31" i="46" s="1"/>
  <c r="AH73" i="13"/>
  <c r="AJ73" i="13" s="1"/>
  <c r="BH50" i="2" l="1"/>
  <c r="BH30" i="2"/>
  <c r="BI26" i="2"/>
  <c r="AB26" i="10" s="1"/>
  <c r="BH51" i="2"/>
  <c r="AA9" i="10"/>
  <c r="Z122" i="45"/>
  <c r="AZ122" i="46"/>
  <c r="AY100" i="46"/>
  <c r="AX162" i="46"/>
  <c r="AY162" i="46" s="1"/>
  <c r="Z162" i="45" s="1"/>
  <c r="AP57" i="2"/>
  <c r="AT57" i="2" s="1"/>
  <c r="Y6" i="15"/>
  <c r="Y5" i="15"/>
  <c r="AT13" i="13"/>
  <c r="A161" i="46"/>
  <c r="A161" i="45" s="1"/>
  <c r="AG183" i="46"/>
  <c r="V121" i="45"/>
  <c r="W121" i="45"/>
  <c r="AD183" i="46"/>
  <c r="AF183" i="46"/>
  <c r="AC183" i="46"/>
  <c r="AH183" i="46"/>
  <c r="V53" i="45"/>
  <c r="AL53" i="46"/>
  <c r="AK183" i="46"/>
  <c r="AI183" i="46"/>
  <c r="AO121" i="46"/>
  <c r="AP121" i="46" s="1"/>
  <c r="W53" i="45"/>
  <c r="W99" i="45"/>
  <c r="AK99" i="46"/>
  <c r="AL99" i="46" s="1"/>
  <c r="AM99" i="46" s="1"/>
  <c r="AN99" i="46" s="1"/>
  <c r="AO99" i="46" s="1"/>
  <c r="AP99" i="46" s="1"/>
  <c r="AL31" i="46"/>
  <c r="V31" i="45"/>
  <c r="AH161" i="46"/>
  <c r="W31" i="45"/>
  <c r="A183" i="46"/>
  <c r="A183" i="45" s="1"/>
  <c r="AO113" i="13"/>
  <c r="X39" i="16"/>
  <c r="X104" i="15"/>
  <c r="X74" i="15"/>
  <c r="Y75" i="15" s="1"/>
  <c r="X119" i="18"/>
  <c r="X15" i="18"/>
  <c r="AM13" i="13"/>
  <c r="AM4" i="13"/>
  <c r="AK4" i="13"/>
  <c r="AK13" i="13"/>
  <c r="AF161" i="46"/>
  <c r="AD161" i="46"/>
  <c r="AE161" i="46" s="1"/>
  <c r="V161" i="45" s="1"/>
  <c r="AI161" i="46"/>
  <c r="AG161" i="46"/>
  <c r="V99" i="45"/>
  <c r="BG56" i="2" l="1"/>
  <c r="BF56" i="2"/>
  <c r="BE56" i="2"/>
  <c r="BH56" i="2"/>
  <c r="BI30" i="2"/>
  <c r="AB30" i="10" s="1"/>
  <c r="BI51" i="2"/>
  <c r="AB51" i="10" s="1"/>
  <c r="BI50" i="2"/>
  <c r="AB50" i="10" s="1"/>
  <c r="BH4" i="13"/>
  <c r="Z100" i="45"/>
  <c r="AZ100" i="46"/>
  <c r="AZ184" i="46"/>
  <c r="BA122" i="46"/>
  <c r="X112" i="15"/>
  <c r="Y13" i="15"/>
  <c r="AS13" i="13"/>
  <c r="AQ99" i="46"/>
  <c r="AQ121" i="46"/>
  <c r="AN4" i="13"/>
  <c r="AE183" i="46"/>
  <c r="V183" i="45" s="1"/>
  <c r="AJ183" i="46"/>
  <c r="W183" i="45" s="1"/>
  <c r="X121" i="45"/>
  <c r="X99" i="45"/>
  <c r="AK161" i="46"/>
  <c r="AM53" i="46"/>
  <c r="AL183" i="46"/>
  <c r="AM31" i="46"/>
  <c r="AL161" i="46"/>
  <c r="X73" i="15"/>
  <c r="X49" i="18"/>
  <c r="AJ161" i="46"/>
  <c r="W161" i="45" s="1"/>
  <c r="BI4" i="13" l="1"/>
  <c r="BI9" i="13" s="1"/>
  <c r="BI43" i="2"/>
  <c r="BA184" i="46"/>
  <c r="BB122" i="46"/>
  <c r="AZ162" i="46"/>
  <c r="BA100" i="46"/>
  <c r="AR121" i="46"/>
  <c r="AR99" i="46"/>
  <c r="AN53" i="46"/>
  <c r="AM183" i="46"/>
  <c r="AN31" i="46"/>
  <c r="AM161" i="46"/>
  <c r="X6" i="18"/>
  <c r="X58" i="16"/>
  <c r="X87" i="16"/>
  <c r="X88" i="16"/>
  <c r="AH199" i="46"/>
  <c r="AH192" i="46"/>
  <c r="AH64" i="46"/>
  <c r="AH63" i="46"/>
  <c r="AH62" i="46"/>
  <c r="AH80" i="14"/>
  <c r="AH11" i="17"/>
  <c r="AH12" i="17" s="1"/>
  <c r="AH30" i="17"/>
  <c r="AH34" i="17" s="1"/>
  <c r="AH80" i="17"/>
  <c r="AH67" i="17"/>
  <c r="AH66" i="17"/>
  <c r="AH54" i="17"/>
  <c r="AH58" i="17" s="1"/>
  <c r="AH41" i="17"/>
  <c r="AH22" i="17"/>
  <c r="AH47" i="13"/>
  <c r="AH37" i="13"/>
  <c r="AH24" i="13"/>
  <c r="AH43" i="2"/>
  <c r="AH37" i="2"/>
  <c r="AH26" i="2"/>
  <c r="AM27" i="2" s="1"/>
  <c r="AH22" i="2"/>
  <c r="AH13" i="2"/>
  <c r="AH7" i="2"/>
  <c r="AH2" i="2"/>
  <c r="AH103" i="13"/>
  <c r="AH104" i="13" s="1"/>
  <c r="AH101" i="13"/>
  <c r="AH90" i="13"/>
  <c r="AH77" i="13"/>
  <c r="AH75" i="13"/>
  <c r="AH70" i="13"/>
  <c r="AM71" i="13" s="1"/>
  <c r="AH68" i="13"/>
  <c r="AH65" i="13"/>
  <c r="AH62" i="13"/>
  <c r="AH59" i="13"/>
  <c r="AH21" i="13"/>
  <c r="AH102" i="13" s="1"/>
  <c r="BI93" i="13" l="1"/>
  <c r="AB4" i="15"/>
  <c r="AB9" i="15" s="1"/>
  <c r="AI6" i="15" s="1"/>
  <c r="BG57" i="2"/>
  <c r="BE57" i="2"/>
  <c r="BF57" i="2"/>
  <c r="BI13" i="13"/>
  <c r="BK13" i="13" s="1"/>
  <c r="BH43" i="2"/>
  <c r="BH57" i="2" s="1"/>
  <c r="BA162" i="46"/>
  <c r="BB100" i="46"/>
  <c r="BB184" i="46"/>
  <c r="BC122" i="46"/>
  <c r="AH78" i="13"/>
  <c r="AM44" i="2"/>
  <c r="AS99" i="46"/>
  <c r="AS121" i="46"/>
  <c r="AH77" i="17"/>
  <c r="AM91" i="13"/>
  <c r="AH26" i="13"/>
  <c r="AH81" i="17"/>
  <c r="AH51" i="2"/>
  <c r="AO53" i="46"/>
  <c r="AP53" i="46" s="1"/>
  <c r="AN183" i="46"/>
  <c r="AO183" i="46" s="1"/>
  <c r="AO31" i="46"/>
  <c r="AP31" i="46" s="1"/>
  <c r="AN161" i="46"/>
  <c r="AO161" i="46" s="1"/>
  <c r="X6" i="15"/>
  <c r="X18" i="16"/>
  <c r="X70" i="15"/>
  <c r="Y71" i="15" s="1"/>
  <c r="AH65" i="46"/>
  <c r="AH43" i="17"/>
  <c r="AH60" i="17" s="1"/>
  <c r="AH24" i="17"/>
  <c r="AH38" i="2"/>
  <c r="AH13" i="13"/>
  <c r="AH50" i="2"/>
  <c r="AH33" i="2"/>
  <c r="AM34" i="2" s="1"/>
  <c r="AH30" i="2"/>
  <c r="BI31" i="17" l="1"/>
  <c r="BH31" i="17" s="1"/>
  <c r="BH16" i="14" s="1"/>
  <c r="BO69" i="17" s="1"/>
  <c r="BI8" i="17"/>
  <c r="BH8" i="17" s="1"/>
  <c r="BI11" i="17"/>
  <c r="AB11" i="18" s="1"/>
  <c r="BI7" i="17"/>
  <c r="BH7" i="17" s="1"/>
  <c r="BH11" i="14" s="1"/>
  <c r="BO64" i="17" s="1"/>
  <c r="BI24" i="14"/>
  <c r="AB24" i="16" s="1"/>
  <c r="AB13" i="15"/>
  <c r="BH13" i="13"/>
  <c r="BH46" i="2"/>
  <c r="BH36" i="2"/>
  <c r="BD122" i="46"/>
  <c r="BC184" i="46"/>
  <c r="BD184" i="46" s="1"/>
  <c r="AA184" i="45" s="1"/>
  <c r="AJ184" i="45" s="1"/>
  <c r="BC100" i="46"/>
  <c r="BB162" i="46"/>
  <c r="AM31" i="2"/>
  <c r="X15" i="15"/>
  <c r="X76" i="16"/>
  <c r="AQ53" i="46"/>
  <c r="AP183" i="46"/>
  <c r="AT121" i="46"/>
  <c r="AQ31" i="46"/>
  <c r="AP161" i="46"/>
  <c r="AT99" i="46"/>
  <c r="X67" i="15"/>
  <c r="X40" i="16"/>
  <c r="X68" i="15"/>
  <c r="AH46" i="2"/>
  <c r="AM47" i="2" s="1"/>
  <c r="X183" i="45"/>
  <c r="X53" i="45"/>
  <c r="X161" i="45"/>
  <c r="X31" i="45"/>
  <c r="X58" i="15"/>
  <c r="AH61" i="17"/>
  <c r="AH4" i="13"/>
  <c r="BH12" i="14" l="1"/>
  <c r="BO65" i="17" s="1"/>
  <c r="AB8" i="18"/>
  <c r="BH11" i="17"/>
  <c r="BH14" i="14" s="1"/>
  <c r="BO67" i="17" s="1"/>
  <c r="BI32" i="14"/>
  <c r="AB32" i="16" s="1"/>
  <c r="AB31" i="18"/>
  <c r="AB7" i="18"/>
  <c r="AA122" i="45"/>
  <c r="BE122" i="46"/>
  <c r="BH38" i="2"/>
  <c r="BI36" i="2"/>
  <c r="BH33" i="2"/>
  <c r="BD100" i="46"/>
  <c r="BC162" i="46"/>
  <c r="BD162" i="46" s="1"/>
  <c r="AA162" i="45" s="1"/>
  <c r="AJ162" i="45" s="1"/>
  <c r="Y121" i="45"/>
  <c r="AU121" i="46"/>
  <c r="Y99" i="45"/>
  <c r="AU99" i="46"/>
  <c r="AR31" i="46"/>
  <c r="AQ161" i="46"/>
  <c r="AR53" i="46"/>
  <c r="AQ183" i="46"/>
  <c r="X61" i="15"/>
  <c r="X62" i="15"/>
  <c r="X67" i="18"/>
  <c r="X77" i="18"/>
  <c r="X66" i="18"/>
  <c r="X59" i="15"/>
  <c r="AH9" i="13"/>
  <c r="BE184" i="46" l="1"/>
  <c r="BF122" i="46"/>
  <c r="AA100" i="45"/>
  <c r="BE100" i="46"/>
  <c r="BI38" i="2"/>
  <c r="AB38" i="10" s="1"/>
  <c r="BI33" i="2"/>
  <c r="AB33" i="10" s="1"/>
  <c r="AB36" i="10" s="1"/>
  <c r="AB43" i="10" s="1"/>
  <c r="AB46" i="10" s="1"/>
  <c r="AV99" i="46"/>
  <c r="AV121" i="46"/>
  <c r="AS31" i="46"/>
  <c r="AT31" i="46" s="1"/>
  <c r="AR161" i="46"/>
  <c r="AS53" i="46"/>
  <c r="AT53" i="46" s="1"/>
  <c r="AR183" i="46"/>
  <c r="X64" i="15"/>
  <c r="AH97" i="13"/>
  <c r="AH68" i="17"/>
  <c r="AH64" i="17"/>
  <c r="AH73" i="17"/>
  <c r="AH71" i="17"/>
  <c r="AH65" i="17"/>
  <c r="AH74" i="17"/>
  <c r="AH72" i="17"/>
  <c r="AH93" i="13"/>
  <c r="AH94" i="13" s="1"/>
  <c r="AH98" i="13"/>
  <c r="AC47" i="10" l="1"/>
  <c r="AB54" i="20"/>
  <c r="BG122" i="46"/>
  <c r="BF184" i="46"/>
  <c r="BF100" i="46"/>
  <c r="BE162" i="46"/>
  <c r="AW121" i="46"/>
  <c r="AW99" i="46"/>
  <c r="AS161" i="46"/>
  <c r="AT161" i="46" s="1"/>
  <c r="Y161" i="45" s="1"/>
  <c r="AS183" i="46"/>
  <c r="AT183" i="46" s="1"/>
  <c r="Y183" i="45" s="1"/>
  <c r="Y40" i="16"/>
  <c r="X65" i="15"/>
  <c r="BF162" i="46" l="1"/>
  <c r="BG100" i="46"/>
  <c r="BH122" i="46"/>
  <c r="BG184" i="46"/>
  <c r="AX99" i="46"/>
  <c r="Y31" i="45"/>
  <c r="AU31" i="46"/>
  <c r="Y53" i="45"/>
  <c r="AU53" i="46"/>
  <c r="AX121" i="46"/>
  <c r="Y68" i="15"/>
  <c r="Y67" i="15"/>
  <c r="Y76" i="16"/>
  <c r="AG26" i="2"/>
  <c r="BI122" i="46" l="1"/>
  <c r="AB122" i="45" s="1"/>
  <c r="AC122" i="45" s="1"/>
  <c r="BH184" i="46"/>
  <c r="BI184" i="46" s="1"/>
  <c r="AB184" i="45" s="1"/>
  <c r="BH100" i="46"/>
  <c r="BG162" i="46"/>
  <c r="AV31" i="46"/>
  <c r="AU161" i="46"/>
  <c r="AY121" i="46"/>
  <c r="AV53" i="46"/>
  <c r="AU183" i="46"/>
  <c r="AY99" i="46"/>
  <c r="Y59" i="15"/>
  <c r="Y58" i="15"/>
  <c r="AC184" i="45" l="1"/>
  <c r="AD122" i="45"/>
  <c r="BI100" i="46"/>
  <c r="AB100" i="45" s="1"/>
  <c r="AC100" i="45" s="1"/>
  <c r="BH162" i="46"/>
  <c r="BI162" i="46" s="1"/>
  <c r="AB162" i="45" s="1"/>
  <c r="Z121" i="45"/>
  <c r="AZ121" i="46"/>
  <c r="Z99" i="45"/>
  <c r="AZ99" i="46"/>
  <c r="AW53" i="46"/>
  <c r="AV183" i="46"/>
  <c r="AW31" i="46"/>
  <c r="AV161" i="46"/>
  <c r="Y62" i="15"/>
  <c r="Y61" i="15"/>
  <c r="AC162" i="45" l="1"/>
  <c r="AD100" i="45"/>
  <c r="AD184" i="45"/>
  <c r="AE122" i="45"/>
  <c r="BA99" i="46"/>
  <c r="BA121" i="46"/>
  <c r="AV74" i="14"/>
  <c r="AX31" i="46"/>
  <c r="AW161" i="46"/>
  <c r="AX53" i="46"/>
  <c r="AW183" i="46"/>
  <c r="Y65" i="15"/>
  <c r="Y64" i="15"/>
  <c r="AE184" i="45" l="1"/>
  <c r="AF122" i="45"/>
  <c r="AF184" i="45" s="1"/>
  <c r="AD162" i="45"/>
  <c r="AE100" i="45"/>
  <c r="Z40" i="16"/>
  <c r="BB121" i="46"/>
  <c r="BB99" i="46"/>
  <c r="Z68" i="15"/>
  <c r="Z67" i="15"/>
  <c r="AY53" i="46"/>
  <c r="AX183" i="46"/>
  <c r="AY183" i="46" s="1"/>
  <c r="Z183" i="45" s="1"/>
  <c r="AY31" i="46"/>
  <c r="AX161" i="46"/>
  <c r="AY161" i="46" s="1"/>
  <c r="Z161" i="45" s="1"/>
  <c r="AE162" i="45" l="1"/>
  <c r="AF100" i="45"/>
  <c r="AF162" i="45" s="1"/>
  <c r="Z76" i="16"/>
  <c r="Z53" i="45"/>
  <c r="AZ53" i="46"/>
  <c r="BC99" i="46"/>
  <c r="Z31" i="45"/>
  <c r="AZ31" i="46"/>
  <c r="BC121" i="46"/>
  <c r="Z59" i="15"/>
  <c r="Z58" i="15"/>
  <c r="AG11" i="17"/>
  <c r="AG199" i="46"/>
  <c r="AG192" i="46"/>
  <c r="AG64" i="46"/>
  <c r="AG63" i="46"/>
  <c r="AG62" i="46"/>
  <c r="AG80" i="14"/>
  <c r="AG52" i="14"/>
  <c r="AG49" i="14"/>
  <c r="AG48" i="14"/>
  <c r="AG47" i="14"/>
  <c r="AG43" i="14"/>
  <c r="AG42" i="14"/>
  <c r="AG41" i="14"/>
  <c r="AG40" i="14"/>
  <c r="AG39" i="14"/>
  <c r="AG38" i="14"/>
  <c r="AG37" i="14"/>
  <c r="AG36" i="14"/>
  <c r="AG35" i="14"/>
  <c r="AG31" i="14"/>
  <c r="AG30" i="14"/>
  <c r="AG29" i="14"/>
  <c r="AG28" i="14"/>
  <c r="AG27" i="14"/>
  <c r="AG26" i="14"/>
  <c r="AG25" i="14"/>
  <c r="AG24" i="14"/>
  <c r="AG70" i="14" s="1"/>
  <c r="AG20" i="14"/>
  <c r="AG18" i="14"/>
  <c r="AG16" i="14"/>
  <c r="AG15" i="14"/>
  <c r="AG14" i="14"/>
  <c r="AG13" i="14"/>
  <c r="AG12" i="14"/>
  <c r="AG11" i="14"/>
  <c r="AG9" i="14"/>
  <c r="AG8" i="14"/>
  <c r="AG7" i="14"/>
  <c r="AG6" i="14"/>
  <c r="AG5" i="14"/>
  <c r="AG4" i="14"/>
  <c r="AG30" i="17"/>
  <c r="AG34" i="17" s="1"/>
  <c r="AG80" i="17"/>
  <c r="AG81" i="17" s="1"/>
  <c r="AG67" i="17"/>
  <c r="AG66" i="17"/>
  <c r="AG54" i="17"/>
  <c r="AG58" i="17" s="1"/>
  <c r="AG41" i="17"/>
  <c r="AG22" i="17"/>
  <c r="AG75" i="13"/>
  <c r="AG48" i="13"/>
  <c r="AJ48" i="13" s="1"/>
  <c r="AG47" i="13"/>
  <c r="AJ47" i="13" s="1"/>
  <c r="AG68" i="13"/>
  <c r="AG70" i="13"/>
  <c r="AL71" i="13" s="1"/>
  <c r="AG65" i="13"/>
  <c r="AG62" i="13"/>
  <c r="AG59" i="13"/>
  <c r="AG24" i="13"/>
  <c r="AG37" i="13"/>
  <c r="AG21" i="13"/>
  <c r="AG43" i="2"/>
  <c r="AG38" i="2"/>
  <c r="AG37" i="2"/>
  <c r="AF26" i="2"/>
  <c r="AG13" i="2"/>
  <c r="AG22" i="2"/>
  <c r="BD121" i="46" l="1"/>
  <c r="BD99" i="46"/>
  <c r="BA31" i="46"/>
  <c r="AZ161" i="46"/>
  <c r="BA53" i="46"/>
  <c r="AZ183" i="46"/>
  <c r="Z62" i="15"/>
  <c r="Z61" i="15"/>
  <c r="AL44" i="2"/>
  <c r="AK27" i="2"/>
  <c r="AG17" i="14"/>
  <c r="AG21" i="14" s="1"/>
  <c r="AH4" i="14"/>
  <c r="AI4" i="14" s="1"/>
  <c r="AH18" i="14"/>
  <c r="AH88" i="14" s="1"/>
  <c r="AH41" i="14"/>
  <c r="AH5" i="14"/>
  <c r="AH9" i="14"/>
  <c r="AI9" i="14" s="1"/>
  <c r="AH14" i="14"/>
  <c r="AI14" i="14" s="1"/>
  <c r="AH20" i="14"/>
  <c r="AI20" i="14" s="1"/>
  <c r="AH27" i="14"/>
  <c r="AI27" i="14" s="1"/>
  <c r="AH31" i="14"/>
  <c r="AI31" i="14" s="1"/>
  <c r="AH38" i="14"/>
  <c r="AH42" i="14"/>
  <c r="AI42" i="14" s="1"/>
  <c r="AH49" i="14"/>
  <c r="AI49" i="14" s="1"/>
  <c r="AG76" i="14"/>
  <c r="AH8" i="14"/>
  <c r="AI8" i="14" s="1"/>
  <c r="AH26" i="14"/>
  <c r="AI26" i="14" s="1"/>
  <c r="AH48" i="14"/>
  <c r="AI48" i="14" s="1"/>
  <c r="AH11" i="14"/>
  <c r="AI11" i="14" s="1"/>
  <c r="AH15" i="14"/>
  <c r="AI15" i="14" s="1"/>
  <c r="AH24" i="14"/>
  <c r="AH28" i="14"/>
  <c r="AI28" i="14" s="1"/>
  <c r="AH35" i="14"/>
  <c r="AI35" i="14" s="1"/>
  <c r="AH39" i="14"/>
  <c r="AH43" i="14"/>
  <c r="AI43" i="14" s="1"/>
  <c r="AH52" i="14"/>
  <c r="AI52" i="14" s="1"/>
  <c r="AH13" i="14"/>
  <c r="AI13" i="14" s="1"/>
  <c r="AH30" i="14"/>
  <c r="AI30" i="14" s="1"/>
  <c r="AH37" i="14"/>
  <c r="AI37" i="14" s="1"/>
  <c r="AG44" i="14"/>
  <c r="AH6" i="14"/>
  <c r="AI6" i="14" s="1"/>
  <c r="AG50" i="14"/>
  <c r="AH7" i="14"/>
  <c r="AI7" i="14" s="1"/>
  <c r="AH12" i="14"/>
  <c r="AI12" i="14" s="1"/>
  <c r="AH16" i="14"/>
  <c r="AI16" i="14" s="1"/>
  <c r="AH25" i="14"/>
  <c r="AI25" i="14" s="1"/>
  <c r="AH29" i="14"/>
  <c r="AI29" i="14" s="1"/>
  <c r="AH36" i="14"/>
  <c r="AI36" i="14" s="1"/>
  <c r="AH40" i="14"/>
  <c r="AH47" i="14"/>
  <c r="AI47" i="14" s="1"/>
  <c r="AG64" i="14"/>
  <c r="AG65" i="14" s="1"/>
  <c r="AG88" i="14"/>
  <c r="AG87" i="14" s="1"/>
  <c r="AG65" i="46"/>
  <c r="AG32" i="14"/>
  <c r="AG43" i="17"/>
  <c r="AG60" i="17" s="1"/>
  <c r="AG77" i="17"/>
  <c r="AG12" i="17"/>
  <c r="AG24" i="17" s="1"/>
  <c r="AA99" i="45" l="1"/>
  <c r="BE99" i="46"/>
  <c r="AA121" i="45"/>
  <c r="BE121" i="46"/>
  <c r="BB53" i="46"/>
  <c r="BA183" i="46"/>
  <c r="BB31" i="46"/>
  <c r="BA161" i="46"/>
  <c r="Z65" i="15"/>
  <c r="Z64" i="15"/>
  <c r="AH113" i="13"/>
  <c r="AI40" i="14"/>
  <c r="AI39" i="14"/>
  <c r="AI24" i="14"/>
  <c r="AI70" i="14" s="1"/>
  <c r="AI41" i="14"/>
  <c r="AH44" i="14"/>
  <c r="AH81" i="13"/>
  <c r="AH64" i="14"/>
  <c r="AH65" i="14" s="1"/>
  <c r="AH87" i="14"/>
  <c r="AI88" i="14"/>
  <c r="AI87" i="14" s="1"/>
  <c r="AH76" i="14"/>
  <c r="AI38" i="14"/>
  <c r="AI5" i="14"/>
  <c r="AI18" i="14"/>
  <c r="AH50" i="14"/>
  <c r="AH70" i="14"/>
  <c r="AH32" i="14"/>
  <c r="AH69" i="14"/>
  <c r="AH17" i="14"/>
  <c r="AH21" i="14" s="1"/>
  <c r="AG54" i="14"/>
  <c r="AG72" i="14"/>
  <c r="AG61" i="17"/>
  <c r="AG103" i="13"/>
  <c r="AG104" i="13" s="1"/>
  <c r="AF103" i="13"/>
  <c r="AF104" i="13" s="1"/>
  <c r="AD103" i="13"/>
  <c r="AD104" i="13" s="1"/>
  <c r="AC103" i="13"/>
  <c r="AC104" i="13" s="1"/>
  <c r="AB103" i="13"/>
  <c r="AB104" i="13" s="1"/>
  <c r="AA103" i="13"/>
  <c r="AA104" i="13" s="1"/>
  <c r="AB101" i="13"/>
  <c r="AC101" i="13"/>
  <c r="AF101" i="13"/>
  <c r="AG101" i="13"/>
  <c r="BF121" i="46" l="1"/>
  <c r="BG121" i="46" s="1"/>
  <c r="BF99" i="46"/>
  <c r="AA68" i="15"/>
  <c r="AA67" i="15"/>
  <c r="BC31" i="46"/>
  <c r="BB161" i="46"/>
  <c r="BC53" i="46"/>
  <c r="BB183" i="46"/>
  <c r="AI76" i="14"/>
  <c r="AI44" i="14"/>
  <c r="AH72" i="14"/>
  <c r="AI81" i="13"/>
  <c r="AI64" i="14"/>
  <c r="AI65" i="14" s="1"/>
  <c r="AH54" i="14"/>
  <c r="AG74" i="14"/>
  <c r="AG73" i="14"/>
  <c r="AG77" i="14"/>
  <c r="BF59" i="13" l="1"/>
  <c r="BG67" i="13"/>
  <c r="BF68" i="13"/>
  <c r="BG99" i="46"/>
  <c r="BH121" i="46"/>
  <c r="AA76" i="16"/>
  <c r="AA40" i="16"/>
  <c r="AA59" i="15"/>
  <c r="AA58" i="15"/>
  <c r="BD53" i="46"/>
  <c r="BC183" i="46"/>
  <c r="BD183" i="46" s="1"/>
  <c r="AA183" i="45" s="1"/>
  <c r="AJ183" i="45" s="1"/>
  <c r="BD31" i="46"/>
  <c r="BC161" i="46"/>
  <c r="BD161" i="46" s="1"/>
  <c r="AA161" i="45" s="1"/>
  <c r="AJ161" i="45" s="1"/>
  <c r="AH73" i="14"/>
  <c r="AH77" i="14"/>
  <c r="AH74" i="14"/>
  <c r="BG40" i="14" l="1"/>
  <c r="BG68" i="13"/>
  <c r="BG58" i="13"/>
  <c r="BG59" i="13" s="1"/>
  <c r="BH67" i="13"/>
  <c r="BI67" i="13" s="1"/>
  <c r="AA31" i="45"/>
  <c r="BE31" i="46"/>
  <c r="BI121" i="46"/>
  <c r="AB121" i="45" s="1"/>
  <c r="AC121" i="45" s="1"/>
  <c r="AD121" i="45" s="1"/>
  <c r="AE121" i="45" s="1"/>
  <c r="AF121" i="45" s="1"/>
  <c r="AA53" i="45"/>
  <c r="BE53" i="46"/>
  <c r="BH99" i="46"/>
  <c r="BH40" i="14" l="1"/>
  <c r="BH76" i="14" s="1"/>
  <c r="BH68" i="13"/>
  <c r="BH58" i="13"/>
  <c r="BH59" i="13" s="1"/>
  <c r="BG76" i="14"/>
  <c r="BI99" i="46"/>
  <c r="AB99" i="45" s="1"/>
  <c r="AC99" i="45" s="1"/>
  <c r="AD99" i="45" s="1"/>
  <c r="AE99" i="45" s="1"/>
  <c r="AF99" i="45" s="1"/>
  <c r="BF53" i="46"/>
  <c r="BE183" i="46"/>
  <c r="BF31" i="46"/>
  <c r="BE161" i="46"/>
  <c r="AA62" i="15"/>
  <c r="AA61" i="15"/>
  <c r="BI68" i="13" l="1"/>
  <c r="AB68" i="15" s="1"/>
  <c r="AB67" i="15"/>
  <c r="BI40" i="14"/>
  <c r="BI58" i="13"/>
  <c r="BG61" i="13"/>
  <c r="BF62" i="13"/>
  <c r="BF183" i="46"/>
  <c r="BG53" i="46"/>
  <c r="BG31" i="46"/>
  <c r="BF161" i="46"/>
  <c r="AA65" i="15"/>
  <c r="AA64" i="15"/>
  <c r="BI59" i="13" l="1"/>
  <c r="AB59" i="15" s="1"/>
  <c r="AB58" i="15"/>
  <c r="BI76" i="14"/>
  <c r="AB76" i="16" s="1"/>
  <c r="AB40" i="16"/>
  <c r="BG62" i="13"/>
  <c r="BH61" i="13"/>
  <c r="BH62" i="13" s="1"/>
  <c r="BH31" i="46"/>
  <c r="BG161" i="46"/>
  <c r="BH53" i="46"/>
  <c r="BG183" i="46"/>
  <c r="BI61" i="13" l="1"/>
  <c r="BG64" i="13"/>
  <c r="BF65" i="13"/>
  <c r="BI53" i="46"/>
  <c r="AB53" i="45" s="1"/>
  <c r="AC53" i="45" s="1"/>
  <c r="BH183" i="46"/>
  <c r="BI183" i="46" s="1"/>
  <c r="AB183" i="45" s="1"/>
  <c r="BI31" i="46"/>
  <c r="AB31" i="45" s="1"/>
  <c r="AC31" i="45" s="1"/>
  <c r="BH161" i="46"/>
  <c r="BI161" i="46" s="1"/>
  <c r="AB161" i="45" s="1"/>
  <c r="AD31" i="45" l="1"/>
  <c r="AC161" i="45"/>
  <c r="AC183" i="45"/>
  <c r="AD53" i="45"/>
  <c r="BI62" i="13"/>
  <c r="AB62" i="15" s="1"/>
  <c r="AB61" i="15"/>
  <c r="BG65" i="13"/>
  <c r="BH64" i="13"/>
  <c r="BH65" i="13" s="1"/>
  <c r="AD183" i="45" l="1"/>
  <c r="AE53" i="45"/>
  <c r="AE31" i="45"/>
  <c r="AD161" i="45"/>
  <c r="BI64" i="13"/>
  <c r="AA135" i="15"/>
  <c r="Z135" i="15"/>
  <c r="X135" i="15"/>
  <c r="AE161" i="45" l="1"/>
  <c r="AF31" i="45"/>
  <c r="AF161" i="45" s="1"/>
  <c r="AE183" i="45"/>
  <c r="AF53" i="45"/>
  <c r="AF183" i="45" s="1"/>
  <c r="BI65" i="13"/>
  <c r="AB65" i="15" s="1"/>
  <c r="AB64" i="15"/>
  <c r="AL57" i="10" l="1"/>
  <c r="AF199" i="46" l="1"/>
  <c r="AD199" i="46"/>
  <c r="AF192" i="46"/>
  <c r="AF64" i="46"/>
  <c r="AF63" i="46"/>
  <c r="AF62" i="46"/>
  <c r="AF11" i="17"/>
  <c r="AF88" i="14"/>
  <c r="AJ88" i="14" s="1"/>
  <c r="AJ87" i="14" s="1"/>
  <c r="AF76" i="14"/>
  <c r="AF70" i="14"/>
  <c r="AF64" i="14"/>
  <c r="AJ64" i="14" s="1"/>
  <c r="AF50" i="14"/>
  <c r="AI50" i="14" s="1"/>
  <c r="AF44" i="14"/>
  <c r="AF32" i="14"/>
  <c r="AI32" i="14" s="1"/>
  <c r="AF17" i="14"/>
  <c r="AF30" i="17"/>
  <c r="AF34" i="17" s="1"/>
  <c r="AF80" i="17"/>
  <c r="AF67" i="17"/>
  <c r="AF66" i="17"/>
  <c r="AF54" i="17"/>
  <c r="AF58" i="17" s="1"/>
  <c r="AF41" i="17"/>
  <c r="AF22" i="17"/>
  <c r="AF90" i="13"/>
  <c r="AF81" i="13"/>
  <c r="AF68" i="13"/>
  <c r="AF65" i="13"/>
  <c r="AF62" i="13"/>
  <c r="AF59" i="13"/>
  <c r="AF37" i="13"/>
  <c r="AF24" i="13"/>
  <c r="AF87" i="14" l="1"/>
  <c r="AK91" i="13"/>
  <c r="AF81" i="17"/>
  <c r="AJ24" i="13"/>
  <c r="AJ37" i="13"/>
  <c r="AF77" i="17"/>
  <c r="AF21" i="14"/>
  <c r="AI17" i="14"/>
  <c r="AI21" i="14" s="1"/>
  <c r="AF65" i="14"/>
  <c r="AJ65" i="14"/>
  <c r="AF43" i="17"/>
  <c r="AF60" i="17" s="1"/>
  <c r="AF12" i="17"/>
  <c r="AF24" i="17" s="1"/>
  <c r="AF75" i="13"/>
  <c r="AF54" i="14" l="1"/>
  <c r="AI72" i="14"/>
  <c r="AI74" i="14" s="1"/>
  <c r="AI54" i="14"/>
  <c r="AF72" i="14"/>
  <c r="AF61" i="17"/>
  <c r="AI73" i="14" l="1"/>
  <c r="AI77" i="14"/>
  <c r="AF77" i="14"/>
  <c r="AF74" i="14"/>
  <c r="AF73" i="14"/>
  <c r="AF21" i="13"/>
  <c r="AF43" i="2"/>
  <c r="AF37" i="2"/>
  <c r="AF7" i="2"/>
  <c r="AF102" i="13" l="1"/>
  <c r="AJ21" i="13"/>
  <c r="AJ22" i="13" s="1"/>
  <c r="AK44" i="2"/>
  <c r="AJ43" i="2"/>
  <c r="AF51" i="2"/>
  <c r="AF30" i="2"/>
  <c r="AF38" i="2"/>
  <c r="AF33" i="2"/>
  <c r="AF50" i="2"/>
  <c r="AO44" i="2" l="1"/>
  <c r="AK34" i="2"/>
  <c r="AJ103" i="13"/>
  <c r="AJ104" i="13" s="1"/>
  <c r="AK31" i="2"/>
  <c r="AF46" i="2"/>
  <c r="AK47" i="2" l="1"/>
  <c r="AD70" i="13" l="1"/>
  <c r="AI71" i="13" s="1"/>
  <c r="AE67" i="13"/>
  <c r="AF70" i="13" l="1"/>
  <c r="AK71" i="13" s="1"/>
  <c r="AJ68" i="13"/>
  <c r="AJ70" i="13"/>
  <c r="AO71" i="13" s="1"/>
  <c r="AD75" i="13"/>
  <c r="AC75" i="13"/>
  <c r="AB47" i="13" l="1"/>
  <c r="AE106" i="13" l="1"/>
  <c r="AD48" i="13" l="1"/>
  <c r="AC48" i="13"/>
  <c r="AD47" i="13" l="1"/>
  <c r="AE76" i="14" l="1"/>
  <c r="AE70" i="14"/>
  <c r="Y66" i="14"/>
  <c r="AD66" i="14"/>
  <c r="AE52" i="14"/>
  <c r="AE28" i="14"/>
  <c r="AE32" i="14" s="1"/>
  <c r="AD58" i="14"/>
  <c r="AD53" i="14"/>
  <c r="AE50" i="14"/>
  <c r="AE44" i="14"/>
  <c r="AD19" i="14"/>
  <c r="AE17" i="14"/>
  <c r="AE21" i="14" s="1"/>
  <c r="AE72" i="14" s="1"/>
  <c r="AE73" i="14" s="1"/>
  <c r="AA11" i="17"/>
  <c r="AA12" i="17" s="1"/>
  <c r="AA80" i="17"/>
  <c r="AA81" i="17" s="1"/>
  <c r="AA54" i="17"/>
  <c r="AA58" i="17" s="1"/>
  <c r="AA40" i="17"/>
  <c r="AA41" i="17" s="1"/>
  <c r="AA34" i="17"/>
  <c r="AA22" i="17"/>
  <c r="Y58" i="14"/>
  <c r="Z52" i="14"/>
  <c r="Z28" i="14"/>
  <c r="Z50" i="14"/>
  <c r="AC49" i="14"/>
  <c r="AD49" i="14" s="1"/>
  <c r="AC48" i="14"/>
  <c r="AD48" i="14" s="1"/>
  <c r="AC47" i="14"/>
  <c r="AD47" i="14" s="1"/>
  <c r="X49" i="14"/>
  <c r="X48" i="14"/>
  <c r="X47" i="14"/>
  <c r="AB52" i="14"/>
  <c r="AC52" i="14" s="1"/>
  <c r="W52" i="14"/>
  <c r="X52" i="14" s="1"/>
  <c r="AB42" i="14"/>
  <c r="AC42" i="14" s="1"/>
  <c r="AB41" i="14"/>
  <c r="AC41" i="14" s="1"/>
  <c r="AD41" i="14" s="1"/>
  <c r="AB40" i="14"/>
  <c r="AB39" i="14"/>
  <c r="AB38" i="14"/>
  <c r="AC38" i="14" s="1"/>
  <c r="AB37" i="14"/>
  <c r="AC37" i="14" s="1"/>
  <c r="AD37" i="14" s="1"/>
  <c r="AB35" i="14"/>
  <c r="AC35" i="14" s="1"/>
  <c r="W43" i="14"/>
  <c r="X43" i="14" s="1"/>
  <c r="W42" i="14"/>
  <c r="X42" i="14" s="1"/>
  <c r="W41" i="14"/>
  <c r="X41" i="14" s="1"/>
  <c r="W40" i="14"/>
  <c r="X40" i="14" s="1"/>
  <c r="W39" i="14"/>
  <c r="W38" i="14"/>
  <c r="X38" i="14" s="1"/>
  <c r="W37" i="14"/>
  <c r="X37" i="14" s="1"/>
  <c r="W35" i="14"/>
  <c r="X35" i="14" s="1"/>
  <c r="AB31" i="14"/>
  <c r="AC31" i="14" s="1"/>
  <c r="AB30" i="14"/>
  <c r="AC30" i="14" s="1"/>
  <c r="AD30" i="14" s="1"/>
  <c r="AB29" i="14"/>
  <c r="AC29" i="14" s="1"/>
  <c r="AB28" i="14"/>
  <c r="AC28" i="14" s="1"/>
  <c r="AB27" i="14"/>
  <c r="AD27" i="14" s="1"/>
  <c r="AB25" i="14"/>
  <c r="AB24" i="14"/>
  <c r="W27" i="14"/>
  <c r="X27" i="14" s="1"/>
  <c r="W31" i="14"/>
  <c r="X31" i="14" s="1"/>
  <c r="W30" i="14"/>
  <c r="X30" i="14" s="1"/>
  <c r="W29" i="14"/>
  <c r="X29" i="14" s="1"/>
  <c r="W28" i="14"/>
  <c r="X28" i="14" s="1"/>
  <c r="W25" i="14"/>
  <c r="X25" i="14" s="1"/>
  <c r="W24" i="14"/>
  <c r="X24" i="14" s="1"/>
  <c r="AB20" i="14"/>
  <c r="AC20" i="14" s="1"/>
  <c r="AB18" i="14"/>
  <c r="AB16" i="14"/>
  <c r="AC16" i="14" s="1"/>
  <c r="AB15" i="14"/>
  <c r="AC15" i="14" s="1"/>
  <c r="AD15" i="14" s="1"/>
  <c r="AB14" i="14"/>
  <c r="AC14" i="14" s="1"/>
  <c r="AB13" i="14"/>
  <c r="AC13" i="14" s="1"/>
  <c r="AB12" i="14"/>
  <c r="AC12" i="14" s="1"/>
  <c r="AB11" i="14"/>
  <c r="AC11" i="14" s="1"/>
  <c r="AD11" i="14" s="1"/>
  <c r="AB8" i="14"/>
  <c r="AC8" i="14" s="1"/>
  <c r="AB7" i="14"/>
  <c r="AC7" i="14" s="1"/>
  <c r="AB6" i="14"/>
  <c r="AC6" i="14" s="1"/>
  <c r="AB5" i="14"/>
  <c r="AB4" i="14"/>
  <c r="AC4" i="14" s="1"/>
  <c r="W20" i="14"/>
  <c r="X20" i="14" s="1"/>
  <c r="W19" i="14"/>
  <c r="X19" i="14" s="1"/>
  <c r="W18" i="14"/>
  <c r="X18" i="14" s="1"/>
  <c r="W16" i="14"/>
  <c r="X16" i="14" s="1"/>
  <c r="W15" i="14"/>
  <c r="X15" i="14" s="1"/>
  <c r="W14" i="14"/>
  <c r="X14" i="14" s="1"/>
  <c r="W13" i="14"/>
  <c r="X13" i="14" s="1"/>
  <c r="W12" i="14"/>
  <c r="X12" i="14" s="1"/>
  <c r="W11" i="14"/>
  <c r="X11" i="14" s="1"/>
  <c r="W8" i="14"/>
  <c r="X8" i="14" s="1"/>
  <c r="W7" i="14"/>
  <c r="X7" i="14" s="1"/>
  <c r="W6" i="14"/>
  <c r="X6" i="14" s="1"/>
  <c r="W5" i="14"/>
  <c r="W4" i="14"/>
  <c r="X4" i="14" s="1"/>
  <c r="AA43" i="14"/>
  <c r="AD52" i="14" l="1"/>
  <c r="X39" i="14"/>
  <c r="AC39" i="14"/>
  <c r="X5" i="14"/>
  <c r="AA24" i="17"/>
  <c r="X50" i="14"/>
  <c r="AB43" i="14"/>
  <c r="AC43" i="14" s="1"/>
  <c r="AD14" i="14"/>
  <c r="AD20" i="14"/>
  <c r="AD29" i="14"/>
  <c r="AC5" i="14"/>
  <c r="AC24" i="14"/>
  <c r="AD24" i="14" s="1"/>
  <c r="AD70" i="14" s="1"/>
  <c r="AC40" i="14"/>
  <c r="AD40" i="14" s="1"/>
  <c r="AD76" i="14" s="1"/>
  <c r="AD6" i="14"/>
  <c r="AC25" i="14"/>
  <c r="AD25" i="14" s="1"/>
  <c r="AD7" i="14"/>
  <c r="AD12" i="14"/>
  <c r="AD16" i="14"/>
  <c r="AD31" i="14"/>
  <c r="AD38" i="14"/>
  <c r="AD42" i="14"/>
  <c r="AD8" i="14"/>
  <c r="AD13" i="14"/>
  <c r="AD35" i="14"/>
  <c r="AC18" i="14"/>
  <c r="AD18" i="14" s="1"/>
  <c r="AE77" i="14"/>
  <c r="AD4" i="14"/>
  <c r="AE54" i="14"/>
  <c r="AD28" i="14"/>
  <c r="AA43" i="17"/>
  <c r="AA60" i="17" s="1"/>
  <c r="AD39" i="14" l="1"/>
  <c r="AD5" i="14"/>
  <c r="AA61" i="17"/>
  <c r="AD43" i="14"/>
  <c r="AD6" i="17"/>
  <c r="AD56" i="17"/>
  <c r="AD53" i="17"/>
  <c r="AD52" i="17"/>
  <c r="AD51" i="17"/>
  <c r="AD50" i="17"/>
  <c r="AD49" i="17"/>
  <c r="AD45" i="17"/>
  <c r="AD40" i="17"/>
  <c r="AD39" i="17"/>
  <c r="AD38" i="17"/>
  <c r="AD37" i="17"/>
  <c r="AD33" i="17"/>
  <c r="AD63" i="46" s="1"/>
  <c r="AD32" i="17"/>
  <c r="AD31" i="17"/>
  <c r="AD29" i="17"/>
  <c r="AD28" i="17"/>
  <c r="AD21" i="17"/>
  <c r="AD20" i="17"/>
  <c r="AD19" i="17"/>
  <c r="AD18" i="17"/>
  <c r="AD17" i="17"/>
  <c r="AD16" i="17"/>
  <c r="AD15" i="17"/>
  <c r="AD10" i="17"/>
  <c r="AD9" i="17"/>
  <c r="AD8" i="17"/>
  <c r="AD7" i="17"/>
  <c r="AD5" i="17"/>
  <c r="AE54" i="17"/>
  <c r="AE58" i="17" s="1"/>
  <c r="AD58" i="17" s="1"/>
  <c r="AE41" i="17"/>
  <c r="AD41" i="17" s="1"/>
  <c r="AE30" i="17"/>
  <c r="AE34" i="17" s="1"/>
  <c r="AE22" i="17"/>
  <c r="AD64" i="14" l="1"/>
  <c r="AD62" i="46"/>
  <c r="AD64" i="46"/>
  <c r="AD22" i="17"/>
  <c r="AD30" i="17"/>
  <c r="AD34" i="17" s="1"/>
  <c r="AD54" i="17"/>
  <c r="AE11" i="17"/>
  <c r="AD11" i="17" s="1"/>
  <c r="AE43" i="17"/>
  <c r="AD43" i="17" s="1"/>
  <c r="AD60" i="17" s="1"/>
  <c r="AE12" i="17" l="1"/>
  <c r="AE24" i="17" s="1"/>
  <c r="AD24" i="17" s="1"/>
  <c r="AD61" i="17" s="1"/>
  <c r="AE60" i="17"/>
  <c r="AD12" i="17" l="1"/>
  <c r="AE61" i="17"/>
  <c r="AC21" i="13"/>
  <c r="AB21" i="13"/>
  <c r="AA20" i="13"/>
  <c r="AA101" i="13" s="1"/>
  <c r="AD8" i="13"/>
  <c r="AC8" i="13"/>
  <c r="AA8" i="13"/>
  <c r="AD41" i="2"/>
  <c r="AD43" i="2" s="1"/>
  <c r="AI44" i="2" s="1"/>
  <c r="AC26" i="2"/>
  <c r="AH27" i="2" l="1"/>
  <c r="AC64" i="46" l="1"/>
  <c r="AC63" i="46"/>
  <c r="AC62" i="46"/>
  <c r="AC192" i="46"/>
  <c r="AC199" i="46"/>
  <c r="AC65" i="46" l="1"/>
  <c r="AC80" i="17"/>
  <c r="AC77" i="17"/>
  <c r="AC67" i="17"/>
  <c r="AC66" i="17"/>
  <c r="AC54" i="17"/>
  <c r="AC58" i="17" s="1"/>
  <c r="AC41" i="17"/>
  <c r="AC34" i="17"/>
  <c r="AC22" i="17"/>
  <c r="AC11" i="17"/>
  <c r="AC88" i="14"/>
  <c r="AC87" i="14" s="1"/>
  <c r="AC76" i="14"/>
  <c r="AC70" i="14"/>
  <c r="AC64" i="14"/>
  <c r="AC65" i="14" s="1"/>
  <c r="AC50" i="14"/>
  <c r="AC17" i="14"/>
  <c r="AC70" i="13"/>
  <c r="AH71" i="13" s="1"/>
  <c r="AC47" i="13"/>
  <c r="AC43" i="17" l="1"/>
  <c r="AC60" i="17" s="1"/>
  <c r="AC50" i="2"/>
  <c r="AC41" i="2"/>
  <c r="AC43" i="2" s="1"/>
  <c r="AH44" i="2" s="1"/>
  <c r="AC38" i="2"/>
  <c r="AC37" i="2"/>
  <c r="AC27" i="2"/>
  <c r="AC51" i="2" l="1"/>
  <c r="X4" i="10" l="1"/>
  <c r="AF15" i="2" l="1"/>
  <c r="X16" i="10"/>
  <c r="AF3" i="2"/>
  <c r="AG3" i="2" s="1"/>
  <c r="AL4" i="2" s="1"/>
  <c r="AF9" i="2" l="1"/>
  <c r="AK10" i="2" s="1"/>
  <c r="AK4" i="2"/>
  <c r="AF18" i="2"/>
  <c r="AK19" i="2" s="1"/>
  <c r="AK16" i="2"/>
  <c r="AB75" i="13" l="1"/>
  <c r="AA75" i="13"/>
  <c r="AE74" i="13" l="1"/>
  <c r="AJ75" i="13" s="1"/>
  <c r="AE75" i="13" l="1"/>
  <c r="AB25" i="13" l="1"/>
  <c r="AB70" i="14" l="1"/>
  <c r="A3" i="10"/>
  <c r="A4" i="10"/>
  <c r="A6" i="10"/>
  <c r="A7" i="10"/>
  <c r="A9" i="10"/>
  <c r="A10" i="10"/>
  <c r="A12" i="10"/>
  <c r="A13" i="10"/>
  <c r="A15" i="10"/>
  <c r="A16" i="10"/>
  <c r="A18" i="10"/>
  <c r="A19" i="10"/>
  <c r="A21" i="10"/>
  <c r="A22" i="10"/>
  <c r="A24" i="10"/>
  <c r="U19" i="10"/>
  <c r="U16" i="10"/>
  <c r="U10" i="10"/>
  <c r="U4" i="10"/>
  <c r="U7" i="10" l="1"/>
  <c r="Z6" i="2"/>
  <c r="AD7" i="2"/>
  <c r="AC7" i="2"/>
  <c r="AB7" i="2"/>
  <c r="AA7" i="2"/>
  <c r="AG7" i="2"/>
  <c r="W6" i="10"/>
  <c r="AE6" i="2"/>
  <c r="V6" i="10" l="1"/>
  <c r="AJ7" i="2"/>
  <c r="W7" i="10" s="1"/>
  <c r="AE7" i="2"/>
  <c r="V7" i="10" s="1"/>
  <c r="U6" i="10"/>
  <c r="V15" i="10" l="1"/>
  <c r="W15" i="10"/>
  <c r="U15" i="10"/>
  <c r="V15" i="2" l="1"/>
  <c r="W15" i="2" s="1"/>
  <c r="X15" i="2" s="1"/>
  <c r="Y15" i="2" s="1"/>
  <c r="W16" i="10"/>
  <c r="AE16" i="2"/>
  <c r="V16" i="10" s="1"/>
  <c r="AA15" i="2"/>
  <c r="AF16" i="2" s="1"/>
  <c r="AM9" i="13" l="1"/>
  <c r="W18" i="2"/>
  <c r="AB15" i="2"/>
  <c r="AC15" i="2" s="1"/>
  <c r="AA16" i="2"/>
  <c r="AG15" i="2"/>
  <c r="AR10" i="13" l="1"/>
  <c r="Y3" i="15"/>
  <c r="AM74" i="17"/>
  <c r="AM65" i="17"/>
  <c r="AM68" i="17"/>
  <c r="AM64" i="17"/>
  <c r="AM73" i="17"/>
  <c r="AM71" i="17"/>
  <c r="AM72" i="17"/>
  <c r="AM69" i="14"/>
  <c r="AM93" i="13"/>
  <c r="AM94" i="13" s="1"/>
  <c r="AM98" i="13"/>
  <c r="AM97" i="13"/>
  <c r="AM10" i="13"/>
  <c r="AH15" i="2"/>
  <c r="AL16" i="2"/>
  <c r="AC16" i="2"/>
  <c r="AC18" i="2"/>
  <c r="AB18" i="2"/>
  <c r="AB19" i="2" s="1"/>
  <c r="AB16" i="2"/>
  <c r="AG16" i="2"/>
  <c r="AI15" i="2" l="1"/>
  <c r="AM16" i="2"/>
  <c r="AH16" i="2"/>
  <c r="AH18" i="2"/>
  <c r="AD15" i="2"/>
  <c r="Y12" i="15" l="1"/>
  <c r="AI18" i="2"/>
  <c r="AN19" i="2" s="1"/>
  <c r="AN16" i="2"/>
  <c r="AI16" i="2"/>
  <c r="AH19" i="2"/>
  <c r="AM19" i="2"/>
  <c r="AD16" i="2"/>
  <c r="W3" i="10" l="1"/>
  <c r="U3" i="10" l="1"/>
  <c r="V3" i="2"/>
  <c r="W3" i="2" s="1"/>
  <c r="W4" i="10"/>
  <c r="V3" i="10"/>
  <c r="AH3" i="2"/>
  <c r="AA3" i="2"/>
  <c r="AF4" i="2" s="1"/>
  <c r="AE4" i="2"/>
  <c r="V4" i="10" s="1"/>
  <c r="AI3" i="2" l="1"/>
  <c r="AM4" i="2"/>
  <c r="AH9" i="2"/>
  <c r="AM10" i="2" s="1"/>
  <c r="X3" i="2"/>
  <c r="W9" i="2"/>
  <c r="AB3" i="2"/>
  <c r="AA4" i="2"/>
  <c r="AI9" i="2" l="1"/>
  <c r="AN10" i="2" s="1"/>
  <c r="AN4" i="2"/>
  <c r="Y3" i="2"/>
  <c r="AC3" i="2"/>
  <c r="AH4" i="2" s="1"/>
  <c r="AB9" i="2"/>
  <c r="AB10" i="2" s="1"/>
  <c r="AG4" i="2"/>
  <c r="AB4" i="2"/>
  <c r="AC4" i="2" l="1"/>
  <c r="AD3" i="2"/>
  <c r="AI4" i="2" s="1"/>
  <c r="AD4" i="2" l="1"/>
  <c r="N43" i="10" l="1"/>
  <c r="M43" i="10"/>
  <c r="L43" i="10"/>
  <c r="T80" i="18" l="1"/>
  <c r="S80" i="18"/>
  <c r="R80" i="18"/>
  <c r="Q80" i="18"/>
  <c r="AB80" i="17" l="1"/>
  <c r="Z80" i="17"/>
  <c r="U80" i="18" s="1"/>
  <c r="U51" i="17" l="1"/>
  <c r="U49" i="17"/>
  <c r="Y53" i="14" l="1"/>
  <c r="AB77" i="17" l="1"/>
  <c r="T77" i="18"/>
  <c r="S77" i="18"/>
  <c r="R77" i="18"/>
  <c r="Q77" i="18"/>
  <c r="A77" i="18"/>
  <c r="A76" i="18"/>
  <c r="Z77" i="17"/>
  <c r="U77" i="18" s="1"/>
  <c r="A78" i="15" l="1"/>
  <c r="A77" i="15"/>
  <c r="AG78" i="13"/>
  <c r="AC77" i="13"/>
  <c r="AB77" i="13"/>
  <c r="L51" i="20"/>
  <c r="AB113" i="13"/>
  <c r="W113" i="13"/>
  <c r="L38" i="10"/>
  <c r="L37" i="10"/>
  <c r="Z67" i="17" l="1"/>
  <c r="Z66" i="17"/>
  <c r="T14" i="20"/>
  <c r="S14" i="20"/>
  <c r="R14" i="20"/>
  <c r="Q14" i="20"/>
  <c r="P14" i="20"/>
  <c r="O14" i="20"/>
  <c r="N14" i="20"/>
  <c r="M14" i="20"/>
  <c r="L14" i="20"/>
  <c r="K14" i="20"/>
  <c r="J14" i="20"/>
  <c r="I14" i="20"/>
  <c r="H14" i="20"/>
  <c r="G14" i="20"/>
  <c r="F14" i="20"/>
  <c r="E14" i="20"/>
  <c r="D14" i="20"/>
  <c r="C14" i="20"/>
  <c r="B14" i="20"/>
  <c r="T59" i="16"/>
  <c r="S59" i="16"/>
  <c r="R59" i="16"/>
  <c r="Q59" i="16"/>
  <c r="A59" i="16"/>
  <c r="Z102" i="13" l="1"/>
  <c r="Y102" i="13"/>
  <c r="X102" i="13"/>
  <c r="W102" i="13"/>
  <c r="V102" i="13"/>
  <c r="U98" i="15"/>
  <c r="U97" i="15"/>
  <c r="U88" i="15"/>
  <c r="A88" i="15"/>
  <c r="W88" i="15"/>
  <c r="Y88" i="13"/>
  <c r="V89" i="13"/>
  <c r="AA89" i="13"/>
  <c r="AA88" i="13"/>
  <c r="AE88" i="13" s="1"/>
  <c r="V88" i="15" s="1"/>
  <c r="U102" i="15" l="1"/>
  <c r="Y89" i="13"/>
  <c r="Y87" i="13"/>
  <c r="AA86" i="13"/>
  <c r="V86" i="13"/>
  <c r="Y86" i="13" s="1"/>
  <c r="AB102" i="13"/>
  <c r="AA21" i="13"/>
  <c r="AA102" i="13" s="1"/>
  <c r="Z106" i="13"/>
  <c r="U106" i="13"/>
  <c r="P106" i="13"/>
  <c r="K106" i="13"/>
  <c r="F106" i="13"/>
  <c r="AA66" i="17" l="1"/>
  <c r="AA67" i="17"/>
  <c r="AA77" i="17"/>
  <c r="W70" i="14"/>
  <c r="W59" i="16"/>
  <c r="V59" i="16"/>
  <c r="U59" i="16"/>
  <c r="U5" i="17"/>
  <c r="Y5" i="17"/>
  <c r="Z70" i="14"/>
  <c r="L27" i="10"/>
  <c r="L52" i="20" s="1"/>
  <c r="Z67" i="13" l="1"/>
  <c r="AA70" i="13" s="1"/>
  <c r="AF71" i="13" s="1"/>
  <c r="AB70" i="13"/>
  <c r="AG71" i="13" s="1"/>
  <c r="X70" i="14"/>
  <c r="Z113" i="13"/>
  <c r="X113" i="13"/>
  <c r="Z64" i="14"/>
  <c r="Z65" i="14" s="1"/>
  <c r="Z17" i="14"/>
  <c r="Y67" i="13" l="1"/>
  <c r="AA40" i="2"/>
  <c r="W58" i="14"/>
  <c r="U52" i="18"/>
  <c r="T52" i="18"/>
  <c r="S52" i="18"/>
  <c r="R52" i="18"/>
  <c r="Q52" i="18"/>
  <c r="A52" i="18"/>
  <c r="Y52" i="17"/>
  <c r="U38" i="18"/>
  <c r="T38" i="18"/>
  <c r="S38" i="18"/>
  <c r="R38" i="18"/>
  <c r="Q38" i="18"/>
  <c r="A38" i="18"/>
  <c r="U89" i="16"/>
  <c r="T89" i="16"/>
  <c r="S89" i="16"/>
  <c r="R89" i="16"/>
  <c r="Q89" i="16"/>
  <c r="U88" i="16"/>
  <c r="T88" i="16"/>
  <c r="S88" i="16"/>
  <c r="R88" i="16"/>
  <c r="Q88" i="16"/>
  <c r="U87" i="16"/>
  <c r="T87" i="16"/>
  <c r="S87" i="16"/>
  <c r="R87" i="16"/>
  <c r="Q87" i="16"/>
  <c r="U84" i="16"/>
  <c r="T84" i="16"/>
  <c r="S84" i="16"/>
  <c r="R84" i="16"/>
  <c r="Q84" i="16"/>
  <c r="U83" i="16"/>
  <c r="T83" i="16"/>
  <c r="S83" i="16"/>
  <c r="R83" i="16"/>
  <c r="Q83" i="16"/>
  <c r="A89" i="16"/>
  <c r="A88" i="16"/>
  <c r="A87" i="16"/>
  <c r="A84" i="16"/>
  <c r="A83" i="16"/>
  <c r="A82" i="16"/>
  <c r="A79" i="16"/>
  <c r="U49" i="16"/>
  <c r="T49" i="16"/>
  <c r="S49" i="16"/>
  <c r="R49" i="16"/>
  <c r="Q49" i="16"/>
  <c r="U48" i="16"/>
  <c r="T48" i="16"/>
  <c r="S48" i="16"/>
  <c r="R48" i="16"/>
  <c r="Q48" i="16"/>
  <c r="U47" i="16"/>
  <c r="T47" i="16"/>
  <c r="S47" i="16"/>
  <c r="R47" i="16"/>
  <c r="Q47" i="16"/>
  <c r="U43" i="16"/>
  <c r="T43" i="16"/>
  <c r="S43" i="16"/>
  <c r="R43" i="16"/>
  <c r="Q43" i="16"/>
  <c r="U42" i="16"/>
  <c r="T42" i="16"/>
  <c r="S42" i="16"/>
  <c r="R42" i="16"/>
  <c r="Q42" i="16"/>
  <c r="U31" i="16"/>
  <c r="T31" i="16"/>
  <c r="S31" i="16"/>
  <c r="R31" i="16"/>
  <c r="Q31" i="16"/>
  <c r="U30" i="16"/>
  <c r="T30" i="16"/>
  <c r="S30" i="16"/>
  <c r="R30" i="16"/>
  <c r="Q30" i="16"/>
  <c r="A30" i="16"/>
  <c r="U8" i="16"/>
  <c r="T8" i="16"/>
  <c r="S8" i="16"/>
  <c r="R8" i="16"/>
  <c r="Q8" i="16"/>
  <c r="U14" i="16"/>
  <c r="T14" i="16"/>
  <c r="S14" i="16"/>
  <c r="R14" i="16"/>
  <c r="Q14" i="16"/>
  <c r="U20" i="16"/>
  <c r="T20" i="16"/>
  <c r="S20" i="16"/>
  <c r="R20" i="16"/>
  <c r="Q20" i="16"/>
  <c r="U19" i="16"/>
  <c r="T19" i="16"/>
  <c r="S19" i="16"/>
  <c r="R19" i="16"/>
  <c r="Q19" i="16"/>
  <c r="U18" i="16"/>
  <c r="T18" i="16"/>
  <c r="S18" i="16"/>
  <c r="R18" i="16"/>
  <c r="Q18" i="16"/>
  <c r="U29" i="16"/>
  <c r="T29" i="16"/>
  <c r="S29" i="16"/>
  <c r="R29" i="16"/>
  <c r="Q29" i="16"/>
  <c r="U28" i="16"/>
  <c r="T28" i="16"/>
  <c r="S28" i="16"/>
  <c r="R28" i="16"/>
  <c r="Q28" i="16"/>
  <c r="U27" i="16"/>
  <c r="T27" i="16"/>
  <c r="S27" i="16"/>
  <c r="R27" i="16"/>
  <c r="Q27" i="16"/>
  <c r="U26" i="16"/>
  <c r="T26" i="16"/>
  <c r="S26" i="16"/>
  <c r="R26" i="16"/>
  <c r="Q26" i="16"/>
  <c r="U25" i="16"/>
  <c r="T25" i="16"/>
  <c r="S25" i="16"/>
  <c r="R25" i="16"/>
  <c r="Q25" i="16"/>
  <c r="U36" i="16"/>
  <c r="T36" i="16"/>
  <c r="S36" i="16"/>
  <c r="R36" i="16"/>
  <c r="Q36" i="16"/>
  <c r="V103" i="13" l="1"/>
  <c r="V104" i="13" s="1"/>
  <c r="V101" i="13"/>
  <c r="W103" i="13"/>
  <c r="W104" i="13" s="1"/>
  <c r="W101" i="13"/>
  <c r="X67" i="13"/>
  <c r="AC68" i="13" s="1"/>
  <c r="W25" i="16"/>
  <c r="W79" i="14"/>
  <c r="W89" i="16"/>
  <c r="AE89" i="14"/>
  <c r="V89" i="16" s="1"/>
  <c r="W84" i="16"/>
  <c r="AE84" i="14"/>
  <c r="AE83" i="14"/>
  <c r="V83" i="16" s="1"/>
  <c r="AD82" i="14"/>
  <c r="AB88" i="14"/>
  <c r="AD88" i="14" s="1"/>
  <c r="AB11" i="17"/>
  <c r="W64" i="14"/>
  <c r="W65" i="14" s="1"/>
  <c r="AB64" i="14"/>
  <c r="AB65" i="14" s="1"/>
  <c r="W49" i="16"/>
  <c r="W48" i="16"/>
  <c r="W47" i="16"/>
  <c r="W36" i="16"/>
  <c r="W19" i="16"/>
  <c r="W31" i="16"/>
  <c r="W30" i="16"/>
  <c r="W29" i="16"/>
  <c r="W28" i="16"/>
  <c r="W26" i="16"/>
  <c r="A98" i="15"/>
  <c r="A97" i="15"/>
  <c r="U22" i="15"/>
  <c r="Y70" i="13" l="1"/>
  <c r="AC89" i="16"/>
  <c r="X138" i="15"/>
  <c r="W83" i="16"/>
  <c r="AB87" i="14"/>
  <c r="W67" i="13"/>
  <c r="X70" i="13" s="1"/>
  <c r="AC71" i="13" s="1"/>
  <c r="W80" i="14"/>
  <c r="W77" i="13"/>
  <c r="AA77" i="13"/>
  <c r="X79" i="14"/>
  <c r="V79" i="14"/>
  <c r="W18" i="16"/>
  <c r="AE82" i="14"/>
  <c r="V84" i="16"/>
  <c r="W87" i="16"/>
  <c r="W88" i="16"/>
  <c r="AB80" i="14"/>
  <c r="AC87" i="16" l="1"/>
  <c r="AC18" i="16" s="1"/>
  <c r="AD89" i="16"/>
  <c r="AC80" i="14"/>
  <c r="AB139" i="15"/>
  <c r="W139" i="15"/>
  <c r="Y79" i="14"/>
  <c r="AD87" i="14"/>
  <c r="V67" i="13"/>
  <c r="W70" i="13" s="1"/>
  <c r="AB71" i="13" s="1"/>
  <c r="W78" i="13"/>
  <c r="V80" i="14"/>
  <c r="V77" i="13"/>
  <c r="AA80" i="14"/>
  <c r="AB78" i="13"/>
  <c r="X80" i="14"/>
  <c r="X77" i="13"/>
  <c r="V38" i="18"/>
  <c r="AD87" i="16" l="1"/>
  <c r="AD18" i="16" s="1"/>
  <c r="AE89" i="16"/>
  <c r="AC78" i="13"/>
  <c r="AD80" i="14"/>
  <c r="Y80" i="14"/>
  <c r="Y77" i="13"/>
  <c r="AC84" i="16"/>
  <c r="AD84" i="16" s="1"/>
  <c r="AE84" i="16" s="1"/>
  <c r="AF84" i="16" s="1"/>
  <c r="Z138" i="15"/>
  <c r="X139" i="15"/>
  <c r="U67" i="13"/>
  <c r="Z70" i="13" s="1"/>
  <c r="AA78" i="13"/>
  <c r="X78" i="13"/>
  <c r="V78" i="13"/>
  <c r="AE87" i="16" l="1"/>
  <c r="AE18" i="16" s="1"/>
  <c r="AF89" i="16"/>
  <c r="AF87" i="16" s="1"/>
  <c r="AF18" i="16" s="1"/>
  <c r="Y78" i="13"/>
  <c r="V70" i="13"/>
  <c r="AA71" i="13" s="1"/>
  <c r="Y139" i="15"/>
  <c r="AA139" i="15" l="1"/>
  <c r="Z139" i="15"/>
  <c r="W43" i="16"/>
  <c r="W38" i="18"/>
  <c r="W20" i="16"/>
  <c r="AC38" i="18" l="1"/>
  <c r="AD38" i="18" s="1"/>
  <c r="AG17" i="13"/>
  <c r="AL17" i="13" s="1"/>
  <c r="AF17" i="13"/>
  <c r="AC17" i="13"/>
  <c r="AH17" i="13" s="1"/>
  <c r="AD20" i="16" l="1"/>
  <c r="AE38" i="18"/>
  <c r="AF38" i="18" s="1"/>
  <c r="AC20" i="16"/>
  <c r="AQ17" i="13"/>
  <c r="AL18" i="13"/>
  <c r="AM17" i="13"/>
  <c r="AH18" i="13"/>
  <c r="AK17" i="13"/>
  <c r="AP17" i="13" s="1"/>
  <c r="AU17" i="13" s="1"/>
  <c r="AZ17" i="13" s="1"/>
  <c r="BE17" i="13" s="1"/>
  <c r="BE18" i="13" l="1"/>
  <c r="BI17" i="13"/>
  <c r="AZ18" i="13"/>
  <c r="AF20" i="16"/>
  <c r="AE20" i="16"/>
  <c r="AU18" i="13"/>
  <c r="AR17" i="13"/>
  <c r="AP18" i="13"/>
  <c r="AQ18" i="13"/>
  <c r="AH28" i="13"/>
  <c r="AH82" i="13" s="1"/>
  <c r="AM18" i="13"/>
  <c r="AL28" i="13"/>
  <c r="AK18" i="13"/>
  <c r="A65" i="15"/>
  <c r="A64" i="15"/>
  <c r="AB17" i="15" l="1"/>
  <c r="AB18" i="15" s="1"/>
  <c r="AB28" i="15" s="1"/>
  <c r="BI18" i="13"/>
  <c r="BI28" i="13" s="1"/>
  <c r="BE28" i="13"/>
  <c r="AZ28" i="13"/>
  <c r="AZ112" i="13" s="1"/>
  <c r="AV18" i="13"/>
  <c r="AU28" i="13"/>
  <c r="AW112" i="13"/>
  <c r="AR18" i="13"/>
  <c r="AQ28" i="13"/>
  <c r="AP28" i="13"/>
  <c r="AH29" i="13"/>
  <c r="AH112" i="13"/>
  <c r="AH34" i="13"/>
  <c r="AM28" i="13"/>
  <c r="AL34" i="13"/>
  <c r="AL82" i="13"/>
  <c r="AK28" i="13"/>
  <c r="AH83" i="13"/>
  <c r="AH82" i="17"/>
  <c r="AE40" i="2"/>
  <c r="AJ29" i="2"/>
  <c r="AE29" i="2"/>
  <c r="BE82" i="13" l="1"/>
  <c r="BE34" i="13"/>
  <c r="BI29" i="13"/>
  <c r="AB29" i="15" s="1"/>
  <c r="BI112" i="13"/>
  <c r="AZ82" i="13"/>
  <c r="AZ34" i="13"/>
  <c r="AZ29" i="13"/>
  <c r="AV28" i="13"/>
  <c r="AU34" i="13"/>
  <c r="AU82" i="13"/>
  <c r="AR28" i="13"/>
  <c r="AM112" i="13"/>
  <c r="AP29" i="13"/>
  <c r="AP34" i="13"/>
  <c r="AP112" i="13"/>
  <c r="AP82" i="13"/>
  <c r="AQ34" i="13"/>
  <c r="AQ82" i="13"/>
  <c r="AQ29" i="13"/>
  <c r="AQ112" i="13"/>
  <c r="AH38" i="13"/>
  <c r="AH40" i="13"/>
  <c r="AH44" i="13" s="1"/>
  <c r="AM34" i="13"/>
  <c r="AM29" i="13"/>
  <c r="AL82" i="17"/>
  <c r="AL40" i="13"/>
  <c r="AL38" i="13"/>
  <c r="AK82" i="13"/>
  <c r="AK34" i="13"/>
  <c r="AZ35" i="13" l="1"/>
  <c r="BE38" i="13"/>
  <c r="BE40" i="13"/>
  <c r="BE35" i="13"/>
  <c r="BE82" i="17"/>
  <c r="AZ38" i="13"/>
  <c r="AZ40" i="13"/>
  <c r="AZ44" i="13" s="1"/>
  <c r="AZ82" i="17"/>
  <c r="AZ83" i="13"/>
  <c r="AV82" i="13"/>
  <c r="AV83" i="13" s="1"/>
  <c r="AV29" i="13"/>
  <c r="AV34" i="13"/>
  <c r="BA35" i="13" s="1"/>
  <c r="AV112" i="13"/>
  <c r="AU82" i="17"/>
  <c r="AU40" i="13"/>
  <c r="AU38" i="13"/>
  <c r="AU35" i="13"/>
  <c r="AR34" i="13"/>
  <c r="AR29" i="13"/>
  <c r="AR82" i="13"/>
  <c r="AQ83" i="13"/>
  <c r="AQ82" i="17"/>
  <c r="AP40" i="13"/>
  <c r="AP38" i="13"/>
  <c r="AQ38" i="13"/>
  <c r="AQ35" i="13"/>
  <c r="AQ40" i="13"/>
  <c r="AP82" i="17"/>
  <c r="AP83" i="13"/>
  <c r="AP35" i="13"/>
  <c r="AK82" i="17"/>
  <c r="AH55" i="13"/>
  <c r="AH52" i="13"/>
  <c r="AH49" i="13"/>
  <c r="AH56" i="13" s="1"/>
  <c r="AM38" i="13"/>
  <c r="AM35" i="13"/>
  <c r="AM40" i="13"/>
  <c r="AL44" i="13"/>
  <c r="AK38" i="13"/>
  <c r="AK40" i="13"/>
  <c r="BE44" i="13" l="1"/>
  <c r="BE41" i="13"/>
  <c r="AZ73" i="14"/>
  <c r="AZ49" i="13"/>
  <c r="AZ55" i="13"/>
  <c r="AZ52" i="13"/>
  <c r="AU44" i="13"/>
  <c r="AU52" i="13" s="1"/>
  <c r="AZ41" i="13"/>
  <c r="AV35" i="13"/>
  <c r="AV40" i="13"/>
  <c r="BA41" i="13" s="1"/>
  <c r="AV38" i="13"/>
  <c r="AW35" i="13"/>
  <c r="AP44" i="13"/>
  <c r="AP49" i="13" s="1"/>
  <c r="AU41" i="13"/>
  <c r="AR35" i="13"/>
  <c r="AR83" i="13"/>
  <c r="AR82" i="17"/>
  <c r="AR38" i="13"/>
  <c r="AR40" i="13"/>
  <c r="AQ44" i="13"/>
  <c r="AQ41" i="13"/>
  <c r="AK44" i="13"/>
  <c r="AK52" i="13" s="1"/>
  <c r="AP41" i="13"/>
  <c r="AH53" i="13"/>
  <c r="AM41" i="13"/>
  <c r="AM44" i="13"/>
  <c r="AL55" i="13"/>
  <c r="AL52" i="13"/>
  <c r="AL49" i="13"/>
  <c r="BE73" i="14" l="1"/>
  <c r="BE49" i="13"/>
  <c r="BE45" i="13"/>
  <c r="BE52" i="13"/>
  <c r="BE55" i="13"/>
  <c r="AZ56" i="13"/>
  <c r="AZ53" i="13"/>
  <c r="AU49" i="13"/>
  <c r="AU56" i="13" s="1"/>
  <c r="AU55" i="13"/>
  <c r="AU53" i="13"/>
  <c r="AZ50" i="13"/>
  <c r="AU73" i="14"/>
  <c r="AZ45" i="13"/>
  <c r="AV44" i="13"/>
  <c r="BA45" i="13" s="1"/>
  <c r="AV41" i="13"/>
  <c r="AR44" i="13"/>
  <c r="AR52" i="13" s="1"/>
  <c r="AW41" i="13"/>
  <c r="AP55" i="13"/>
  <c r="AP52" i="13"/>
  <c r="AU45" i="13"/>
  <c r="AR41" i="13"/>
  <c r="AK49" i="13"/>
  <c r="AP50" i="13" s="1"/>
  <c r="AP56" i="13"/>
  <c r="AP53" i="13"/>
  <c r="AQ52" i="13"/>
  <c r="AQ45" i="13"/>
  <c r="AQ55" i="13"/>
  <c r="AQ49" i="13"/>
  <c r="AK55" i="13"/>
  <c r="AP45" i="13"/>
  <c r="AM55" i="13"/>
  <c r="AM52" i="13"/>
  <c r="AM49" i="13"/>
  <c r="AM45" i="13"/>
  <c r="AL53" i="13"/>
  <c r="AL56" i="13"/>
  <c r="BE53" i="13" l="1"/>
  <c r="BE50" i="13"/>
  <c r="BE56" i="13"/>
  <c r="AU50" i="13"/>
  <c r="AV52" i="13"/>
  <c r="AV73" i="14"/>
  <c r="AV55" i="13"/>
  <c r="AR45" i="13"/>
  <c r="AR55" i="13"/>
  <c r="AV45" i="13"/>
  <c r="AV49" i="13"/>
  <c r="BA50" i="13" s="1"/>
  <c r="AR49" i="13"/>
  <c r="AW50" i="13" s="1"/>
  <c r="AW45" i="13"/>
  <c r="AK56" i="13"/>
  <c r="AK53" i="13"/>
  <c r="AQ53" i="13"/>
  <c r="AQ56" i="13"/>
  <c r="AQ50" i="13"/>
  <c r="AM50" i="13"/>
  <c r="AM53" i="13"/>
  <c r="AM56" i="13"/>
  <c r="Z61" i="13"/>
  <c r="Z58" i="13"/>
  <c r="AE43" i="13"/>
  <c r="AR53" i="13" l="1"/>
  <c r="AR56" i="13"/>
  <c r="AV50" i="13"/>
  <c r="AV53" i="13"/>
  <c r="AR50" i="13"/>
  <c r="AV56" i="13"/>
  <c r="Y58" i="13"/>
  <c r="Y61" i="13"/>
  <c r="X61" i="13" l="1"/>
  <c r="AC62" i="13" s="1"/>
  <c r="Y62" i="13"/>
  <c r="Y59" i="13"/>
  <c r="X58" i="13"/>
  <c r="AC59" i="13" s="1"/>
  <c r="W58" i="13" l="1"/>
  <c r="X59" i="13"/>
  <c r="W61" i="13"/>
  <c r="X62" i="13"/>
  <c r="V61" i="13" l="1"/>
  <c r="W62" i="13"/>
  <c r="V58" i="13"/>
  <c r="W59" i="13"/>
  <c r="AB67" i="17"/>
  <c r="AB66" i="17"/>
  <c r="Y38" i="17"/>
  <c r="Y18" i="17"/>
  <c r="Z25" i="13"/>
  <c r="X25" i="13"/>
  <c r="W25" i="13"/>
  <c r="V25" i="13"/>
  <c r="AA25" i="13"/>
  <c r="D43" i="2"/>
  <c r="C43" i="2"/>
  <c r="B43" i="2"/>
  <c r="A47" i="10"/>
  <c r="M44" i="10"/>
  <c r="M37" i="10"/>
  <c r="A37" i="10"/>
  <c r="L33" i="10"/>
  <c r="L34" i="10" s="1"/>
  <c r="M33" i="10"/>
  <c r="P30" i="10"/>
  <c r="O30" i="10"/>
  <c r="N30" i="10"/>
  <c r="M30" i="10"/>
  <c r="L30" i="10"/>
  <c r="L31" i="10" s="1"/>
  <c r="P27" i="10"/>
  <c r="O27" i="10"/>
  <c r="N27" i="10"/>
  <c r="M27" i="10"/>
  <c r="P41" i="10"/>
  <c r="P43" i="10" s="1"/>
  <c r="O41" i="10"/>
  <c r="O43" i="10" s="1"/>
  <c r="W40" i="10"/>
  <c r="V40" i="10"/>
  <c r="U40" i="10"/>
  <c r="T40" i="10"/>
  <c r="S40" i="10"/>
  <c r="R40" i="10"/>
  <c r="Q40" i="10"/>
  <c r="W29" i="10"/>
  <c r="V29" i="10"/>
  <c r="U29" i="10"/>
  <c r="T29" i="10"/>
  <c r="S29" i="10"/>
  <c r="R29" i="10"/>
  <c r="Q29" i="10"/>
  <c r="U26" i="10"/>
  <c r="T26" i="10"/>
  <c r="S26" i="10"/>
  <c r="R26" i="10"/>
  <c r="Q26" i="10"/>
  <c r="U2" i="2"/>
  <c r="O55" i="2"/>
  <c r="N55" i="2"/>
  <c r="M55" i="2"/>
  <c r="O54" i="2"/>
  <c r="N54" i="2"/>
  <c r="M54" i="2"/>
  <c r="L55" i="2"/>
  <c r="L54" i="2"/>
  <c r="T55" i="2"/>
  <c r="S55" i="2"/>
  <c r="R55" i="2"/>
  <c r="T54" i="2"/>
  <c r="S54" i="2"/>
  <c r="R54" i="2"/>
  <c r="Q55" i="2"/>
  <c r="Q54" i="2"/>
  <c r="F37" i="2"/>
  <c r="T41" i="2"/>
  <c r="O41" i="2"/>
  <c r="J41" i="2"/>
  <c r="F41" i="2"/>
  <c r="E41" i="2" s="1"/>
  <c r="T40" i="2"/>
  <c r="O40" i="2"/>
  <c r="J40" i="2"/>
  <c r="E40" i="2"/>
  <c r="T36" i="2"/>
  <c r="O36" i="2"/>
  <c r="J36" i="2"/>
  <c r="E36" i="2"/>
  <c r="A40" i="10"/>
  <c r="A38" i="10"/>
  <c r="U30" i="2"/>
  <c r="S30" i="2"/>
  <c r="R30" i="2"/>
  <c r="Q30" i="2"/>
  <c r="P30" i="2"/>
  <c r="N30" i="2"/>
  <c r="M30" i="2"/>
  <c r="L30" i="2"/>
  <c r="K30" i="2"/>
  <c r="R30" i="10" s="1"/>
  <c r="I30" i="2"/>
  <c r="H30" i="2"/>
  <c r="G30" i="2"/>
  <c r="F30" i="2"/>
  <c r="Q30" i="10" s="1"/>
  <c r="D30" i="2"/>
  <c r="C30" i="2"/>
  <c r="B30" i="2"/>
  <c r="T29" i="2"/>
  <c r="O29" i="2"/>
  <c r="J29" i="2"/>
  <c r="E29" i="2"/>
  <c r="T26" i="2"/>
  <c r="O26" i="2"/>
  <c r="J26" i="2"/>
  <c r="E26" i="2"/>
  <c r="A31" i="10"/>
  <c r="A30" i="10"/>
  <c r="A29" i="10"/>
  <c r="Q17" i="74"/>
  <c r="AB64" i="46"/>
  <c r="AB63" i="46"/>
  <c r="AB62" i="46"/>
  <c r="AB61" i="46" s="1"/>
  <c r="AC61" i="46" s="1"/>
  <c r="AJ2" i="46"/>
  <c r="AI2" i="46"/>
  <c r="AH2" i="46"/>
  <c r="AG2" i="46"/>
  <c r="AF2" i="46"/>
  <c r="AE2" i="46"/>
  <c r="AD2" i="46"/>
  <c r="AC2" i="46"/>
  <c r="AB2" i="46"/>
  <c r="AA2" i="46"/>
  <c r="Z2" i="46"/>
  <c r="Y2" i="46"/>
  <c r="X2" i="46"/>
  <c r="W2" i="46"/>
  <c r="V2" i="46"/>
  <c r="U2" i="46"/>
  <c r="T2" i="46"/>
  <c r="S2" i="46"/>
  <c r="R2" i="46"/>
  <c r="Q2" i="46"/>
  <c r="P2" i="46"/>
  <c r="O2" i="46"/>
  <c r="N2" i="46"/>
  <c r="M2" i="46"/>
  <c r="L2" i="46"/>
  <c r="K2" i="46"/>
  <c r="J2" i="46"/>
  <c r="I2" i="46"/>
  <c r="H2" i="46"/>
  <c r="G2" i="46"/>
  <c r="F2" i="46"/>
  <c r="E2" i="46"/>
  <c r="D2" i="46"/>
  <c r="C2" i="46"/>
  <c r="B2" i="46"/>
  <c r="AB189" i="46"/>
  <c r="AB188" i="46"/>
  <c r="AB187" i="46"/>
  <c r="AB182" i="46"/>
  <c r="AB181" i="46"/>
  <c r="AB180" i="46"/>
  <c r="AB179" i="46"/>
  <c r="AB178" i="46"/>
  <c r="AB177" i="46"/>
  <c r="AB176" i="46"/>
  <c r="AB175" i="46"/>
  <c r="AB174" i="46"/>
  <c r="AB173" i="46"/>
  <c r="AB172" i="46"/>
  <c r="AB171" i="46"/>
  <c r="AB170" i="46"/>
  <c r="AB169" i="46"/>
  <c r="AB168" i="46"/>
  <c r="AB167" i="46"/>
  <c r="AB166" i="46"/>
  <c r="AB165" i="46"/>
  <c r="AB159" i="46"/>
  <c r="AB158" i="46"/>
  <c r="AB157" i="46"/>
  <c r="AB155" i="46"/>
  <c r="AB154" i="46"/>
  <c r="AB153" i="46"/>
  <c r="AB152" i="46"/>
  <c r="AB151" i="46"/>
  <c r="AB150" i="46"/>
  <c r="AB149" i="46"/>
  <c r="AB145" i="46"/>
  <c r="AB144" i="46"/>
  <c r="AB142" i="46"/>
  <c r="AB141" i="46"/>
  <c r="AB140" i="46"/>
  <c r="AB139" i="46"/>
  <c r="AB138" i="46"/>
  <c r="AB137" i="46"/>
  <c r="AB136" i="46"/>
  <c r="AB135" i="46"/>
  <c r="AB134" i="46"/>
  <c r="AC131" i="46"/>
  <c r="AD131" i="46" s="1"/>
  <c r="AB130" i="46"/>
  <c r="AC130" i="46" s="1"/>
  <c r="AB128" i="46"/>
  <c r="AB190" i="46" s="1"/>
  <c r="A128" i="46"/>
  <c r="A190" i="46" s="1"/>
  <c r="A190" i="45" s="1"/>
  <c r="AC127" i="46"/>
  <c r="AD127" i="46" s="1"/>
  <c r="A127" i="46"/>
  <c r="A189" i="46" s="1"/>
  <c r="A189" i="45" s="1"/>
  <c r="AC126" i="46"/>
  <c r="A126" i="46"/>
  <c r="A188" i="46" s="1"/>
  <c r="A188" i="45" s="1"/>
  <c r="AC125" i="46"/>
  <c r="AD125" i="46" s="1"/>
  <c r="A125" i="46"/>
  <c r="A187" i="46" s="1"/>
  <c r="A187" i="45" s="1"/>
  <c r="AC120" i="46"/>
  <c r="AD120" i="46" s="1"/>
  <c r="A120" i="46"/>
  <c r="A182" i="46" s="1"/>
  <c r="A182" i="45" s="1"/>
  <c r="AC119" i="46"/>
  <c r="AD119" i="46" s="1"/>
  <c r="A119" i="46"/>
  <c r="A181" i="46" s="1"/>
  <c r="A181" i="45" s="1"/>
  <c r="AC118" i="46"/>
  <c r="AD118" i="46" s="1"/>
  <c r="A118" i="46"/>
  <c r="A180" i="46" s="1"/>
  <c r="A180" i="45" s="1"/>
  <c r="AC117" i="46"/>
  <c r="AD117" i="46" s="1"/>
  <c r="AE117" i="46" s="1"/>
  <c r="A117" i="46"/>
  <c r="A179" i="46" s="1"/>
  <c r="A179" i="45" s="1"/>
  <c r="AC116" i="46"/>
  <c r="A116" i="46"/>
  <c r="A178" i="46" s="1"/>
  <c r="A178" i="45" s="1"/>
  <c r="AC115" i="46"/>
  <c r="A115" i="46"/>
  <c r="A177" i="46" s="1"/>
  <c r="A177" i="45" s="1"/>
  <c r="AC114" i="46"/>
  <c r="AD114" i="46" s="1"/>
  <c r="A114" i="46"/>
  <c r="A176" i="46" s="1"/>
  <c r="A176" i="45" s="1"/>
  <c r="AC113" i="46"/>
  <c r="AD113" i="46" s="1"/>
  <c r="AE113" i="46" s="1"/>
  <c r="A113" i="46"/>
  <c r="A175" i="46" s="1"/>
  <c r="A175" i="45" s="1"/>
  <c r="AC112" i="46"/>
  <c r="A112" i="46"/>
  <c r="A174" i="46" s="1"/>
  <c r="A174" i="45" s="1"/>
  <c r="AC111" i="46"/>
  <c r="A111" i="46"/>
  <c r="A173" i="46" s="1"/>
  <c r="A173" i="45" s="1"/>
  <c r="AC110" i="46"/>
  <c r="AD110" i="46" s="1"/>
  <c r="A110" i="46"/>
  <c r="A172" i="46" s="1"/>
  <c r="A172" i="45" s="1"/>
  <c r="AC109" i="46"/>
  <c r="AD109" i="46" s="1"/>
  <c r="AE109" i="46" s="1"/>
  <c r="A109" i="46"/>
  <c r="A171" i="46" s="1"/>
  <c r="A171" i="45" s="1"/>
  <c r="AC108" i="46"/>
  <c r="A108" i="46"/>
  <c r="A170" i="46" s="1"/>
  <c r="A170" i="45" s="1"/>
  <c r="AC107" i="46"/>
  <c r="A107" i="46"/>
  <c r="A169" i="46" s="1"/>
  <c r="A169" i="45" s="1"/>
  <c r="AC106" i="46"/>
  <c r="AD106" i="46" s="1"/>
  <c r="A106" i="46"/>
  <c r="A168" i="46" s="1"/>
  <c r="A168" i="45" s="1"/>
  <c r="AC105" i="46"/>
  <c r="AD105" i="46" s="1"/>
  <c r="AE105" i="46" s="1"/>
  <c r="A105" i="46"/>
  <c r="A167" i="46" s="1"/>
  <c r="A167" i="45" s="1"/>
  <c r="AC104" i="46"/>
  <c r="A104" i="46"/>
  <c r="A166" i="46" s="1"/>
  <c r="A166" i="45" s="1"/>
  <c r="AC103" i="46"/>
  <c r="A103" i="46"/>
  <c r="A165" i="46" s="1"/>
  <c r="A165" i="45" s="1"/>
  <c r="AC97" i="46"/>
  <c r="AD97" i="46" s="1"/>
  <c r="A97" i="46"/>
  <c r="A159" i="46" s="1"/>
  <c r="A159" i="45" s="1"/>
  <c r="AC96" i="46"/>
  <c r="AD96" i="46" s="1"/>
  <c r="AE96" i="46" s="1"/>
  <c r="A96" i="46"/>
  <c r="A158" i="46" s="1"/>
  <c r="A158" i="45" s="1"/>
  <c r="AC95" i="46"/>
  <c r="A95" i="46"/>
  <c r="A157" i="46" s="1"/>
  <c r="A157" i="45" s="1"/>
  <c r="AC93" i="46"/>
  <c r="A93" i="46"/>
  <c r="A155" i="46" s="1"/>
  <c r="A155" i="45" s="1"/>
  <c r="AC92" i="46"/>
  <c r="AD92" i="46" s="1"/>
  <c r="A92" i="46"/>
  <c r="A154" i="46" s="1"/>
  <c r="A154" i="45" s="1"/>
  <c r="AC91" i="46"/>
  <c r="AD91" i="46" s="1"/>
  <c r="AE91" i="46" s="1"/>
  <c r="A91" i="46"/>
  <c r="A153" i="46" s="1"/>
  <c r="A153" i="45" s="1"/>
  <c r="AC90" i="46"/>
  <c r="A90" i="46"/>
  <c r="A152" i="46" s="1"/>
  <c r="A152" i="45" s="1"/>
  <c r="AC89" i="46"/>
  <c r="A89" i="46"/>
  <c r="A151" i="46" s="1"/>
  <c r="A151" i="45" s="1"/>
  <c r="AC88" i="46"/>
  <c r="AD88" i="46" s="1"/>
  <c r="A88" i="46"/>
  <c r="A150" i="46" s="1"/>
  <c r="A150" i="45" s="1"/>
  <c r="AC87" i="46"/>
  <c r="AD87" i="46" s="1"/>
  <c r="AE87" i="46" s="1"/>
  <c r="A87" i="46"/>
  <c r="A149" i="46" s="1"/>
  <c r="A149" i="45" s="1"/>
  <c r="AC83" i="46"/>
  <c r="A83" i="46"/>
  <c r="A145" i="46" s="1"/>
  <c r="A145" i="45" s="1"/>
  <c r="AC82" i="46"/>
  <c r="AD82" i="46" s="1"/>
  <c r="A82" i="46"/>
  <c r="A144" i="46" s="1"/>
  <c r="A144" i="45" s="1"/>
  <c r="AC80" i="46"/>
  <c r="AD80" i="46" s="1"/>
  <c r="AE80" i="46" s="1"/>
  <c r="A80" i="46"/>
  <c r="A142" i="46" s="1"/>
  <c r="A142" i="45" s="1"/>
  <c r="AC79" i="46"/>
  <c r="A79" i="46"/>
  <c r="A141" i="46" s="1"/>
  <c r="A141" i="45" s="1"/>
  <c r="AC78" i="46"/>
  <c r="AD78" i="46" s="1"/>
  <c r="A78" i="46"/>
  <c r="A140" i="46" s="1"/>
  <c r="A140" i="45" s="1"/>
  <c r="AC77" i="46"/>
  <c r="A77" i="46"/>
  <c r="A139" i="46" s="1"/>
  <c r="A139" i="45" s="1"/>
  <c r="AC76" i="46"/>
  <c r="A76" i="46"/>
  <c r="A138" i="46" s="1"/>
  <c r="A138" i="45" s="1"/>
  <c r="AC75" i="46"/>
  <c r="A75" i="46"/>
  <c r="A137" i="46" s="1"/>
  <c r="A137" i="45" s="1"/>
  <c r="AC74" i="46"/>
  <c r="AD74" i="46" s="1"/>
  <c r="A74" i="46"/>
  <c r="A136" i="46" s="1"/>
  <c r="A136" i="45" s="1"/>
  <c r="AC73" i="46"/>
  <c r="A73" i="46"/>
  <c r="A135" i="46" s="1"/>
  <c r="A135" i="45" s="1"/>
  <c r="AC72" i="46"/>
  <c r="AD72" i="46" s="1"/>
  <c r="A72" i="46"/>
  <c r="A134" i="46" s="1"/>
  <c r="A134" i="45" s="1"/>
  <c r="AC60" i="46"/>
  <c r="AC59" i="46"/>
  <c r="AD59" i="46" s="1"/>
  <c r="AC58" i="46"/>
  <c r="AC57" i="46"/>
  <c r="AC52" i="46"/>
  <c r="AC51" i="46"/>
  <c r="AC50" i="46"/>
  <c r="AC49" i="46"/>
  <c r="AC48" i="46"/>
  <c r="AC47" i="46"/>
  <c r="AC46" i="46"/>
  <c r="AC45" i="46"/>
  <c r="AC44" i="46"/>
  <c r="AC43" i="46"/>
  <c r="AC42" i="46"/>
  <c r="AC41" i="46"/>
  <c r="AC40" i="46"/>
  <c r="AC39" i="46"/>
  <c r="AC38" i="46"/>
  <c r="AC37" i="46"/>
  <c r="AC36" i="46"/>
  <c r="AC35" i="46"/>
  <c r="AC29" i="46"/>
  <c r="AC28" i="46"/>
  <c r="AC27" i="46"/>
  <c r="AC25" i="46"/>
  <c r="AC24" i="46"/>
  <c r="AC23" i="46"/>
  <c r="AC22" i="46"/>
  <c r="AC21" i="46"/>
  <c r="AC20" i="46"/>
  <c r="AC19" i="46"/>
  <c r="AC15" i="46"/>
  <c r="AC14" i="46"/>
  <c r="AC12" i="46"/>
  <c r="AC11" i="46"/>
  <c r="AC10" i="46"/>
  <c r="AC9" i="46"/>
  <c r="AC8" i="46"/>
  <c r="AC7" i="46"/>
  <c r="AC6" i="46"/>
  <c r="AC5" i="46"/>
  <c r="AC4" i="46"/>
  <c r="A199" i="45"/>
  <c r="A197" i="45"/>
  <c r="A196" i="45"/>
  <c r="A194" i="45"/>
  <c r="A192" i="45"/>
  <c r="A191" i="45"/>
  <c r="A131" i="45"/>
  <c r="A130" i="45"/>
  <c r="A69" i="45"/>
  <c r="A68" i="45"/>
  <c r="A67" i="45"/>
  <c r="A65" i="45"/>
  <c r="A64" i="45"/>
  <c r="A63" i="45"/>
  <c r="A62" i="45"/>
  <c r="A61" i="45"/>
  <c r="A60" i="45"/>
  <c r="A59" i="45"/>
  <c r="A58" i="45"/>
  <c r="A57" i="45"/>
  <c r="A52" i="45"/>
  <c r="A51" i="45"/>
  <c r="A50" i="45"/>
  <c r="A49" i="45"/>
  <c r="A48" i="45"/>
  <c r="A47" i="45"/>
  <c r="A46" i="45"/>
  <c r="A45" i="45"/>
  <c r="A44" i="45"/>
  <c r="A43" i="45"/>
  <c r="A42" i="45"/>
  <c r="A41" i="45"/>
  <c r="A40" i="45"/>
  <c r="A39" i="45"/>
  <c r="A38" i="45"/>
  <c r="A37" i="45"/>
  <c r="A36" i="45"/>
  <c r="A35" i="45"/>
  <c r="A29" i="45"/>
  <c r="A28" i="45"/>
  <c r="A27" i="45"/>
  <c r="A25" i="45"/>
  <c r="A24" i="45"/>
  <c r="A23" i="45"/>
  <c r="A22" i="45"/>
  <c r="A21" i="45"/>
  <c r="A20" i="45"/>
  <c r="A19" i="45"/>
  <c r="A15" i="45"/>
  <c r="A14" i="45"/>
  <c r="A12" i="45"/>
  <c r="A11" i="45"/>
  <c r="A10" i="45"/>
  <c r="A9" i="45"/>
  <c r="A8" i="45"/>
  <c r="A7" i="45"/>
  <c r="A6" i="45"/>
  <c r="A5" i="45"/>
  <c r="A4" i="45"/>
  <c r="D46" i="2" l="1"/>
  <c r="AC134" i="46"/>
  <c r="Q30" i="74"/>
  <c r="AD61" i="46"/>
  <c r="AE61" i="46" s="1"/>
  <c r="V61" i="45" s="1"/>
  <c r="AD36" i="46"/>
  <c r="AE36" i="46" s="1"/>
  <c r="AF36" i="46" s="1"/>
  <c r="AG36" i="46" s="1"/>
  <c r="AJ36" i="46" s="1"/>
  <c r="AC166" i="46"/>
  <c r="AD6" i="46"/>
  <c r="AE6" i="46" s="1"/>
  <c r="AF6" i="46" s="1"/>
  <c r="AI6" i="46" s="1"/>
  <c r="AJ6" i="46" s="1"/>
  <c r="AC136" i="46"/>
  <c r="AD15" i="46"/>
  <c r="AE15" i="46" s="1"/>
  <c r="V15" i="45" s="1"/>
  <c r="AC145" i="46"/>
  <c r="AD27" i="46"/>
  <c r="AE27" i="46" s="1"/>
  <c r="AF27" i="46" s="1"/>
  <c r="AJ27" i="46" s="1"/>
  <c r="AC157" i="46"/>
  <c r="AD44" i="46"/>
  <c r="AE44" i="46" s="1"/>
  <c r="AF44" i="46" s="1"/>
  <c r="AG44" i="46" s="1"/>
  <c r="AI44" i="46" s="1"/>
  <c r="AJ44" i="46" s="1"/>
  <c r="AC174" i="46"/>
  <c r="AD48" i="46"/>
  <c r="AE48" i="46" s="1"/>
  <c r="AF48" i="46" s="1"/>
  <c r="AG48" i="46" s="1"/>
  <c r="AI48" i="46" s="1"/>
  <c r="AJ48" i="46" s="1"/>
  <c r="AC178" i="46"/>
  <c r="AD7" i="46"/>
  <c r="AE7" i="46" s="1"/>
  <c r="V7" i="45" s="1"/>
  <c r="AC137" i="46"/>
  <c r="AD11" i="46"/>
  <c r="AE11" i="46" s="1"/>
  <c r="AF11" i="46" s="1"/>
  <c r="AI11" i="46" s="1"/>
  <c r="AJ11" i="46" s="1"/>
  <c r="AC141" i="46"/>
  <c r="AD19" i="46"/>
  <c r="AE19" i="46" s="1"/>
  <c r="AF19" i="46" s="1"/>
  <c r="AI19" i="46" s="1"/>
  <c r="AJ19" i="46" s="1"/>
  <c r="AC149" i="46"/>
  <c r="AD23" i="46"/>
  <c r="AE23" i="46" s="1"/>
  <c r="V23" i="45" s="1"/>
  <c r="AC153" i="46"/>
  <c r="AD28" i="46"/>
  <c r="AE28" i="46" s="1"/>
  <c r="AJ28" i="46" s="1"/>
  <c r="AC158" i="46"/>
  <c r="AD37" i="46"/>
  <c r="AE37" i="46" s="1"/>
  <c r="AF37" i="46" s="1"/>
  <c r="AG37" i="46" s="1"/>
  <c r="AJ37" i="46" s="1"/>
  <c r="AC167" i="46"/>
  <c r="AD41" i="46"/>
  <c r="AE41" i="46" s="1"/>
  <c r="AF41" i="46" s="1"/>
  <c r="AG41" i="46" s="1"/>
  <c r="AJ41" i="46" s="1"/>
  <c r="AC171" i="46"/>
  <c r="AD45" i="46"/>
  <c r="AE45" i="46" s="1"/>
  <c r="AF45" i="46" s="1"/>
  <c r="AG45" i="46" s="1"/>
  <c r="AI45" i="46" s="1"/>
  <c r="AJ45" i="46" s="1"/>
  <c r="AC175" i="46"/>
  <c r="AD49" i="46"/>
  <c r="AE49" i="46" s="1"/>
  <c r="AF49" i="46" s="1"/>
  <c r="AG49" i="46" s="1"/>
  <c r="AI49" i="46" s="1"/>
  <c r="AJ49" i="46" s="1"/>
  <c r="AC179" i="46"/>
  <c r="AD57" i="46"/>
  <c r="AE57" i="46" s="1"/>
  <c r="AJ57" i="46" s="1"/>
  <c r="AC187" i="46"/>
  <c r="AD10" i="46"/>
  <c r="AE10" i="46" s="1"/>
  <c r="AF10" i="46" s="1"/>
  <c r="AI10" i="46" s="1"/>
  <c r="AJ10" i="46" s="1"/>
  <c r="AC140" i="46"/>
  <c r="AD22" i="46"/>
  <c r="AE22" i="46" s="1"/>
  <c r="AJ22" i="46" s="1"/>
  <c r="AC152" i="46"/>
  <c r="AD40" i="46"/>
  <c r="AE40" i="46" s="1"/>
  <c r="AF40" i="46" s="1"/>
  <c r="AG40" i="46" s="1"/>
  <c r="AI40" i="46" s="1"/>
  <c r="AJ40" i="46" s="1"/>
  <c r="AC170" i="46"/>
  <c r="AD52" i="46"/>
  <c r="AE52" i="46" s="1"/>
  <c r="AC182" i="46"/>
  <c r="AD12" i="46"/>
  <c r="AE12" i="46" s="1"/>
  <c r="AF12" i="46" s="1"/>
  <c r="AJ12" i="46" s="1"/>
  <c r="AC142" i="46"/>
  <c r="AD8" i="46"/>
  <c r="AE8" i="46" s="1"/>
  <c r="AF8" i="46" s="1"/>
  <c r="AI8" i="46" s="1"/>
  <c r="AJ8" i="46" s="1"/>
  <c r="AC138" i="46"/>
  <c r="AD20" i="46"/>
  <c r="AE20" i="46" s="1"/>
  <c r="AF20" i="46" s="1"/>
  <c r="AI20" i="46" s="1"/>
  <c r="AJ20" i="46" s="1"/>
  <c r="AC150" i="46"/>
  <c r="AD24" i="46"/>
  <c r="AE24" i="46" s="1"/>
  <c r="AF24" i="46" s="1"/>
  <c r="AI24" i="46" s="1"/>
  <c r="AJ24" i="46" s="1"/>
  <c r="AC154" i="46"/>
  <c r="AD29" i="46"/>
  <c r="AE29" i="46" s="1"/>
  <c r="AF29" i="46" s="1"/>
  <c r="AG29" i="46" s="1"/>
  <c r="AI29" i="46" s="1"/>
  <c r="AJ29" i="46" s="1"/>
  <c r="AC159" i="46"/>
  <c r="AD38" i="46"/>
  <c r="AE38" i="46" s="1"/>
  <c r="AF38" i="46" s="1"/>
  <c r="AG38" i="46" s="1"/>
  <c r="AJ38" i="46" s="1"/>
  <c r="AC168" i="46"/>
  <c r="AD42" i="46"/>
  <c r="AE42" i="46" s="1"/>
  <c r="AF42" i="46" s="1"/>
  <c r="AG42" i="46" s="1"/>
  <c r="AI42" i="46" s="1"/>
  <c r="AJ42" i="46" s="1"/>
  <c r="AC172" i="46"/>
  <c r="AD46" i="46"/>
  <c r="AE46" i="46" s="1"/>
  <c r="AF46" i="46" s="1"/>
  <c r="AG46" i="46" s="1"/>
  <c r="AI46" i="46" s="1"/>
  <c r="AJ46" i="46" s="1"/>
  <c r="AC176" i="46"/>
  <c r="AD50" i="46"/>
  <c r="AE50" i="46" s="1"/>
  <c r="AF50" i="46" s="1"/>
  <c r="AG50" i="46" s="1"/>
  <c r="AI50" i="46" s="1"/>
  <c r="AJ50" i="46" s="1"/>
  <c r="AC180" i="46"/>
  <c r="AD58" i="46"/>
  <c r="AE58" i="46" s="1"/>
  <c r="AF58" i="46" s="1"/>
  <c r="AG58" i="46" s="1"/>
  <c r="AI58" i="46" s="1"/>
  <c r="AJ58" i="46" s="1"/>
  <c r="AC188" i="46"/>
  <c r="AD5" i="46"/>
  <c r="AE5" i="46" s="1"/>
  <c r="V5" i="45" s="1"/>
  <c r="AC135" i="46"/>
  <c r="AD9" i="46"/>
  <c r="AE9" i="46" s="1"/>
  <c r="AF9" i="46" s="1"/>
  <c r="AI9" i="46" s="1"/>
  <c r="AJ9" i="46" s="1"/>
  <c r="AC139" i="46"/>
  <c r="AD14" i="46"/>
  <c r="AE14" i="46" s="1"/>
  <c r="V14" i="45" s="1"/>
  <c r="AC144" i="46"/>
  <c r="AD21" i="46"/>
  <c r="AE21" i="46" s="1"/>
  <c r="AF21" i="46" s="1"/>
  <c r="AI21" i="46" s="1"/>
  <c r="AJ21" i="46" s="1"/>
  <c r="AC151" i="46"/>
  <c r="AD25" i="46"/>
  <c r="AE25" i="46" s="1"/>
  <c r="AF25" i="46" s="1"/>
  <c r="AI25" i="46" s="1"/>
  <c r="AJ25" i="46" s="1"/>
  <c r="AC155" i="46"/>
  <c r="AD35" i="46"/>
  <c r="AE35" i="46" s="1"/>
  <c r="AF35" i="46" s="1"/>
  <c r="AG35" i="46" s="1"/>
  <c r="AC165" i="46"/>
  <c r="AD39" i="46"/>
  <c r="AE39" i="46" s="1"/>
  <c r="AF39" i="46" s="1"/>
  <c r="AG39" i="46" s="1"/>
  <c r="AJ39" i="46" s="1"/>
  <c r="AC169" i="46"/>
  <c r="AD43" i="46"/>
  <c r="AE43" i="46" s="1"/>
  <c r="AF43" i="46" s="1"/>
  <c r="AG43" i="46" s="1"/>
  <c r="AI43" i="46" s="1"/>
  <c r="AJ43" i="46" s="1"/>
  <c r="AC173" i="46"/>
  <c r="AD47" i="46"/>
  <c r="AE47" i="46" s="1"/>
  <c r="AF47" i="46" s="1"/>
  <c r="AG47" i="46" s="1"/>
  <c r="AI47" i="46" s="1"/>
  <c r="AJ47" i="46" s="1"/>
  <c r="AC177" i="46"/>
  <c r="AD51" i="46"/>
  <c r="AE51" i="46" s="1"/>
  <c r="AF51" i="46" s="1"/>
  <c r="AG51" i="46" s="1"/>
  <c r="AI51" i="46" s="1"/>
  <c r="AJ51" i="46" s="1"/>
  <c r="AC181" i="46"/>
  <c r="AE59" i="46"/>
  <c r="AI59" i="46" s="1"/>
  <c r="AJ59" i="46" s="1"/>
  <c r="AC189" i="46"/>
  <c r="AD4" i="46"/>
  <c r="AD134" i="46" s="1"/>
  <c r="AC68" i="46"/>
  <c r="AC67" i="46"/>
  <c r="E43" i="2"/>
  <c r="A73" i="45"/>
  <c r="A87" i="45"/>
  <c r="F31" i="2"/>
  <c r="Q31" i="10" s="1"/>
  <c r="N31" i="10"/>
  <c r="V59" i="13"/>
  <c r="U58" i="13"/>
  <c r="Z59" i="13" s="1"/>
  <c r="V62" i="13"/>
  <c r="U61" i="13"/>
  <c r="Z62" i="13" s="1"/>
  <c r="A111" i="45"/>
  <c r="A115" i="45"/>
  <c r="A125" i="45"/>
  <c r="A110" i="45"/>
  <c r="A118" i="45"/>
  <c r="A113" i="45"/>
  <c r="A128" i="45"/>
  <c r="A91" i="45"/>
  <c r="A120" i="45"/>
  <c r="A77" i="45"/>
  <c r="A97" i="45"/>
  <c r="A80" i="45"/>
  <c r="A106" i="45"/>
  <c r="A126" i="45"/>
  <c r="A92" i="45"/>
  <c r="A74" i="45"/>
  <c r="A78" i="45"/>
  <c r="A88" i="45"/>
  <c r="A104" i="45"/>
  <c r="AD130" i="46"/>
  <c r="R31" i="2"/>
  <c r="A103" i="45"/>
  <c r="AG5" i="46"/>
  <c r="AE131" i="46"/>
  <c r="A112" i="45"/>
  <c r="A82" i="45"/>
  <c r="A93" i="45"/>
  <c r="P31" i="2"/>
  <c r="S31" i="10" s="1"/>
  <c r="U31" i="2"/>
  <c r="T31" i="10" s="1"/>
  <c r="P31" i="10"/>
  <c r="A107" i="45"/>
  <c r="A116" i="45"/>
  <c r="A76" i="45"/>
  <c r="A89" i="45"/>
  <c r="A109" i="45"/>
  <c r="A72" i="45"/>
  <c r="A79" i="45"/>
  <c r="A90" i="45"/>
  <c r="A95" i="45"/>
  <c r="A105" i="45"/>
  <c r="A114" i="45"/>
  <c r="A119" i="45"/>
  <c r="A127" i="45"/>
  <c r="M31" i="10"/>
  <c r="L46" i="10"/>
  <c r="L53" i="20"/>
  <c r="L44" i="10"/>
  <c r="AF80" i="46"/>
  <c r="AG80" i="46" s="1"/>
  <c r="V80" i="45"/>
  <c r="AF113" i="46"/>
  <c r="V113" i="45"/>
  <c r="AF87" i="46"/>
  <c r="V87" i="45"/>
  <c r="AF117" i="46"/>
  <c r="V117" i="45"/>
  <c r="AF91" i="46"/>
  <c r="V91" i="45"/>
  <c r="AF96" i="46"/>
  <c r="AG96" i="46" s="1"/>
  <c r="V96" i="45"/>
  <c r="AF105" i="46"/>
  <c r="V105" i="45"/>
  <c r="AF109" i="46"/>
  <c r="AG109" i="46" s="1"/>
  <c r="V109" i="45"/>
  <c r="AJ63" i="46"/>
  <c r="W63" i="45" s="1"/>
  <c r="A75" i="45"/>
  <c r="H31" i="2"/>
  <c r="M31" i="2"/>
  <c r="Q31" i="2"/>
  <c r="B46" i="2"/>
  <c r="F43" i="2"/>
  <c r="F46" i="2" s="1"/>
  <c r="A96" i="45"/>
  <c r="A117" i="45"/>
  <c r="I31" i="2"/>
  <c r="N31" i="2"/>
  <c r="C46" i="2"/>
  <c r="AE63" i="46"/>
  <c r="V63" i="45" s="1"/>
  <c r="G31" i="2"/>
  <c r="L31" i="2"/>
  <c r="T30" i="10"/>
  <c r="A83" i="45"/>
  <c r="A108" i="45"/>
  <c r="E30" i="2"/>
  <c r="J30" i="2"/>
  <c r="O30" i="2"/>
  <c r="S31" i="2"/>
  <c r="S30" i="10"/>
  <c r="O31" i="10"/>
  <c r="AB65" i="46"/>
  <c r="M34" i="10"/>
  <c r="K31" i="2"/>
  <c r="R31" i="10" s="1"/>
  <c r="T30" i="2"/>
  <c r="AE72" i="46"/>
  <c r="AE82" i="46"/>
  <c r="AD73" i="46"/>
  <c r="AE74" i="46"/>
  <c r="AD75" i="46"/>
  <c r="AD76" i="46"/>
  <c r="AE78" i="46"/>
  <c r="AD79" i="46"/>
  <c r="AE125" i="46"/>
  <c r="AE88" i="46"/>
  <c r="AD89" i="46"/>
  <c r="AE92" i="46"/>
  <c r="AD93" i="46"/>
  <c r="AE97" i="46"/>
  <c r="AD103" i="46"/>
  <c r="AE106" i="46"/>
  <c r="AD107" i="46"/>
  <c r="AE110" i="46"/>
  <c r="AD111" i="46"/>
  <c r="AE114" i="46"/>
  <c r="AD115" i="46"/>
  <c r="AE118" i="46"/>
  <c r="AE119" i="46"/>
  <c r="AE120" i="46"/>
  <c r="AD126" i="46"/>
  <c r="AD189" i="46"/>
  <c r="AC128" i="46"/>
  <c r="AC190" i="46" s="1"/>
  <c r="AD77" i="46"/>
  <c r="AD83" i="46"/>
  <c r="AD90" i="46"/>
  <c r="AD95" i="46"/>
  <c r="AD104" i="46"/>
  <c r="AD108" i="46"/>
  <c r="AD112" i="46"/>
  <c r="AD116" i="46"/>
  <c r="AE127" i="46"/>
  <c r="AD171" i="46" l="1"/>
  <c r="AD158" i="46"/>
  <c r="AE158" i="46" s="1"/>
  <c r="V158" i="45" s="1"/>
  <c r="AF7" i="46"/>
  <c r="AI7" i="46" s="1"/>
  <c r="AJ7" i="46" s="1"/>
  <c r="AK7" i="46" s="1"/>
  <c r="AF15" i="46"/>
  <c r="AI15" i="46" s="1"/>
  <c r="AJ15" i="46" s="1"/>
  <c r="AK15" i="46" s="1"/>
  <c r="AD149" i="46"/>
  <c r="V44" i="45"/>
  <c r="V12" i="45"/>
  <c r="AD172" i="46"/>
  <c r="AE172" i="46" s="1"/>
  <c r="V172" i="45" s="1"/>
  <c r="V41" i="45"/>
  <c r="V19" i="45"/>
  <c r="AF14" i="46"/>
  <c r="AI14" i="46" s="1"/>
  <c r="AJ14" i="46" s="1"/>
  <c r="AK14" i="46" s="1"/>
  <c r="V25" i="45"/>
  <c r="V29" i="45"/>
  <c r="AD150" i="46"/>
  <c r="AE150" i="46" s="1"/>
  <c r="V150" i="45" s="1"/>
  <c r="V36" i="45"/>
  <c r="V50" i="45"/>
  <c r="V49" i="45"/>
  <c r="AF179" i="46"/>
  <c r="AD179" i="46"/>
  <c r="AE179" i="46" s="1"/>
  <c r="V179" i="45" s="1"/>
  <c r="AD180" i="46"/>
  <c r="AE180" i="46" s="1"/>
  <c r="V180" i="45" s="1"/>
  <c r="AD140" i="46"/>
  <c r="AE140" i="46" s="1"/>
  <c r="V140" i="45" s="1"/>
  <c r="V40" i="45"/>
  <c r="V10" i="45"/>
  <c r="V42" i="45"/>
  <c r="AD187" i="46"/>
  <c r="AE187" i="46" s="1"/>
  <c r="V187" i="45" s="1"/>
  <c r="AD136" i="46"/>
  <c r="AE136" i="46" s="1"/>
  <c r="V136" i="45" s="1"/>
  <c r="W51" i="45"/>
  <c r="AK51" i="46"/>
  <c r="W58" i="45"/>
  <c r="AK58" i="46"/>
  <c r="W57" i="45"/>
  <c r="AK57" i="46"/>
  <c r="W48" i="45"/>
  <c r="AK48" i="46"/>
  <c r="AD182" i="46"/>
  <c r="AE182" i="46" s="1"/>
  <c r="V182" i="45" s="1"/>
  <c r="AD168" i="46"/>
  <c r="AE168" i="46" s="1"/>
  <c r="V168" i="45" s="1"/>
  <c r="AD181" i="46"/>
  <c r="AE181" i="46" s="1"/>
  <c r="V181" i="45" s="1"/>
  <c r="W59" i="45"/>
  <c r="AK59" i="46"/>
  <c r="W50" i="45"/>
  <c r="AK50" i="46"/>
  <c r="W49" i="45"/>
  <c r="AK49" i="46"/>
  <c r="W43" i="45"/>
  <c r="AK43" i="46"/>
  <c r="W21" i="45"/>
  <c r="AK21" i="46"/>
  <c r="W46" i="45"/>
  <c r="AK46" i="46"/>
  <c r="W38" i="45"/>
  <c r="AK38" i="46"/>
  <c r="W24" i="45"/>
  <c r="AK24" i="46"/>
  <c r="W8" i="45"/>
  <c r="AK8" i="46"/>
  <c r="W45" i="45"/>
  <c r="AK45" i="46"/>
  <c r="W37" i="45"/>
  <c r="AK37" i="46"/>
  <c r="W11" i="45"/>
  <c r="AK11" i="46"/>
  <c r="W6" i="45"/>
  <c r="AK6" i="46"/>
  <c r="W47" i="45"/>
  <c r="AK47" i="46"/>
  <c r="W39" i="45"/>
  <c r="AK39" i="46"/>
  <c r="W25" i="45"/>
  <c r="AK25" i="46"/>
  <c r="W42" i="45"/>
  <c r="AK42" i="46"/>
  <c r="W29" i="45"/>
  <c r="AK29" i="46"/>
  <c r="W20" i="45"/>
  <c r="AK20" i="46"/>
  <c r="W40" i="45"/>
  <c r="AK40" i="46"/>
  <c r="W10" i="45"/>
  <c r="AK10" i="46"/>
  <c r="W41" i="45"/>
  <c r="AK41" i="46"/>
  <c r="W19" i="45"/>
  <c r="AK19" i="46"/>
  <c r="W44" i="45"/>
  <c r="AK44" i="46"/>
  <c r="W36" i="45"/>
  <c r="AK36" i="46"/>
  <c r="W9" i="45"/>
  <c r="AK9" i="46"/>
  <c r="AD167" i="46"/>
  <c r="AE167" i="46" s="1"/>
  <c r="V167" i="45" s="1"/>
  <c r="V21" i="45"/>
  <c r="V27" i="45"/>
  <c r="W28" i="45"/>
  <c r="W27" i="45"/>
  <c r="AK27" i="46"/>
  <c r="W22" i="45"/>
  <c r="AK22" i="46"/>
  <c r="W12" i="45"/>
  <c r="AK12" i="46"/>
  <c r="V6" i="45"/>
  <c r="V9" i="45"/>
  <c r="V11" i="45"/>
  <c r="V43" i="45"/>
  <c r="AG117" i="46"/>
  <c r="AG179" i="46" s="1"/>
  <c r="AD60" i="46"/>
  <c r="AE60" i="46" s="1"/>
  <c r="V60" i="45" s="1"/>
  <c r="AD159" i="46"/>
  <c r="AE159" i="46" s="1"/>
  <c r="V159" i="45" s="1"/>
  <c r="AD142" i="46"/>
  <c r="AE142" i="46" s="1"/>
  <c r="V142" i="45" s="1"/>
  <c r="AD144" i="46"/>
  <c r="AE144" i="46" s="1"/>
  <c r="V144" i="45" s="1"/>
  <c r="AF149" i="46"/>
  <c r="V28" i="45"/>
  <c r="V51" i="45"/>
  <c r="AJ35" i="46"/>
  <c r="AK35" i="46" s="1"/>
  <c r="AD176" i="46"/>
  <c r="AE176" i="46" s="1"/>
  <c r="V176" i="45" s="1"/>
  <c r="AD154" i="46"/>
  <c r="AE154" i="46" s="1"/>
  <c r="V154" i="45" s="1"/>
  <c r="AD175" i="46"/>
  <c r="AE175" i="46" s="1"/>
  <c r="V175" i="45" s="1"/>
  <c r="AD153" i="46"/>
  <c r="AE153" i="46" s="1"/>
  <c r="V153" i="45" s="1"/>
  <c r="V45" i="45"/>
  <c r="V57" i="45"/>
  <c r="AF167" i="46"/>
  <c r="V24" i="45"/>
  <c r="V38" i="45"/>
  <c r="V39" i="45"/>
  <c r="V37" i="45"/>
  <c r="V8" i="45"/>
  <c r="V48" i="45"/>
  <c r="V46" i="45"/>
  <c r="AF175" i="46"/>
  <c r="AF23" i="46"/>
  <c r="AJ23" i="46" s="1"/>
  <c r="V58" i="45"/>
  <c r="V22" i="45"/>
  <c r="V35" i="45"/>
  <c r="V20" i="45"/>
  <c r="V47" i="45"/>
  <c r="AC191" i="46"/>
  <c r="AH5" i="46"/>
  <c r="V59" i="45"/>
  <c r="AF52" i="46"/>
  <c r="AG52" i="46" s="1"/>
  <c r="AI52" i="46" s="1"/>
  <c r="AJ52" i="46" s="1"/>
  <c r="V52" i="45"/>
  <c r="AE4" i="46"/>
  <c r="O31" i="2"/>
  <c r="AF158" i="46"/>
  <c r="AG113" i="46"/>
  <c r="AG175" i="46" s="1"/>
  <c r="AE134" i="46"/>
  <c r="V134" i="45" s="1"/>
  <c r="AF142" i="46"/>
  <c r="AG105" i="46"/>
  <c r="AH105" i="46" s="1"/>
  <c r="AE171" i="46"/>
  <c r="V171" i="45" s="1"/>
  <c r="AF171" i="46"/>
  <c r="AE130" i="46"/>
  <c r="AE189" i="46"/>
  <c r="V189" i="45" s="1"/>
  <c r="J31" i="2"/>
  <c r="L54" i="20"/>
  <c r="L47" i="10"/>
  <c r="AF131" i="46"/>
  <c r="V131" i="45"/>
  <c r="AE149" i="46"/>
  <c r="V149" i="45" s="1"/>
  <c r="AG87" i="46"/>
  <c r="AH87" i="46" s="1"/>
  <c r="E46" i="2"/>
  <c r="AG91" i="46"/>
  <c r="T31" i="2"/>
  <c r="AD65" i="46"/>
  <c r="AD170" i="46"/>
  <c r="AE170" i="46" s="1"/>
  <c r="V170" i="45" s="1"/>
  <c r="AE108" i="46"/>
  <c r="AF114" i="46"/>
  <c r="V114" i="45"/>
  <c r="AF125" i="46"/>
  <c r="V125" i="45"/>
  <c r="AF74" i="46"/>
  <c r="V74" i="45"/>
  <c r="AC69" i="46"/>
  <c r="AG142" i="46"/>
  <c r="AH80" i="46"/>
  <c r="AF72" i="46"/>
  <c r="V72" i="45"/>
  <c r="AD178" i="46"/>
  <c r="AE178" i="46" s="1"/>
  <c r="V178" i="45" s="1"/>
  <c r="AE116" i="46"/>
  <c r="AD145" i="46"/>
  <c r="AE145" i="46" s="1"/>
  <c r="V145" i="45" s="1"/>
  <c r="AE83" i="46"/>
  <c r="AD188" i="46"/>
  <c r="AE188" i="46" s="1"/>
  <c r="V188" i="45" s="1"/>
  <c r="AE126" i="46"/>
  <c r="AF118" i="46"/>
  <c r="V118" i="45"/>
  <c r="AD169" i="46"/>
  <c r="AE169" i="46" s="1"/>
  <c r="V169" i="45" s="1"/>
  <c r="AE107" i="46"/>
  <c r="AF97" i="46"/>
  <c r="V97" i="45"/>
  <c r="AD137" i="46"/>
  <c r="AE137" i="46" s="1"/>
  <c r="V137" i="45" s="1"/>
  <c r="AE75" i="46"/>
  <c r="AD174" i="46"/>
  <c r="AE174" i="46" s="1"/>
  <c r="V174" i="45" s="1"/>
  <c r="AE112" i="46"/>
  <c r="AD166" i="46"/>
  <c r="AE166" i="46" s="1"/>
  <c r="V166" i="45" s="1"/>
  <c r="AE104" i="46"/>
  <c r="AD152" i="46"/>
  <c r="AE152" i="46" s="1"/>
  <c r="V152" i="45" s="1"/>
  <c r="AE90" i="46"/>
  <c r="AD173" i="46"/>
  <c r="AE173" i="46" s="1"/>
  <c r="V173" i="45" s="1"/>
  <c r="AE111" i="46"/>
  <c r="AF106" i="46"/>
  <c r="V106" i="45"/>
  <c r="AD151" i="46"/>
  <c r="AE151" i="46" s="1"/>
  <c r="V151" i="45" s="1"/>
  <c r="AE89" i="46"/>
  <c r="AF78" i="46"/>
  <c r="V78" i="45"/>
  <c r="AD135" i="46"/>
  <c r="AE135" i="46" s="1"/>
  <c r="V135" i="45" s="1"/>
  <c r="AE73" i="46"/>
  <c r="AG171" i="46"/>
  <c r="AH109" i="46"/>
  <c r="AD157" i="46"/>
  <c r="AE157" i="46" s="1"/>
  <c r="V157" i="45" s="1"/>
  <c r="AE95" i="46"/>
  <c r="AD139" i="46"/>
  <c r="AE139" i="46" s="1"/>
  <c r="V139" i="45" s="1"/>
  <c r="AE77" i="46"/>
  <c r="AF119" i="46"/>
  <c r="V119" i="45"/>
  <c r="AD165" i="46"/>
  <c r="AE165" i="46" s="1"/>
  <c r="V165" i="45" s="1"/>
  <c r="AE103" i="46"/>
  <c r="AF92" i="46"/>
  <c r="V92" i="45"/>
  <c r="AF127" i="46"/>
  <c r="V127" i="45"/>
  <c r="AD128" i="46"/>
  <c r="AF120" i="46"/>
  <c r="V120" i="45"/>
  <c r="AD177" i="46"/>
  <c r="AE177" i="46" s="1"/>
  <c r="V177" i="45" s="1"/>
  <c r="AE115" i="46"/>
  <c r="AF110" i="46"/>
  <c r="V110" i="45"/>
  <c r="AD155" i="46"/>
  <c r="AE155" i="46" s="1"/>
  <c r="V155" i="45" s="1"/>
  <c r="AE93" i="46"/>
  <c r="AF88" i="46"/>
  <c r="V88" i="45"/>
  <c r="AG158" i="46"/>
  <c r="AH96" i="46"/>
  <c r="AD141" i="46"/>
  <c r="AE141" i="46" s="1"/>
  <c r="V141" i="45" s="1"/>
  <c r="AE79" i="46"/>
  <c r="AD138" i="46"/>
  <c r="AE138" i="46" s="1"/>
  <c r="V138" i="45" s="1"/>
  <c r="AE76" i="46"/>
  <c r="AF82" i="46"/>
  <c r="V82" i="45"/>
  <c r="W15" i="45" l="1"/>
  <c r="W7" i="45"/>
  <c r="W14" i="45"/>
  <c r="AH117" i="46"/>
  <c r="AI117" i="46" s="1"/>
  <c r="AF153" i="46"/>
  <c r="AL48" i="46"/>
  <c r="AL58" i="46"/>
  <c r="AL50" i="46"/>
  <c r="AL51" i="46"/>
  <c r="W52" i="45"/>
  <c r="AK52" i="46"/>
  <c r="AD67" i="46"/>
  <c r="AL49" i="46"/>
  <c r="AL59" i="46"/>
  <c r="AL7" i="46"/>
  <c r="AL44" i="46"/>
  <c r="AL41" i="46"/>
  <c r="AL40" i="46"/>
  <c r="AL29" i="46"/>
  <c r="AL25" i="46"/>
  <c r="AL47" i="46"/>
  <c r="AL6" i="46"/>
  <c r="AL37" i="46"/>
  <c r="AL8" i="46"/>
  <c r="AL38" i="46"/>
  <c r="AL21" i="46"/>
  <c r="AL35" i="46"/>
  <c r="AL14" i="46"/>
  <c r="AL9" i="46"/>
  <c r="AL36" i="46"/>
  <c r="AL19" i="46"/>
  <c r="AL10" i="46"/>
  <c r="AL20" i="46"/>
  <c r="AL42" i="46"/>
  <c r="AL39" i="46"/>
  <c r="AL15" i="46"/>
  <c r="AL11" i="46"/>
  <c r="AL45" i="46"/>
  <c r="AL24" i="46"/>
  <c r="AL46" i="46"/>
  <c r="AL43" i="46"/>
  <c r="AL27" i="46"/>
  <c r="W23" i="45"/>
  <c r="AK23" i="46"/>
  <c r="AL22" i="46"/>
  <c r="AL12" i="46"/>
  <c r="AE68" i="46"/>
  <c r="AE67" i="46"/>
  <c r="V67" i="45" s="1"/>
  <c r="AD68" i="46"/>
  <c r="W35" i="45"/>
  <c r="AG153" i="46"/>
  <c r="AF4" i="46"/>
  <c r="V4" i="45"/>
  <c r="AE62" i="46"/>
  <c r="V62" i="45" s="1"/>
  <c r="AH113" i="46"/>
  <c r="AH175" i="46" s="1"/>
  <c r="AG167" i="46"/>
  <c r="AG149" i="46"/>
  <c r="V130" i="45"/>
  <c r="AF130" i="46"/>
  <c r="AG130" i="46" s="1"/>
  <c r="AG131" i="46"/>
  <c r="AH91" i="46"/>
  <c r="AH153" i="46" s="1"/>
  <c r="AE64" i="46"/>
  <c r="AD80" i="17"/>
  <c r="AF189" i="46"/>
  <c r="AG127" i="46"/>
  <c r="AF104" i="46"/>
  <c r="V104" i="45"/>
  <c r="AF107" i="46"/>
  <c r="V107" i="45"/>
  <c r="AF126" i="46"/>
  <c r="V126" i="45"/>
  <c r="AH167" i="46"/>
  <c r="AI105" i="46"/>
  <c r="AF176" i="46"/>
  <c r="AG114" i="46"/>
  <c r="AF79" i="46"/>
  <c r="V79" i="45"/>
  <c r="AF150" i="46"/>
  <c r="AG88" i="46"/>
  <c r="AF95" i="46"/>
  <c r="V95" i="45"/>
  <c r="AF89" i="46"/>
  <c r="V89" i="45"/>
  <c r="AF168" i="46"/>
  <c r="AG106" i="46"/>
  <c r="AF116" i="46"/>
  <c r="V116" i="45"/>
  <c r="AH149" i="46"/>
  <c r="AI87" i="46"/>
  <c r="AF108" i="46"/>
  <c r="V108" i="45"/>
  <c r="AF93" i="46"/>
  <c r="V93" i="45"/>
  <c r="AF172" i="46"/>
  <c r="AG110" i="46"/>
  <c r="AF182" i="46"/>
  <c r="AG120" i="46"/>
  <c r="AF154" i="46"/>
  <c r="AG92" i="46"/>
  <c r="AF181" i="46"/>
  <c r="AG119" i="46"/>
  <c r="AH171" i="46"/>
  <c r="AI109" i="46"/>
  <c r="AF73" i="46"/>
  <c r="V73" i="45"/>
  <c r="AF140" i="46"/>
  <c r="AG78" i="46"/>
  <c r="AF111" i="46"/>
  <c r="V111" i="45"/>
  <c r="AF90" i="46"/>
  <c r="V90" i="45"/>
  <c r="AF112" i="46"/>
  <c r="V112" i="45"/>
  <c r="AG72" i="46"/>
  <c r="AF187" i="46"/>
  <c r="AG125" i="46"/>
  <c r="AF144" i="46"/>
  <c r="AG82" i="46"/>
  <c r="AF76" i="46"/>
  <c r="V76" i="45"/>
  <c r="AH158" i="46"/>
  <c r="AI96" i="46"/>
  <c r="AF115" i="46"/>
  <c r="V115" i="45"/>
  <c r="AD190" i="46"/>
  <c r="AE190" i="46" s="1"/>
  <c r="V190" i="45" s="1"/>
  <c r="AE128" i="46"/>
  <c r="AF103" i="46"/>
  <c r="V103" i="45"/>
  <c r="AF77" i="46"/>
  <c r="V77" i="45"/>
  <c r="AF75" i="46"/>
  <c r="V75" i="45"/>
  <c r="AF159" i="46"/>
  <c r="AG97" i="46"/>
  <c r="AF180" i="46"/>
  <c r="AG118" i="46"/>
  <c r="AF83" i="46"/>
  <c r="V83" i="45"/>
  <c r="AH142" i="46"/>
  <c r="AI80" i="46"/>
  <c r="AF136" i="46"/>
  <c r="AG74" i="46"/>
  <c r="AH179" i="46" l="1"/>
  <c r="AD69" i="46"/>
  <c r="AM49" i="46"/>
  <c r="AM50" i="46"/>
  <c r="AM48" i="46"/>
  <c r="AM51" i="46"/>
  <c r="AM59" i="46"/>
  <c r="AL52" i="46"/>
  <c r="AM58" i="46"/>
  <c r="AM11" i="46"/>
  <c r="AM9" i="46"/>
  <c r="AM21" i="46"/>
  <c r="AM25" i="46"/>
  <c r="AM43" i="46"/>
  <c r="AM24" i="46"/>
  <c r="AM39" i="46"/>
  <c r="AM20" i="46"/>
  <c r="AM19" i="46"/>
  <c r="AM35" i="46"/>
  <c r="AM8" i="46"/>
  <c r="AM6" i="46"/>
  <c r="AM40" i="46"/>
  <c r="AM44" i="46"/>
  <c r="AM46" i="46"/>
  <c r="AM42" i="46"/>
  <c r="AM14" i="46"/>
  <c r="AM38" i="46"/>
  <c r="AM7" i="46"/>
  <c r="AM45" i="46"/>
  <c r="AM15" i="46"/>
  <c r="AM10" i="46"/>
  <c r="AM36" i="46"/>
  <c r="AM37" i="46"/>
  <c r="AM47" i="46"/>
  <c r="AM29" i="46"/>
  <c r="AM41" i="46"/>
  <c r="AM27" i="46"/>
  <c r="AL23" i="46"/>
  <c r="AM22" i="46"/>
  <c r="AM12" i="46"/>
  <c r="AF68" i="46"/>
  <c r="AF67" i="46"/>
  <c r="AJ5" i="46"/>
  <c r="AG4" i="46"/>
  <c r="AE69" i="46"/>
  <c r="AF134" i="46"/>
  <c r="V68" i="45"/>
  <c r="V69" i="45" s="1"/>
  <c r="AI113" i="46"/>
  <c r="AI175" i="46" s="1"/>
  <c r="AJ175" i="46" s="1"/>
  <c r="W175" i="45" s="1"/>
  <c r="AI91" i="46"/>
  <c r="AI153" i="46" s="1"/>
  <c r="AJ153" i="46" s="1"/>
  <c r="W153" i="45" s="1"/>
  <c r="AH131" i="46"/>
  <c r="AH130" i="46"/>
  <c r="AE65" i="46"/>
  <c r="V64" i="45"/>
  <c r="V65" i="45" s="1"/>
  <c r="AF139" i="46"/>
  <c r="AG77" i="46"/>
  <c r="AF138" i="46"/>
  <c r="AG76" i="46"/>
  <c r="AF152" i="46"/>
  <c r="AG90" i="46"/>
  <c r="AF151" i="46"/>
  <c r="AG89" i="46"/>
  <c r="AF188" i="46"/>
  <c r="AG126" i="46"/>
  <c r="AG187" i="46"/>
  <c r="AH125" i="46"/>
  <c r="AG181" i="46"/>
  <c r="AH119" i="46"/>
  <c r="AG182" i="46"/>
  <c r="AH120" i="46"/>
  <c r="AG168" i="46"/>
  <c r="AH106" i="46"/>
  <c r="AG176" i="46"/>
  <c r="AH114" i="46"/>
  <c r="AI158" i="46"/>
  <c r="AJ158" i="46" s="1"/>
  <c r="W158" i="45" s="1"/>
  <c r="AJ96" i="46"/>
  <c r="AF145" i="46"/>
  <c r="AG83" i="46"/>
  <c r="AF137" i="46"/>
  <c r="AG75" i="46"/>
  <c r="AF165" i="46"/>
  <c r="AG103" i="46"/>
  <c r="AF177" i="46"/>
  <c r="AG115" i="46"/>
  <c r="AF174" i="46"/>
  <c r="AG112" i="46"/>
  <c r="AF173" i="46"/>
  <c r="AG111" i="46"/>
  <c r="AF135" i="46"/>
  <c r="AG73" i="46"/>
  <c r="AF155" i="46"/>
  <c r="AG93" i="46"/>
  <c r="AF170" i="46"/>
  <c r="AG108" i="46"/>
  <c r="AF178" i="46"/>
  <c r="AG116" i="46"/>
  <c r="AF157" i="46"/>
  <c r="AG95" i="46"/>
  <c r="AF141" i="46"/>
  <c r="AG79" i="46"/>
  <c r="AF169" i="46"/>
  <c r="AG107" i="46"/>
  <c r="AF166" i="46"/>
  <c r="AG104" i="46"/>
  <c r="AG159" i="46"/>
  <c r="AH97" i="46"/>
  <c r="AG136" i="46"/>
  <c r="AH74" i="46"/>
  <c r="AI142" i="46"/>
  <c r="AJ80" i="46"/>
  <c r="AG180" i="46"/>
  <c r="AH118" i="46"/>
  <c r="AI179" i="46"/>
  <c r="AJ179" i="46" s="1"/>
  <c r="W179" i="45" s="1"/>
  <c r="AJ117" i="46"/>
  <c r="AF128" i="46"/>
  <c r="V128" i="45"/>
  <c r="AG144" i="46"/>
  <c r="AH82" i="46"/>
  <c r="AH72" i="46"/>
  <c r="AG140" i="46"/>
  <c r="AH78" i="46"/>
  <c r="AI171" i="46"/>
  <c r="AJ171" i="46" s="1"/>
  <c r="W171" i="45" s="1"/>
  <c r="AJ109" i="46"/>
  <c r="AG154" i="46"/>
  <c r="AH92" i="46"/>
  <c r="AG172" i="46"/>
  <c r="AH110" i="46"/>
  <c r="AI149" i="46"/>
  <c r="AJ149" i="46" s="1"/>
  <c r="W149" i="45" s="1"/>
  <c r="AJ87" i="46"/>
  <c r="AG150" i="46"/>
  <c r="AH88" i="46"/>
  <c r="AI167" i="46"/>
  <c r="AJ167" i="46" s="1"/>
  <c r="W167" i="45" s="1"/>
  <c r="AJ105" i="46"/>
  <c r="AG189" i="46"/>
  <c r="AH127" i="46"/>
  <c r="W109" i="45" l="1"/>
  <c r="AK109" i="46"/>
  <c r="W96" i="45"/>
  <c r="AK96" i="46"/>
  <c r="W117" i="45"/>
  <c r="AK117" i="46"/>
  <c r="W80" i="45"/>
  <c r="AK80" i="46"/>
  <c r="W105" i="45"/>
  <c r="AK105" i="46"/>
  <c r="W87" i="45"/>
  <c r="AK87" i="46"/>
  <c r="AN59" i="46"/>
  <c r="AN51" i="46"/>
  <c r="AN50" i="46"/>
  <c r="AN49" i="46"/>
  <c r="AN58" i="46"/>
  <c r="AM52" i="46"/>
  <c r="AN48" i="46"/>
  <c r="AN36" i="46"/>
  <c r="AN14" i="46"/>
  <c r="AN29" i="46"/>
  <c r="AN37" i="46"/>
  <c r="AN46" i="46"/>
  <c r="AN24" i="46"/>
  <c r="AN6" i="46"/>
  <c r="AN20" i="46"/>
  <c r="AN9" i="46"/>
  <c r="AN10" i="46"/>
  <c r="AN45" i="46"/>
  <c r="AN38" i="46"/>
  <c r="AN40" i="46"/>
  <c r="AN8" i="46"/>
  <c r="AN19" i="46"/>
  <c r="AN39" i="46"/>
  <c r="AN21" i="46"/>
  <c r="AN15" i="46"/>
  <c r="AN7" i="46"/>
  <c r="AN44" i="46"/>
  <c r="AN35" i="46"/>
  <c r="W5" i="45"/>
  <c r="AK5" i="46"/>
  <c r="AN41" i="46"/>
  <c r="AN47" i="46"/>
  <c r="AN42" i="46"/>
  <c r="AN43" i="46"/>
  <c r="AN25" i="46"/>
  <c r="AN11" i="46"/>
  <c r="AN27" i="46"/>
  <c r="AM23" i="46"/>
  <c r="AN22" i="46"/>
  <c r="AJ142" i="46"/>
  <c r="W142" i="45" s="1"/>
  <c r="AN12" i="46"/>
  <c r="AG134" i="46"/>
  <c r="AJ91" i="46"/>
  <c r="AJ113" i="46"/>
  <c r="AF69" i="46"/>
  <c r="AH4" i="46"/>
  <c r="AI131" i="46"/>
  <c r="AI130" i="46"/>
  <c r="AF65" i="46"/>
  <c r="AH172" i="46"/>
  <c r="AI110" i="46"/>
  <c r="AI72" i="46"/>
  <c r="AH180" i="46"/>
  <c r="AI118" i="46"/>
  <c r="AH136" i="46"/>
  <c r="AI74" i="46"/>
  <c r="AG157" i="46"/>
  <c r="AH95" i="46"/>
  <c r="AG135" i="46"/>
  <c r="AH73" i="46"/>
  <c r="AG174" i="46"/>
  <c r="AH112" i="46"/>
  <c r="AG145" i="46"/>
  <c r="AH83" i="46"/>
  <c r="AH181" i="46"/>
  <c r="AI119" i="46"/>
  <c r="AH187" i="46"/>
  <c r="AI125" i="46"/>
  <c r="AG151" i="46"/>
  <c r="AH89" i="46"/>
  <c r="AG166" i="46"/>
  <c r="AH104" i="46"/>
  <c r="AH168" i="46"/>
  <c r="AI106" i="46"/>
  <c r="AG141" i="46"/>
  <c r="AH79" i="46"/>
  <c r="AG170" i="46"/>
  <c r="AH108" i="46"/>
  <c r="AH182" i="46"/>
  <c r="AI120" i="46"/>
  <c r="AG152" i="46"/>
  <c r="AH90" i="46"/>
  <c r="AG138" i="46"/>
  <c r="AH76" i="46"/>
  <c r="AG139" i="46"/>
  <c r="AH77" i="46"/>
  <c r="AH150" i="46"/>
  <c r="AI88" i="46"/>
  <c r="AF190" i="46"/>
  <c r="AF191" i="46" s="1"/>
  <c r="AG128" i="46"/>
  <c r="AG177" i="46"/>
  <c r="AH115" i="46"/>
  <c r="AG137" i="46"/>
  <c r="AH75" i="46"/>
  <c r="AH154" i="46"/>
  <c r="AI92" i="46"/>
  <c r="AH140" i="46"/>
  <c r="AI78" i="46"/>
  <c r="AH144" i="46"/>
  <c r="AI82" i="46"/>
  <c r="AH159" i="46"/>
  <c r="AI97" i="46"/>
  <c r="AG173" i="46"/>
  <c r="AH111" i="46"/>
  <c r="AH189" i="46"/>
  <c r="AI127" i="46"/>
  <c r="AG169" i="46"/>
  <c r="AH107" i="46"/>
  <c r="AG178" i="46"/>
  <c r="AH116" i="46"/>
  <c r="AG155" i="46"/>
  <c r="AH93" i="46"/>
  <c r="AG165" i="46"/>
  <c r="AH103" i="46"/>
  <c r="AH176" i="46"/>
  <c r="AI114" i="46"/>
  <c r="AG188" i="46"/>
  <c r="AH126" i="46"/>
  <c r="AH68" i="46" l="1"/>
  <c r="AH67" i="46"/>
  <c r="AL96" i="46"/>
  <c r="AK158" i="46"/>
  <c r="AL80" i="46"/>
  <c r="AK142" i="46"/>
  <c r="W113" i="45"/>
  <c r="AK113" i="46"/>
  <c r="AL105" i="46"/>
  <c r="AK167" i="46"/>
  <c r="AL117" i="46"/>
  <c r="AK179" i="46"/>
  <c r="AL109" i="46"/>
  <c r="AK171" i="46"/>
  <c r="AL87" i="46"/>
  <c r="AK149" i="46"/>
  <c r="W91" i="45"/>
  <c r="AK91" i="46"/>
  <c r="AO51" i="46"/>
  <c r="AP51" i="46" s="1"/>
  <c r="AQ51" i="46" s="1"/>
  <c r="AR51" i="46" s="1"/>
  <c r="AO57" i="46"/>
  <c r="AO48" i="46"/>
  <c r="AP48" i="46" s="1"/>
  <c r="AQ48" i="46" s="1"/>
  <c r="AR48" i="46" s="1"/>
  <c r="AO58" i="46"/>
  <c r="AP58" i="46" s="1"/>
  <c r="AQ58" i="46" s="1"/>
  <c r="AR58" i="46" s="1"/>
  <c r="AS58" i="46" s="1"/>
  <c r="AT58" i="46" s="1"/>
  <c r="AO50" i="46"/>
  <c r="AP50" i="46" s="1"/>
  <c r="AQ50" i="46" s="1"/>
  <c r="AR50" i="46" s="1"/>
  <c r="AO59" i="46"/>
  <c r="AP59" i="46" s="1"/>
  <c r="AQ59" i="46" s="1"/>
  <c r="AR59" i="46" s="1"/>
  <c r="AN52" i="46"/>
  <c r="AO49" i="46"/>
  <c r="AP49" i="46" s="1"/>
  <c r="AQ49" i="46" s="1"/>
  <c r="AR49" i="46" s="1"/>
  <c r="AO11" i="46"/>
  <c r="AP11" i="46" s="1"/>
  <c r="AQ11" i="46" s="1"/>
  <c r="AR11" i="46" s="1"/>
  <c r="AO43" i="46"/>
  <c r="AP43" i="46" s="1"/>
  <c r="AQ43" i="46" s="1"/>
  <c r="AR43" i="46" s="1"/>
  <c r="AO47" i="46"/>
  <c r="AP47" i="46" s="1"/>
  <c r="AQ47" i="46" s="1"/>
  <c r="AR47" i="46" s="1"/>
  <c r="AO44" i="46"/>
  <c r="AP44" i="46" s="1"/>
  <c r="AQ44" i="46" s="1"/>
  <c r="AR44" i="46" s="1"/>
  <c r="AO15" i="46"/>
  <c r="AP15" i="46" s="1"/>
  <c r="AQ15" i="46" s="1"/>
  <c r="AR15" i="46" s="1"/>
  <c r="AO39" i="46"/>
  <c r="AP39" i="46" s="1"/>
  <c r="AQ39" i="46" s="1"/>
  <c r="AR39" i="46" s="1"/>
  <c r="AO8" i="46"/>
  <c r="AP8" i="46" s="1"/>
  <c r="AQ8" i="46" s="1"/>
  <c r="AR8" i="46" s="1"/>
  <c r="AO38" i="46"/>
  <c r="AP38" i="46" s="1"/>
  <c r="AQ38" i="46" s="1"/>
  <c r="AR38" i="46" s="1"/>
  <c r="AO10" i="46"/>
  <c r="AP10" i="46" s="1"/>
  <c r="AQ10" i="46" s="1"/>
  <c r="AO20" i="46"/>
  <c r="AP20" i="46" s="1"/>
  <c r="AQ20" i="46" s="1"/>
  <c r="AR20" i="46" s="1"/>
  <c r="AO24" i="46"/>
  <c r="AP24" i="46" s="1"/>
  <c r="AQ24" i="46" s="1"/>
  <c r="AR24" i="46" s="1"/>
  <c r="AO37" i="46"/>
  <c r="AP37" i="46" s="1"/>
  <c r="AQ37" i="46" s="1"/>
  <c r="AR37" i="46" s="1"/>
  <c r="AO14" i="46"/>
  <c r="AP14" i="46" s="1"/>
  <c r="AQ14" i="46" s="1"/>
  <c r="AR14" i="46" s="1"/>
  <c r="AL5" i="46"/>
  <c r="AO25" i="46"/>
  <c r="AP25" i="46" s="1"/>
  <c r="AQ25" i="46" s="1"/>
  <c r="AR25" i="46" s="1"/>
  <c r="AO42" i="46"/>
  <c r="AP42" i="46" s="1"/>
  <c r="AQ42" i="46" s="1"/>
  <c r="AR42" i="46" s="1"/>
  <c r="AO41" i="46"/>
  <c r="AP41" i="46" s="1"/>
  <c r="AQ41" i="46" s="1"/>
  <c r="AR41" i="46" s="1"/>
  <c r="AO35" i="46"/>
  <c r="AP35" i="46" s="1"/>
  <c r="AQ35" i="46" s="1"/>
  <c r="AR35" i="46" s="1"/>
  <c r="AO7" i="46"/>
  <c r="AP7" i="46" s="1"/>
  <c r="AQ7" i="46" s="1"/>
  <c r="AR7" i="46" s="1"/>
  <c r="AO21" i="46"/>
  <c r="AP21" i="46" s="1"/>
  <c r="AQ21" i="46" s="1"/>
  <c r="AR21" i="46" s="1"/>
  <c r="AO19" i="46"/>
  <c r="AP19" i="46" s="1"/>
  <c r="AQ19" i="46" s="1"/>
  <c r="AR19" i="46" s="1"/>
  <c r="AO40" i="46"/>
  <c r="AP40" i="46" s="1"/>
  <c r="AQ40" i="46" s="1"/>
  <c r="AR40" i="46" s="1"/>
  <c r="AO45" i="46"/>
  <c r="AP45" i="46" s="1"/>
  <c r="AQ45" i="46" s="1"/>
  <c r="AR45" i="46" s="1"/>
  <c r="AO9" i="46"/>
  <c r="AP9" i="46" s="1"/>
  <c r="AQ9" i="46" s="1"/>
  <c r="AO6" i="46"/>
  <c r="AP6" i="46" s="1"/>
  <c r="AQ6" i="46" s="1"/>
  <c r="AR6" i="46" s="1"/>
  <c r="AO46" i="46"/>
  <c r="AP46" i="46" s="1"/>
  <c r="AQ46" i="46" s="1"/>
  <c r="AR46" i="46" s="1"/>
  <c r="AO29" i="46"/>
  <c r="AP29" i="46" s="1"/>
  <c r="AQ29" i="46" s="1"/>
  <c r="AR29" i="46" s="1"/>
  <c r="AO36" i="46"/>
  <c r="AP36" i="46" s="1"/>
  <c r="AQ36" i="46" s="1"/>
  <c r="AR36" i="46" s="1"/>
  <c r="AO28" i="46"/>
  <c r="AO27" i="46"/>
  <c r="AP27" i="46" s="1"/>
  <c r="AQ27" i="46" s="1"/>
  <c r="AR27" i="46" s="1"/>
  <c r="AN23" i="46"/>
  <c r="AO22" i="46"/>
  <c r="AP22" i="46" s="1"/>
  <c r="AQ22" i="46" s="1"/>
  <c r="AR22" i="46" s="1"/>
  <c r="AO12" i="46"/>
  <c r="AP12" i="46" s="1"/>
  <c r="AQ12" i="46" s="1"/>
  <c r="AR12" i="46" s="1"/>
  <c r="AI4" i="46"/>
  <c r="AI134" i="46" s="1"/>
  <c r="AH134" i="46"/>
  <c r="AJ131" i="46"/>
  <c r="AK131" i="46" s="1"/>
  <c r="AJ130" i="46"/>
  <c r="AK130" i="46" s="1"/>
  <c r="AH138" i="46"/>
  <c r="AI76" i="46"/>
  <c r="AH166" i="46"/>
  <c r="AI104" i="46"/>
  <c r="AH174" i="46"/>
  <c r="AI112" i="46"/>
  <c r="AH169" i="46"/>
  <c r="AI107" i="46"/>
  <c r="AI140" i="46"/>
  <c r="AJ140" i="46" s="1"/>
  <c r="W140" i="45" s="1"/>
  <c r="AJ78" i="46"/>
  <c r="AH137" i="46"/>
  <c r="AI75" i="46"/>
  <c r="AI182" i="46"/>
  <c r="AJ182" i="46" s="1"/>
  <c r="W182" i="45" s="1"/>
  <c r="AJ120" i="46"/>
  <c r="AI168" i="46"/>
  <c r="AJ168" i="46" s="1"/>
  <c r="W168" i="45" s="1"/>
  <c r="AJ106" i="46"/>
  <c r="AI176" i="46"/>
  <c r="AJ176" i="46" s="1"/>
  <c r="W176" i="45" s="1"/>
  <c r="AJ114" i="46"/>
  <c r="AI150" i="46"/>
  <c r="AJ150" i="46" s="1"/>
  <c r="W150" i="45" s="1"/>
  <c r="AJ88" i="46"/>
  <c r="AH151" i="46"/>
  <c r="AI89" i="46"/>
  <c r="AH145" i="46"/>
  <c r="AI83" i="46"/>
  <c r="AI180" i="46"/>
  <c r="AJ180" i="46" s="1"/>
  <c r="W180" i="45" s="1"/>
  <c r="AJ118" i="46"/>
  <c r="AH128" i="46"/>
  <c r="AH139" i="46"/>
  <c r="AI77" i="46"/>
  <c r="AH152" i="46"/>
  <c r="AI90" i="46"/>
  <c r="AH141" i="46"/>
  <c r="AI79" i="46"/>
  <c r="AI181" i="46"/>
  <c r="AJ181" i="46" s="1"/>
  <c r="W181" i="45" s="1"/>
  <c r="AJ119" i="46"/>
  <c r="AH135" i="46"/>
  <c r="AI73" i="46"/>
  <c r="AH157" i="46"/>
  <c r="AI95" i="46"/>
  <c r="AI136" i="46"/>
  <c r="AJ136" i="46" s="1"/>
  <c r="W136" i="45" s="1"/>
  <c r="AJ74" i="46"/>
  <c r="AI172" i="46"/>
  <c r="AJ172" i="46" s="1"/>
  <c r="W172" i="45" s="1"/>
  <c r="AJ110" i="46"/>
  <c r="AH173" i="46"/>
  <c r="AI111" i="46"/>
  <c r="AH170" i="46"/>
  <c r="AI108" i="46"/>
  <c r="AI187" i="46"/>
  <c r="AJ187" i="46" s="1"/>
  <c r="W187" i="45" s="1"/>
  <c r="AJ125" i="46"/>
  <c r="AH188" i="46"/>
  <c r="AI126" i="46"/>
  <c r="AH165" i="46"/>
  <c r="AI103" i="46"/>
  <c r="AH178" i="46"/>
  <c r="AI116" i="46"/>
  <c r="AH155" i="46"/>
  <c r="AI93" i="46"/>
  <c r="AI189" i="46"/>
  <c r="AJ189" i="46" s="1"/>
  <c r="W189" i="45" s="1"/>
  <c r="AJ127" i="46"/>
  <c r="AI159" i="46"/>
  <c r="AJ159" i="46" s="1"/>
  <c r="W159" i="45" s="1"/>
  <c r="AJ97" i="46"/>
  <c r="AI144" i="46"/>
  <c r="AJ144" i="46" s="1"/>
  <c r="W144" i="45" s="1"/>
  <c r="AJ82" i="46"/>
  <c r="AI154" i="46"/>
  <c r="AJ154" i="46" s="1"/>
  <c r="W154" i="45" s="1"/>
  <c r="AJ92" i="46"/>
  <c r="AH177" i="46"/>
  <c r="AI115" i="46"/>
  <c r="AJ72" i="46"/>
  <c r="Y9" i="45" l="1"/>
  <c r="AU9" i="46"/>
  <c r="AV9" i="46" s="1"/>
  <c r="AW9" i="46" s="1"/>
  <c r="AX9" i="46" s="1"/>
  <c r="AY9" i="46" s="1"/>
  <c r="AS19" i="46"/>
  <c r="AT19" i="46" s="1"/>
  <c r="AR10" i="46"/>
  <c r="AS27" i="46"/>
  <c r="AT27" i="46" s="1"/>
  <c r="AS46" i="46"/>
  <c r="AT46" i="46" s="1"/>
  <c r="AS40" i="46"/>
  <c r="AT40" i="46" s="1"/>
  <c r="AS35" i="46"/>
  <c r="AT35" i="46" s="1"/>
  <c r="AS20" i="46"/>
  <c r="AT20" i="46" s="1"/>
  <c r="AS39" i="46"/>
  <c r="AT39" i="46" s="1"/>
  <c r="AS43" i="46"/>
  <c r="AT43" i="46" s="1"/>
  <c r="AS59" i="46"/>
  <c r="AT59" i="46" s="1"/>
  <c r="AS6" i="46"/>
  <c r="AT6" i="46" s="1"/>
  <c r="AS11" i="46"/>
  <c r="AT11" i="46" s="1"/>
  <c r="AS12" i="46"/>
  <c r="AT12" i="46" s="1"/>
  <c r="AS14" i="46"/>
  <c r="AS15" i="46"/>
  <c r="AT15" i="46" s="1"/>
  <c r="AS50" i="46"/>
  <c r="AT50" i="46" s="1"/>
  <c r="AS22" i="46"/>
  <c r="AT22" i="46" s="1"/>
  <c r="AS21" i="46"/>
  <c r="AT21" i="46" s="1"/>
  <c r="AS42" i="46"/>
  <c r="AT42" i="46" s="1"/>
  <c r="AS37" i="46"/>
  <c r="AT37" i="46" s="1"/>
  <c r="AS38" i="46"/>
  <c r="AT38" i="46" s="1"/>
  <c r="AS44" i="46"/>
  <c r="AT44" i="46" s="1"/>
  <c r="AS49" i="46"/>
  <c r="AT49" i="46" s="1"/>
  <c r="AS41" i="46"/>
  <c r="AT41" i="46" s="1"/>
  <c r="AS51" i="46"/>
  <c r="AT51" i="46" s="1"/>
  <c r="AS36" i="46"/>
  <c r="AT36" i="46" s="1"/>
  <c r="AS29" i="46"/>
  <c r="AT29" i="46" s="1"/>
  <c r="AS45" i="46"/>
  <c r="AT45" i="46" s="1"/>
  <c r="AS7" i="46"/>
  <c r="AT7" i="46" s="1"/>
  <c r="AS25" i="46"/>
  <c r="AT25" i="46" s="1"/>
  <c r="AS24" i="46"/>
  <c r="AT24" i="46" s="1"/>
  <c r="AS8" i="46"/>
  <c r="AT8" i="46" s="1"/>
  <c r="AS47" i="46"/>
  <c r="AT47" i="46" s="1"/>
  <c r="AS48" i="46"/>
  <c r="AT48" i="46" s="1"/>
  <c r="AL130" i="46"/>
  <c r="AM130" i="46" s="1"/>
  <c r="AN130" i="46" s="1"/>
  <c r="AL131" i="46"/>
  <c r="AM131" i="46" s="1"/>
  <c r="AN131" i="46" s="1"/>
  <c r="W125" i="45"/>
  <c r="AK125" i="46"/>
  <c r="W119" i="45"/>
  <c r="AK119" i="46"/>
  <c r="W127" i="45"/>
  <c r="AK127" i="46"/>
  <c r="W118" i="45"/>
  <c r="AK118" i="46"/>
  <c r="W120" i="45"/>
  <c r="AK120" i="46"/>
  <c r="AL113" i="46"/>
  <c r="AK175" i="46"/>
  <c r="W74" i="45"/>
  <c r="AK74" i="46"/>
  <c r="W114" i="45"/>
  <c r="AK114" i="46"/>
  <c r="AM87" i="46"/>
  <c r="AL149" i="46"/>
  <c r="AM117" i="46"/>
  <c r="AL179" i="46"/>
  <c r="AM96" i="46"/>
  <c r="AL158" i="46"/>
  <c r="W72" i="45"/>
  <c r="AK72" i="46"/>
  <c r="AL72" i="46" s="1"/>
  <c r="AM72" i="46" s="1"/>
  <c r="AN72" i="46" s="1"/>
  <c r="AO72" i="46" s="1"/>
  <c r="AP72" i="46" s="1"/>
  <c r="W92" i="45"/>
  <c r="AK92" i="46"/>
  <c r="W97" i="45"/>
  <c r="AK97" i="46"/>
  <c r="W88" i="45"/>
  <c r="AK88" i="46"/>
  <c r="W78" i="45"/>
  <c r="AK78" i="46"/>
  <c r="AL91" i="46"/>
  <c r="AK153" i="46"/>
  <c r="W82" i="45"/>
  <c r="AK82" i="46"/>
  <c r="W110" i="45"/>
  <c r="AK110" i="46"/>
  <c r="W106" i="45"/>
  <c r="AK106" i="46"/>
  <c r="AM109" i="46"/>
  <c r="AL171" i="46"/>
  <c r="AM105" i="46"/>
  <c r="AL167" i="46"/>
  <c r="AM80" i="46"/>
  <c r="AL142" i="46"/>
  <c r="X57" i="45"/>
  <c r="AC57" i="45" s="1"/>
  <c r="AD57" i="45" s="1"/>
  <c r="AE57" i="45" s="1"/>
  <c r="AF57" i="45" s="1"/>
  <c r="AO52" i="46"/>
  <c r="AP52" i="46" s="1"/>
  <c r="AQ52" i="46" s="1"/>
  <c r="AR52" i="46" s="1"/>
  <c r="X50" i="45"/>
  <c r="X48" i="45"/>
  <c r="X51" i="45"/>
  <c r="X58" i="45"/>
  <c r="X49" i="45"/>
  <c r="X59" i="45"/>
  <c r="X43" i="45"/>
  <c r="AM5" i="46"/>
  <c r="X47" i="45"/>
  <c r="X11" i="45"/>
  <c r="X36" i="45"/>
  <c r="X46" i="45"/>
  <c r="X9" i="45"/>
  <c r="X40" i="45"/>
  <c r="X21" i="45"/>
  <c r="X35" i="45"/>
  <c r="X42" i="45"/>
  <c r="X37" i="45"/>
  <c r="X20" i="45"/>
  <c r="X38" i="45"/>
  <c r="X39" i="45"/>
  <c r="X44" i="45"/>
  <c r="X29" i="45"/>
  <c r="X6" i="45"/>
  <c r="X45" i="45"/>
  <c r="X19" i="45"/>
  <c r="X7" i="45"/>
  <c r="X41" i="45"/>
  <c r="X25" i="45"/>
  <c r="X14" i="45"/>
  <c r="X24" i="45"/>
  <c r="X10" i="45"/>
  <c r="X8" i="45"/>
  <c r="X15" i="45"/>
  <c r="X28" i="45"/>
  <c r="X27" i="45"/>
  <c r="AO23" i="46"/>
  <c r="AP23" i="46" s="1"/>
  <c r="AQ23" i="46" s="1"/>
  <c r="AR23" i="46" s="1"/>
  <c r="X22" i="45"/>
  <c r="X12" i="45"/>
  <c r="AJ134" i="46"/>
  <c r="W134" i="45" s="1"/>
  <c r="AJ4" i="46"/>
  <c r="W131" i="45"/>
  <c r="W130" i="45"/>
  <c r="AI169" i="46"/>
  <c r="AJ169" i="46" s="1"/>
  <c r="W169" i="45" s="1"/>
  <c r="AJ107" i="46"/>
  <c r="AI178" i="46"/>
  <c r="AJ178" i="46" s="1"/>
  <c r="W178" i="45" s="1"/>
  <c r="AJ116" i="46"/>
  <c r="AI188" i="46"/>
  <c r="AJ188" i="46" s="1"/>
  <c r="W188" i="45" s="1"/>
  <c r="AJ126" i="46"/>
  <c r="AI177" i="46"/>
  <c r="AJ177" i="46" s="1"/>
  <c r="W177" i="45" s="1"/>
  <c r="AJ115" i="46"/>
  <c r="AI155" i="46"/>
  <c r="AJ155" i="46" s="1"/>
  <c r="W155" i="45" s="1"/>
  <c r="AJ93" i="46"/>
  <c r="AI170" i="46"/>
  <c r="AJ170" i="46" s="1"/>
  <c r="W170" i="45" s="1"/>
  <c r="AJ108" i="46"/>
  <c r="AI173" i="46"/>
  <c r="AJ173" i="46" s="1"/>
  <c r="W173" i="45" s="1"/>
  <c r="AJ111" i="46"/>
  <c r="AI139" i="46"/>
  <c r="AJ139" i="46" s="1"/>
  <c r="W139" i="45" s="1"/>
  <c r="AJ77" i="46"/>
  <c r="AI145" i="46"/>
  <c r="AJ145" i="46" s="1"/>
  <c r="W145" i="45" s="1"/>
  <c r="AJ83" i="46"/>
  <c r="AI166" i="46"/>
  <c r="AJ166" i="46" s="1"/>
  <c r="W166" i="45" s="1"/>
  <c r="AJ104" i="46"/>
  <c r="AI138" i="46"/>
  <c r="AJ138" i="46" s="1"/>
  <c r="W138" i="45" s="1"/>
  <c r="AJ76" i="46"/>
  <c r="AI135" i="46"/>
  <c r="AJ135" i="46" s="1"/>
  <c r="W135" i="45" s="1"/>
  <c r="AJ73" i="46"/>
  <c r="AI165" i="46"/>
  <c r="AJ165" i="46" s="1"/>
  <c r="W165" i="45" s="1"/>
  <c r="AJ103" i="46"/>
  <c r="AI157" i="46"/>
  <c r="AJ157" i="46" s="1"/>
  <c r="W157" i="45" s="1"/>
  <c r="AJ95" i="46"/>
  <c r="AI137" i="46"/>
  <c r="AJ137" i="46" s="1"/>
  <c r="W137" i="45" s="1"/>
  <c r="AJ75" i="46"/>
  <c r="AI141" i="46"/>
  <c r="AJ141" i="46" s="1"/>
  <c r="W141" i="45" s="1"/>
  <c r="AJ79" i="46"/>
  <c r="AI152" i="46"/>
  <c r="AJ90" i="46"/>
  <c r="AI128" i="46"/>
  <c r="AI151" i="46"/>
  <c r="AJ151" i="46" s="1"/>
  <c r="W151" i="45" s="1"/>
  <c r="AJ89" i="46"/>
  <c r="AI174" i="46"/>
  <c r="AJ174" i="46" s="1"/>
  <c r="W174" i="45" s="1"/>
  <c r="AJ112" i="46"/>
  <c r="Z9" i="45" l="1"/>
  <c r="AZ9" i="46"/>
  <c r="BA9" i="46" s="1"/>
  <c r="BB9" i="46" s="1"/>
  <c r="BC9" i="46" s="1"/>
  <c r="BD9" i="46" s="1"/>
  <c r="AT14" i="46"/>
  <c r="AU14" i="46" s="1"/>
  <c r="AV14" i="46" s="1"/>
  <c r="AW14" i="46" s="1"/>
  <c r="AX14" i="46" s="1"/>
  <c r="Y47" i="45"/>
  <c r="AU47" i="46"/>
  <c r="AV47" i="46" s="1"/>
  <c r="AW47" i="46" s="1"/>
  <c r="AX47" i="46" s="1"/>
  <c r="AY47" i="46" s="1"/>
  <c r="Y7" i="45"/>
  <c r="AU7" i="46"/>
  <c r="AV7" i="46" s="1"/>
  <c r="AW7" i="46" s="1"/>
  <c r="AX7" i="46" s="1"/>
  <c r="AY7" i="46" s="1"/>
  <c r="Y51" i="45"/>
  <c r="AU51" i="46"/>
  <c r="AV51" i="46" s="1"/>
  <c r="AW51" i="46" s="1"/>
  <c r="AX51" i="46" s="1"/>
  <c r="AY51" i="46" s="1"/>
  <c r="Y44" i="45"/>
  <c r="AU44" i="46"/>
  <c r="AV44" i="46" s="1"/>
  <c r="AW44" i="46" s="1"/>
  <c r="AX44" i="46" s="1"/>
  <c r="AY44" i="46" s="1"/>
  <c r="Y21" i="45"/>
  <c r="AU21" i="46"/>
  <c r="AV21" i="46" s="1"/>
  <c r="AW21" i="46" s="1"/>
  <c r="AX21" i="46" s="1"/>
  <c r="AY21" i="46" s="1"/>
  <c r="Y59" i="45"/>
  <c r="AU59" i="46"/>
  <c r="AV59" i="46" s="1"/>
  <c r="AW59" i="46" s="1"/>
  <c r="AX59" i="46" s="1"/>
  <c r="AY59" i="46" s="1"/>
  <c r="Y35" i="45"/>
  <c r="AU35" i="46"/>
  <c r="AV35" i="46" s="1"/>
  <c r="AW35" i="46" s="1"/>
  <c r="AX35" i="46" s="1"/>
  <c r="AY35" i="46" s="1"/>
  <c r="Y8" i="45"/>
  <c r="AU8" i="46"/>
  <c r="AV8" i="46" s="1"/>
  <c r="AW8" i="46" s="1"/>
  <c r="AX8" i="46" s="1"/>
  <c r="AY8" i="46" s="1"/>
  <c r="Y45" i="45"/>
  <c r="AU45" i="46"/>
  <c r="AV45" i="46" s="1"/>
  <c r="AW45" i="46" s="1"/>
  <c r="AX45" i="46" s="1"/>
  <c r="AY45" i="46" s="1"/>
  <c r="Y41" i="45"/>
  <c r="AU41" i="46"/>
  <c r="AV41" i="46" s="1"/>
  <c r="AW41" i="46" s="1"/>
  <c r="AX41" i="46" s="1"/>
  <c r="AY41" i="46" s="1"/>
  <c r="Y38" i="45"/>
  <c r="AU38" i="46"/>
  <c r="AV38" i="46" s="1"/>
  <c r="AW38" i="46" s="1"/>
  <c r="AX38" i="46" s="1"/>
  <c r="AY38" i="46" s="1"/>
  <c r="Y22" i="45"/>
  <c r="AU22" i="46"/>
  <c r="AV22" i="46" s="1"/>
  <c r="AW22" i="46" s="1"/>
  <c r="AX22" i="46" s="1"/>
  <c r="AY22" i="46" s="1"/>
  <c r="Y12" i="45"/>
  <c r="AU12" i="46"/>
  <c r="AV12" i="46" s="1"/>
  <c r="AY12" i="46" s="1"/>
  <c r="Z12" i="45" s="1"/>
  <c r="Y43" i="45"/>
  <c r="AU43" i="46"/>
  <c r="AV43" i="46" s="1"/>
  <c r="AW43" i="46" s="1"/>
  <c r="AX43" i="46" s="1"/>
  <c r="AY43" i="46" s="1"/>
  <c r="Y40" i="45"/>
  <c r="AU40" i="46"/>
  <c r="AV40" i="46" s="1"/>
  <c r="AW40" i="46" s="1"/>
  <c r="AX40" i="46" s="1"/>
  <c r="AY40" i="46" s="1"/>
  <c r="Y19" i="45"/>
  <c r="AU19" i="46"/>
  <c r="AV19" i="46" s="1"/>
  <c r="AW19" i="46" s="1"/>
  <c r="AX19" i="46" s="1"/>
  <c r="AY19" i="46" s="1"/>
  <c r="Y24" i="45"/>
  <c r="AU24" i="46"/>
  <c r="AV24" i="46" s="1"/>
  <c r="AW24" i="46" s="1"/>
  <c r="AX24" i="46" s="1"/>
  <c r="AY24" i="46" s="1"/>
  <c r="Y29" i="45"/>
  <c r="AU29" i="46"/>
  <c r="AV29" i="46" s="1"/>
  <c r="AW29" i="46" s="1"/>
  <c r="AX29" i="46" s="1"/>
  <c r="AY29" i="46" s="1"/>
  <c r="Y58" i="45"/>
  <c r="AU58" i="46"/>
  <c r="AV58" i="46" s="1"/>
  <c r="AW58" i="46" s="1"/>
  <c r="AX58" i="46" s="1"/>
  <c r="AY58" i="46" s="1"/>
  <c r="Y37" i="45"/>
  <c r="AU37" i="46"/>
  <c r="AV37" i="46" s="1"/>
  <c r="AW37" i="46" s="1"/>
  <c r="AX37" i="46" s="1"/>
  <c r="AY37" i="46" s="1"/>
  <c r="Y50" i="45"/>
  <c r="AU50" i="46"/>
  <c r="AV50" i="46" s="1"/>
  <c r="AW50" i="46" s="1"/>
  <c r="AX50" i="46" s="1"/>
  <c r="AY50" i="46" s="1"/>
  <c r="Y11" i="45"/>
  <c r="AW11" i="46"/>
  <c r="AX11" i="46" s="1"/>
  <c r="AY11" i="46" s="1"/>
  <c r="AZ11" i="46" s="1"/>
  <c r="BA11" i="46" s="1"/>
  <c r="BB11" i="46" s="1"/>
  <c r="BC11" i="46" s="1"/>
  <c r="BD11" i="46" s="1"/>
  <c r="Y39" i="45"/>
  <c r="AU39" i="46"/>
  <c r="AV39" i="46" s="1"/>
  <c r="AW39" i="46" s="1"/>
  <c r="AX39" i="46" s="1"/>
  <c r="AY39" i="46" s="1"/>
  <c r="Y46" i="45"/>
  <c r="AU46" i="46"/>
  <c r="AV46" i="46" s="1"/>
  <c r="AW46" i="46" s="1"/>
  <c r="AX46" i="46" s="1"/>
  <c r="AY46" i="46" s="1"/>
  <c r="Y48" i="45"/>
  <c r="AU48" i="46"/>
  <c r="AV48" i="46" s="1"/>
  <c r="AW48" i="46" s="1"/>
  <c r="AX48" i="46" s="1"/>
  <c r="AY48" i="46" s="1"/>
  <c r="Y25" i="45"/>
  <c r="AU25" i="46"/>
  <c r="AV25" i="46" s="1"/>
  <c r="AW25" i="46" s="1"/>
  <c r="AX25" i="46" s="1"/>
  <c r="AY25" i="46" s="1"/>
  <c r="Y36" i="45"/>
  <c r="AU36" i="46"/>
  <c r="AV36" i="46" s="1"/>
  <c r="AW36" i="46" s="1"/>
  <c r="AX36" i="46" s="1"/>
  <c r="AY36" i="46" s="1"/>
  <c r="Y49" i="45"/>
  <c r="AU49" i="46"/>
  <c r="AV49" i="46" s="1"/>
  <c r="AW49" i="46" s="1"/>
  <c r="AX49" i="46" s="1"/>
  <c r="AY49" i="46" s="1"/>
  <c r="Y42" i="45"/>
  <c r="AU42" i="46"/>
  <c r="AV42" i="46" s="1"/>
  <c r="AW42" i="46" s="1"/>
  <c r="AX42" i="46" s="1"/>
  <c r="AY42" i="46" s="1"/>
  <c r="Y15" i="45"/>
  <c r="AU15" i="46"/>
  <c r="AV15" i="46" s="1"/>
  <c r="AW15" i="46" s="1"/>
  <c r="AX15" i="46" s="1"/>
  <c r="AY15" i="46" s="1"/>
  <c r="Y6" i="45"/>
  <c r="AU6" i="46"/>
  <c r="AV6" i="46" s="1"/>
  <c r="AW6" i="46" s="1"/>
  <c r="AX6" i="46" s="1"/>
  <c r="AY6" i="46" s="1"/>
  <c r="Y20" i="45"/>
  <c r="AU20" i="46"/>
  <c r="AV20" i="46" s="1"/>
  <c r="AW20" i="46" s="1"/>
  <c r="AX20" i="46" s="1"/>
  <c r="AY20" i="46" s="1"/>
  <c r="Y27" i="45"/>
  <c r="AU27" i="46"/>
  <c r="AV27" i="46" s="1"/>
  <c r="AW27" i="46" s="1"/>
  <c r="AX27" i="46" s="1"/>
  <c r="AY27" i="46" s="1"/>
  <c r="AS52" i="46"/>
  <c r="AT52" i="46" s="1"/>
  <c r="AS23" i="46"/>
  <c r="AT23" i="46" s="1"/>
  <c r="AQ72" i="46"/>
  <c r="AO130" i="46"/>
  <c r="AO131" i="46"/>
  <c r="AL118" i="46"/>
  <c r="AK180" i="46"/>
  <c r="AL119" i="46"/>
  <c r="AK181" i="46"/>
  <c r="AL120" i="46"/>
  <c r="AK182" i="46"/>
  <c r="AL127" i="46"/>
  <c r="AK189" i="46"/>
  <c r="AL125" i="46"/>
  <c r="AK187" i="46"/>
  <c r="W126" i="45"/>
  <c r="AK126" i="46"/>
  <c r="AN109" i="46"/>
  <c r="AM171" i="46"/>
  <c r="AL110" i="46"/>
  <c r="AK172" i="46"/>
  <c r="AL97" i="46"/>
  <c r="AK159" i="46"/>
  <c r="AN87" i="46"/>
  <c r="AM149" i="46"/>
  <c r="W103" i="45"/>
  <c r="AK103" i="46"/>
  <c r="W76" i="45"/>
  <c r="AK76" i="46"/>
  <c r="W83" i="45"/>
  <c r="AK83" i="46"/>
  <c r="W111" i="45"/>
  <c r="AK111" i="46"/>
  <c r="AM91" i="46"/>
  <c r="AL153" i="46"/>
  <c r="AL114" i="46"/>
  <c r="AK176" i="46"/>
  <c r="W112" i="45"/>
  <c r="AK112" i="46"/>
  <c r="W90" i="45"/>
  <c r="AK90" i="46"/>
  <c r="AN80" i="46"/>
  <c r="AM142" i="46"/>
  <c r="AL78" i="46"/>
  <c r="AK140" i="46"/>
  <c r="W79" i="45"/>
  <c r="AK79" i="46"/>
  <c r="W93" i="45"/>
  <c r="AK93" i="46"/>
  <c r="W107" i="45"/>
  <c r="AK107" i="46"/>
  <c r="AN105" i="46"/>
  <c r="AM167" i="46"/>
  <c r="AL106" i="46"/>
  <c r="AK168" i="46"/>
  <c r="AL82" i="46"/>
  <c r="AK144" i="46"/>
  <c r="AL88" i="46"/>
  <c r="AK150" i="46"/>
  <c r="AL92" i="46"/>
  <c r="AK154" i="46"/>
  <c r="AN117" i="46"/>
  <c r="AM179" i="46"/>
  <c r="AM113" i="46"/>
  <c r="AL175" i="46"/>
  <c r="W89" i="45"/>
  <c r="AK89" i="46"/>
  <c r="W116" i="45"/>
  <c r="AK116" i="46"/>
  <c r="X72" i="45"/>
  <c r="W95" i="45"/>
  <c r="AK95" i="46"/>
  <c r="W75" i="45"/>
  <c r="AK75" i="46"/>
  <c r="W73" i="45"/>
  <c r="AK73" i="46"/>
  <c r="W104" i="45"/>
  <c r="AK104" i="46"/>
  <c r="W77" i="45"/>
  <c r="AK77" i="46"/>
  <c r="W108" i="45"/>
  <c r="AK108" i="46"/>
  <c r="W115" i="45"/>
  <c r="AK115" i="46"/>
  <c r="AK4" i="46"/>
  <c r="AL4" i="46" s="1"/>
  <c r="AN96" i="46"/>
  <c r="AM158" i="46"/>
  <c r="AL74" i="46"/>
  <c r="AK136" i="46"/>
  <c r="X52" i="45"/>
  <c r="AN5" i="46"/>
  <c r="X23" i="45"/>
  <c r="AJ152" i="46"/>
  <c r="W152" i="45" s="1"/>
  <c r="W4" i="45"/>
  <c r="AJ64" i="46"/>
  <c r="AJ128" i="46"/>
  <c r="AA11" i="45" l="1"/>
  <c r="BE11" i="46"/>
  <c r="BF11" i="46" s="1"/>
  <c r="BG11" i="46" s="1"/>
  <c r="BH11" i="46" s="1"/>
  <c r="BI11" i="46" s="1"/>
  <c r="AB11" i="45" s="1"/>
  <c r="AA9" i="45"/>
  <c r="BE9" i="46"/>
  <c r="BF9" i="46" s="1"/>
  <c r="BG9" i="46" s="1"/>
  <c r="BH9" i="46" s="1"/>
  <c r="BI9" i="46" s="1"/>
  <c r="AB9" i="45" s="1"/>
  <c r="Y14" i="45"/>
  <c r="AY14" i="46"/>
  <c r="AZ14" i="46"/>
  <c r="Z44" i="45"/>
  <c r="AZ44" i="46"/>
  <c r="BA44" i="46" s="1"/>
  <c r="BB44" i="46" s="1"/>
  <c r="BC44" i="46" s="1"/>
  <c r="BD44" i="46" s="1"/>
  <c r="Z7" i="45"/>
  <c r="AZ7" i="46"/>
  <c r="BA7" i="46" s="1"/>
  <c r="BB7" i="46" s="1"/>
  <c r="BC7" i="46" s="1"/>
  <c r="BD7" i="46" s="1"/>
  <c r="Z27" i="45"/>
  <c r="AZ27" i="46"/>
  <c r="BA27" i="46" s="1"/>
  <c r="BB27" i="46" s="1"/>
  <c r="BC27" i="46" s="1"/>
  <c r="BD27" i="46" s="1"/>
  <c r="Z6" i="45"/>
  <c r="AZ6" i="46"/>
  <c r="BA6" i="46" s="1"/>
  <c r="BB6" i="46" s="1"/>
  <c r="BC6" i="46" s="1"/>
  <c r="BD6" i="46" s="1"/>
  <c r="Z36" i="45"/>
  <c r="AZ36" i="46"/>
  <c r="BA36" i="46" s="1"/>
  <c r="BB36" i="46" s="1"/>
  <c r="BC36" i="46" s="1"/>
  <c r="BD36" i="46" s="1"/>
  <c r="Z48" i="45"/>
  <c r="AZ48" i="46"/>
  <c r="BA48" i="46" s="1"/>
  <c r="BB48" i="46" s="1"/>
  <c r="BC48" i="46" s="1"/>
  <c r="BD48" i="46" s="1"/>
  <c r="Z50" i="45"/>
  <c r="AZ50" i="46"/>
  <c r="BA50" i="46" s="1"/>
  <c r="BB50" i="46" s="1"/>
  <c r="BC50" i="46" s="1"/>
  <c r="BD50" i="46" s="1"/>
  <c r="Z58" i="45"/>
  <c r="AZ58" i="46"/>
  <c r="BC58" i="46" s="1"/>
  <c r="BD58" i="46" s="1"/>
  <c r="Z24" i="45"/>
  <c r="AZ24" i="46"/>
  <c r="BA24" i="46" s="1"/>
  <c r="BB24" i="46" s="1"/>
  <c r="BC24" i="46" s="1"/>
  <c r="BD24" i="46" s="1"/>
  <c r="Z40" i="45"/>
  <c r="AZ40" i="46"/>
  <c r="BA40" i="46" s="1"/>
  <c r="BB40" i="46" s="1"/>
  <c r="BC40" i="46" s="1"/>
  <c r="BD40" i="46" s="1"/>
  <c r="Z38" i="45"/>
  <c r="AZ38" i="46"/>
  <c r="BA38" i="46" s="1"/>
  <c r="BB38" i="46" s="1"/>
  <c r="BC38" i="46" s="1"/>
  <c r="BD38" i="46" s="1"/>
  <c r="Z45" i="45"/>
  <c r="AZ45" i="46"/>
  <c r="BA45" i="46" s="1"/>
  <c r="BB45" i="46" s="1"/>
  <c r="BC45" i="46" s="1"/>
  <c r="BD45" i="46" s="1"/>
  <c r="Z35" i="45"/>
  <c r="AZ35" i="46"/>
  <c r="BA35" i="46" s="1"/>
  <c r="BB35" i="46" s="1"/>
  <c r="BC35" i="46" s="1"/>
  <c r="BD35" i="46" s="1"/>
  <c r="Z14" i="45"/>
  <c r="BD14" i="46"/>
  <c r="AA14" i="45" s="1"/>
  <c r="Z39" i="45"/>
  <c r="AZ39" i="46"/>
  <c r="BA39" i="46" s="1"/>
  <c r="BB39" i="46" s="1"/>
  <c r="BC39" i="46" s="1"/>
  <c r="BD39" i="46" s="1"/>
  <c r="Z21" i="45"/>
  <c r="AZ21" i="46"/>
  <c r="BA21" i="46" s="1"/>
  <c r="BB21" i="46" s="1"/>
  <c r="BC21" i="46" s="1"/>
  <c r="BD21" i="46" s="1"/>
  <c r="Z51" i="45"/>
  <c r="AZ51" i="46"/>
  <c r="BA51" i="46" s="1"/>
  <c r="BB51" i="46" s="1"/>
  <c r="BC51" i="46" s="1"/>
  <c r="BD51" i="46" s="1"/>
  <c r="Z47" i="45"/>
  <c r="AZ47" i="46"/>
  <c r="BA47" i="46" s="1"/>
  <c r="BB47" i="46" s="1"/>
  <c r="BC47" i="46" s="1"/>
  <c r="BD47" i="46" s="1"/>
  <c r="Z42" i="45"/>
  <c r="AZ42" i="46"/>
  <c r="BA42" i="46" s="1"/>
  <c r="BB42" i="46" s="1"/>
  <c r="BC42" i="46" s="1"/>
  <c r="BD42" i="46" s="1"/>
  <c r="Z20" i="45"/>
  <c r="AZ20" i="46"/>
  <c r="BA20" i="46" s="1"/>
  <c r="BB20" i="46" s="1"/>
  <c r="BC20" i="46" s="1"/>
  <c r="BD20" i="46" s="1"/>
  <c r="Z15" i="45"/>
  <c r="AZ15" i="46"/>
  <c r="BA15" i="46" s="1"/>
  <c r="BB15" i="46" s="1"/>
  <c r="BC15" i="46" s="1"/>
  <c r="BD15" i="46" s="1"/>
  <c r="Z49" i="45"/>
  <c r="AZ49" i="46"/>
  <c r="Z25" i="45"/>
  <c r="AZ25" i="46"/>
  <c r="Z46" i="45"/>
  <c r="AZ46" i="46"/>
  <c r="BA46" i="46" s="1"/>
  <c r="BB46" i="46" s="1"/>
  <c r="BC46" i="46" s="1"/>
  <c r="BD46" i="46" s="1"/>
  <c r="Z37" i="45"/>
  <c r="AZ37" i="46"/>
  <c r="BA37" i="46" s="1"/>
  <c r="BB37" i="46" s="1"/>
  <c r="BC37" i="46" s="1"/>
  <c r="BD37" i="46" s="1"/>
  <c r="Z29" i="45"/>
  <c r="AZ29" i="46"/>
  <c r="BA29" i="46" s="1"/>
  <c r="BB29" i="46" s="1"/>
  <c r="BC29" i="46" s="1"/>
  <c r="BD29" i="46" s="1"/>
  <c r="Z19" i="45"/>
  <c r="AZ19" i="46"/>
  <c r="BA19" i="46" s="1"/>
  <c r="BB19" i="46" s="1"/>
  <c r="BC19" i="46" s="1"/>
  <c r="BD19" i="46" s="1"/>
  <c r="Z43" i="45"/>
  <c r="AZ43" i="46"/>
  <c r="BA43" i="46" s="1"/>
  <c r="BB43" i="46" s="1"/>
  <c r="BC43" i="46" s="1"/>
  <c r="BD43" i="46" s="1"/>
  <c r="Z22" i="45"/>
  <c r="AZ22" i="46"/>
  <c r="BA22" i="46" s="1"/>
  <c r="BB22" i="46" s="1"/>
  <c r="BC22" i="46" s="1"/>
  <c r="BD22" i="46" s="1"/>
  <c r="Z41" i="45"/>
  <c r="AZ41" i="46"/>
  <c r="Z8" i="45"/>
  <c r="AZ8" i="46"/>
  <c r="BA8" i="46" s="1"/>
  <c r="BB8" i="46" s="1"/>
  <c r="BC8" i="46" s="1"/>
  <c r="BD8" i="46" s="1"/>
  <c r="Z59" i="45"/>
  <c r="AZ59" i="46"/>
  <c r="BA59" i="46" s="1"/>
  <c r="BB59" i="46" s="1"/>
  <c r="BC59" i="46" s="1"/>
  <c r="BD59" i="46" s="1"/>
  <c r="Z11" i="45"/>
  <c r="AC11" i="45" s="1"/>
  <c r="AD11" i="45" s="1"/>
  <c r="AE11" i="45" s="1"/>
  <c r="AF11" i="45" s="1"/>
  <c r="Y10" i="45"/>
  <c r="AV10" i="46"/>
  <c r="AW10" i="46" s="1"/>
  <c r="AX10" i="46" s="1"/>
  <c r="AY10" i="46" s="1"/>
  <c r="Y52" i="45"/>
  <c r="AU52" i="46"/>
  <c r="AV52" i="46" s="1"/>
  <c r="AW52" i="46" s="1"/>
  <c r="AX52" i="46" s="1"/>
  <c r="AY52" i="46" s="1"/>
  <c r="Y23" i="45"/>
  <c r="AU23" i="46"/>
  <c r="AV23" i="46" s="1"/>
  <c r="AW23" i="46" s="1"/>
  <c r="AX23" i="46" s="1"/>
  <c r="AY23" i="46" s="1"/>
  <c r="X131" i="45"/>
  <c r="AP131" i="46"/>
  <c r="X130" i="45"/>
  <c r="AP130" i="46"/>
  <c r="AR72" i="46"/>
  <c r="AK134" i="46"/>
  <c r="AL126" i="46"/>
  <c r="AK188" i="46"/>
  <c r="W128" i="45"/>
  <c r="AK128" i="46"/>
  <c r="AL128" i="46" s="1"/>
  <c r="AM128" i="46" s="1"/>
  <c r="AN128" i="46" s="1"/>
  <c r="AO128" i="46" s="1"/>
  <c r="AP128" i="46" s="1"/>
  <c r="AM127" i="46"/>
  <c r="AL189" i="46"/>
  <c r="AM119" i="46"/>
  <c r="AL181" i="46"/>
  <c r="AM125" i="46"/>
  <c r="AL187" i="46"/>
  <c r="AM120" i="46"/>
  <c r="AL182" i="46"/>
  <c r="AM118" i="46"/>
  <c r="AL180" i="46"/>
  <c r="AL108" i="46"/>
  <c r="AK170" i="46"/>
  <c r="AL104" i="46"/>
  <c r="AK166" i="46"/>
  <c r="AL75" i="46"/>
  <c r="AK137" i="46"/>
  <c r="AL89" i="46"/>
  <c r="AK151" i="46"/>
  <c r="AL107" i="46"/>
  <c r="AK169" i="46"/>
  <c r="AL79" i="46"/>
  <c r="AK141" i="46"/>
  <c r="AL112" i="46"/>
  <c r="AK174" i="46"/>
  <c r="AL83" i="46"/>
  <c r="AK145" i="46"/>
  <c r="AL103" i="46"/>
  <c r="AK165" i="46"/>
  <c r="AM92" i="46"/>
  <c r="AL154" i="46"/>
  <c r="AO87" i="46"/>
  <c r="AP87" i="46" s="1"/>
  <c r="AN149" i="46"/>
  <c r="AO149" i="46" s="1"/>
  <c r="AN91" i="46"/>
  <c r="AM153" i="46"/>
  <c r="AN113" i="46"/>
  <c r="AM175" i="46"/>
  <c r="AM82" i="46"/>
  <c r="AL144" i="46"/>
  <c r="AO105" i="46"/>
  <c r="AP105" i="46" s="1"/>
  <c r="AN167" i="46"/>
  <c r="AO167" i="46" s="1"/>
  <c r="AM78" i="46"/>
  <c r="AL140" i="46"/>
  <c r="AM114" i="46"/>
  <c r="AL176" i="46"/>
  <c r="AM110" i="46"/>
  <c r="AL172" i="46"/>
  <c r="AM74" i="46"/>
  <c r="AL136" i="46"/>
  <c r="AO117" i="46"/>
  <c r="AP117" i="46" s="1"/>
  <c r="AN179" i="46"/>
  <c r="AO179" i="46" s="1"/>
  <c r="AM88" i="46"/>
  <c r="AL150" i="46"/>
  <c r="AM106" i="46"/>
  <c r="AL168" i="46"/>
  <c r="AO80" i="46"/>
  <c r="AP80" i="46" s="1"/>
  <c r="AN142" i="46"/>
  <c r="AO142" i="46" s="1"/>
  <c r="AM97" i="46"/>
  <c r="AL159" i="46"/>
  <c r="AO109" i="46"/>
  <c r="AP109" i="46" s="1"/>
  <c r="AN171" i="46"/>
  <c r="AO171" i="46" s="1"/>
  <c r="AO96" i="46"/>
  <c r="AP96" i="46" s="1"/>
  <c r="AN158" i="46"/>
  <c r="AL115" i="46"/>
  <c r="AK177" i="46"/>
  <c r="AL77" i="46"/>
  <c r="AK139" i="46"/>
  <c r="AL73" i="46"/>
  <c r="AK135" i="46"/>
  <c r="AL95" i="46"/>
  <c r="AK157" i="46"/>
  <c r="AL116" i="46"/>
  <c r="AK178" i="46"/>
  <c r="AL93" i="46"/>
  <c r="AK155" i="46"/>
  <c r="AL90" i="46"/>
  <c r="AK152" i="46"/>
  <c r="AL111" i="46"/>
  <c r="AK173" i="46"/>
  <c r="AL76" i="46"/>
  <c r="AK138" i="46"/>
  <c r="AO5" i="46"/>
  <c r="AP5" i="46" s="1"/>
  <c r="AQ5" i="46" s="1"/>
  <c r="AR5" i="46" s="1"/>
  <c r="AM4" i="46"/>
  <c r="AL134" i="46"/>
  <c r="W64" i="45"/>
  <c r="BE15" i="46" l="1"/>
  <c r="BI15" i="46" s="1"/>
  <c r="AB15" i="45" s="1"/>
  <c r="AC15" i="45" s="1"/>
  <c r="AD15" i="45" s="1"/>
  <c r="AE15" i="45" s="1"/>
  <c r="AF15" i="45" s="1"/>
  <c r="AC9" i="45"/>
  <c r="AD9" i="45" s="1"/>
  <c r="AE9" i="45" s="1"/>
  <c r="AF9" i="45" s="1"/>
  <c r="AA59" i="45"/>
  <c r="BE59" i="46"/>
  <c r="BF59" i="46" s="1"/>
  <c r="BG59" i="46" s="1"/>
  <c r="BH59" i="46" s="1"/>
  <c r="BI59" i="46" s="1"/>
  <c r="AB59" i="45" s="1"/>
  <c r="AA43" i="45"/>
  <c r="BE43" i="46"/>
  <c r="BF43" i="46" s="1"/>
  <c r="BG43" i="46" s="1"/>
  <c r="BH43" i="46" s="1"/>
  <c r="BI43" i="46" s="1"/>
  <c r="AB43" i="45" s="1"/>
  <c r="AC43" i="45" s="1"/>
  <c r="AD43" i="45" s="1"/>
  <c r="AE43" i="45" s="1"/>
  <c r="AF43" i="45" s="1"/>
  <c r="AA29" i="45"/>
  <c r="BE29" i="46"/>
  <c r="BF29" i="46" s="1"/>
  <c r="BG29" i="46" s="1"/>
  <c r="BH29" i="46" s="1"/>
  <c r="BI29" i="46" s="1"/>
  <c r="AB29" i="45" s="1"/>
  <c r="AC29" i="45" s="1"/>
  <c r="AD29" i="45" s="1"/>
  <c r="AE29" i="45" s="1"/>
  <c r="AF29" i="45" s="1"/>
  <c r="AA46" i="45"/>
  <c r="BE46" i="46"/>
  <c r="BF46" i="46" s="1"/>
  <c r="BG46" i="46" s="1"/>
  <c r="BH46" i="46" s="1"/>
  <c r="BI46" i="46" s="1"/>
  <c r="AB46" i="45" s="1"/>
  <c r="AC46" i="45" s="1"/>
  <c r="AD46" i="45" s="1"/>
  <c r="AE46" i="45" s="1"/>
  <c r="AF46" i="45" s="1"/>
  <c r="AA20" i="45"/>
  <c r="BE20" i="46"/>
  <c r="BF20" i="46" s="1"/>
  <c r="BG20" i="46" s="1"/>
  <c r="BH20" i="46" s="1"/>
  <c r="BI20" i="46" s="1"/>
  <c r="AB20" i="45" s="1"/>
  <c r="AC20" i="45" s="1"/>
  <c r="AA47" i="45"/>
  <c r="BE47" i="46"/>
  <c r="BF47" i="46" s="1"/>
  <c r="BG47" i="46" s="1"/>
  <c r="BH47" i="46" s="1"/>
  <c r="BI47" i="46" s="1"/>
  <c r="AB47" i="45" s="1"/>
  <c r="AC47" i="45" s="1"/>
  <c r="AD47" i="45" s="1"/>
  <c r="AE47" i="45" s="1"/>
  <c r="AF47" i="45" s="1"/>
  <c r="AA21" i="45"/>
  <c r="BE21" i="46"/>
  <c r="BF21" i="46" s="1"/>
  <c r="BG21" i="46" s="1"/>
  <c r="BH21" i="46" s="1"/>
  <c r="BI21" i="46" s="1"/>
  <c r="AB21" i="45" s="1"/>
  <c r="AA45" i="45"/>
  <c r="BE45" i="46"/>
  <c r="BF45" i="46" s="1"/>
  <c r="BG45" i="46" s="1"/>
  <c r="BH45" i="46" s="1"/>
  <c r="BI45" i="46" s="1"/>
  <c r="AB45" i="45" s="1"/>
  <c r="AC45" i="45" s="1"/>
  <c r="AD45" i="45" s="1"/>
  <c r="AE45" i="45" s="1"/>
  <c r="AF45" i="45" s="1"/>
  <c r="AA40" i="45"/>
  <c r="BE40" i="46"/>
  <c r="BF40" i="46" s="1"/>
  <c r="BG40" i="46" s="1"/>
  <c r="BH40" i="46" s="1"/>
  <c r="BI40" i="46" s="1"/>
  <c r="AB40" i="45" s="1"/>
  <c r="AA58" i="45"/>
  <c r="BE58" i="46"/>
  <c r="BF58" i="46" s="1"/>
  <c r="BG58" i="46" s="1"/>
  <c r="BH58" i="46" s="1"/>
  <c r="BI58" i="46" s="1"/>
  <c r="AB58" i="45" s="1"/>
  <c r="AC58" i="45" s="1"/>
  <c r="AD58" i="45" s="1"/>
  <c r="AE58" i="45" s="1"/>
  <c r="AF58" i="45" s="1"/>
  <c r="AA48" i="45"/>
  <c r="BE48" i="46"/>
  <c r="BF48" i="46" s="1"/>
  <c r="BG48" i="46" s="1"/>
  <c r="BH48" i="46" s="1"/>
  <c r="BI48" i="46" s="1"/>
  <c r="AB48" i="45" s="1"/>
  <c r="AA6" i="45"/>
  <c r="BE6" i="46"/>
  <c r="BF6" i="46" s="1"/>
  <c r="BG6" i="46" s="1"/>
  <c r="BH6" i="46" s="1"/>
  <c r="BI6" i="46" s="1"/>
  <c r="AB6" i="45" s="1"/>
  <c r="AA7" i="45"/>
  <c r="BE7" i="46"/>
  <c r="BF7" i="46" s="1"/>
  <c r="BG7" i="46" s="1"/>
  <c r="BH7" i="46" s="1"/>
  <c r="BI7" i="46" s="1"/>
  <c r="AB7" i="45" s="1"/>
  <c r="AA8" i="45"/>
  <c r="BE8" i="46"/>
  <c r="BF8" i="46" s="1"/>
  <c r="BG8" i="46" s="1"/>
  <c r="BH8" i="46" s="1"/>
  <c r="BI8" i="46" s="1"/>
  <c r="AB8" i="45" s="1"/>
  <c r="AC8" i="45" s="1"/>
  <c r="AD8" i="45" s="1"/>
  <c r="AE8" i="45" s="1"/>
  <c r="AF8" i="45" s="1"/>
  <c r="AA22" i="45"/>
  <c r="BE22" i="46"/>
  <c r="BF22" i="46" s="1"/>
  <c r="BG22" i="46" s="1"/>
  <c r="BH22" i="46" s="1"/>
  <c r="BI22" i="46" s="1"/>
  <c r="AB22" i="45" s="1"/>
  <c r="AC22" i="45" s="1"/>
  <c r="AD22" i="45" s="1"/>
  <c r="AE22" i="45" s="1"/>
  <c r="AF22" i="45" s="1"/>
  <c r="AA19" i="45"/>
  <c r="BE19" i="46"/>
  <c r="BF19" i="46" s="1"/>
  <c r="BG19" i="46" s="1"/>
  <c r="BH19" i="46" s="1"/>
  <c r="BI19" i="46" s="1"/>
  <c r="AB19" i="45" s="1"/>
  <c r="AC19" i="45" s="1"/>
  <c r="AD19" i="45" s="1"/>
  <c r="AE19" i="45" s="1"/>
  <c r="AF19" i="45" s="1"/>
  <c r="AA37" i="45"/>
  <c r="BE37" i="46"/>
  <c r="BF37" i="46" s="1"/>
  <c r="BG37" i="46" s="1"/>
  <c r="BH37" i="46" s="1"/>
  <c r="BI37" i="46" s="1"/>
  <c r="AB37" i="45" s="1"/>
  <c r="AC37" i="45" s="1"/>
  <c r="AD37" i="45" s="1"/>
  <c r="AE37" i="45" s="1"/>
  <c r="AF37" i="45" s="1"/>
  <c r="AA15" i="45"/>
  <c r="AA42" i="45"/>
  <c r="BE42" i="46"/>
  <c r="BF42" i="46" s="1"/>
  <c r="BG42" i="46" s="1"/>
  <c r="BH42" i="46" s="1"/>
  <c r="BI42" i="46" s="1"/>
  <c r="AB42" i="45" s="1"/>
  <c r="AA51" i="45"/>
  <c r="BE51" i="46"/>
  <c r="BF51" i="46" s="1"/>
  <c r="BG51" i="46" s="1"/>
  <c r="BH51" i="46" s="1"/>
  <c r="BI51" i="46" s="1"/>
  <c r="AB51" i="45" s="1"/>
  <c r="AA39" i="45"/>
  <c r="BE39" i="46"/>
  <c r="BF39" i="46" s="1"/>
  <c r="BG39" i="46" s="1"/>
  <c r="BH39" i="46" s="1"/>
  <c r="BI39" i="46" s="1"/>
  <c r="AB39" i="45" s="1"/>
  <c r="AA35" i="45"/>
  <c r="BE35" i="46"/>
  <c r="BF35" i="46" s="1"/>
  <c r="BG35" i="46" s="1"/>
  <c r="BH35" i="46" s="1"/>
  <c r="BI35" i="46" s="1"/>
  <c r="AB35" i="45" s="1"/>
  <c r="AC35" i="45" s="1"/>
  <c r="AD35" i="45" s="1"/>
  <c r="AE35" i="45" s="1"/>
  <c r="AF35" i="45" s="1"/>
  <c r="AA38" i="45"/>
  <c r="BE38" i="46"/>
  <c r="BF38" i="46" s="1"/>
  <c r="BG38" i="46" s="1"/>
  <c r="BH38" i="46" s="1"/>
  <c r="BI38" i="46" s="1"/>
  <c r="AB38" i="45" s="1"/>
  <c r="AA24" i="45"/>
  <c r="BE24" i="46"/>
  <c r="BF24" i="46" s="1"/>
  <c r="BG24" i="46" s="1"/>
  <c r="BH24" i="46" s="1"/>
  <c r="BI24" i="46" s="1"/>
  <c r="AB24" i="45" s="1"/>
  <c r="AA50" i="45"/>
  <c r="BE50" i="46"/>
  <c r="BF50" i="46" s="1"/>
  <c r="BG50" i="46" s="1"/>
  <c r="BH50" i="46" s="1"/>
  <c r="BI50" i="46" s="1"/>
  <c r="AB50" i="45" s="1"/>
  <c r="AA36" i="45"/>
  <c r="BE36" i="46"/>
  <c r="BF36" i="46" s="1"/>
  <c r="BG36" i="46" s="1"/>
  <c r="BH36" i="46" s="1"/>
  <c r="BI36" i="46" s="1"/>
  <c r="AB36" i="45" s="1"/>
  <c r="AA27" i="45"/>
  <c r="BE27" i="46"/>
  <c r="BF27" i="46" s="1"/>
  <c r="BG27" i="46" s="1"/>
  <c r="BH27" i="46" s="1"/>
  <c r="BI27" i="46" s="1"/>
  <c r="AB27" i="45" s="1"/>
  <c r="AA44" i="45"/>
  <c r="BE44" i="46"/>
  <c r="BF44" i="46" s="1"/>
  <c r="BG44" i="46" s="1"/>
  <c r="BH44" i="46" s="1"/>
  <c r="BI44" i="46" s="1"/>
  <c r="AB44" i="45" s="1"/>
  <c r="Z52" i="45"/>
  <c r="AZ52" i="46"/>
  <c r="BA52" i="46" s="1"/>
  <c r="BB52" i="46" s="1"/>
  <c r="BC52" i="46" s="1"/>
  <c r="BD52" i="46" s="1"/>
  <c r="BA41" i="46"/>
  <c r="BB41" i="46" s="1"/>
  <c r="BC41" i="46" s="1"/>
  <c r="BD41" i="46" s="1"/>
  <c r="BA49" i="46"/>
  <c r="BB49" i="46" s="1"/>
  <c r="BC49" i="46" s="1"/>
  <c r="BD49" i="46" s="1"/>
  <c r="Z23" i="45"/>
  <c r="AZ23" i="46"/>
  <c r="BA23" i="46" s="1"/>
  <c r="BB23" i="46" s="1"/>
  <c r="BC23" i="46" s="1"/>
  <c r="BD23" i="46" s="1"/>
  <c r="Z10" i="45"/>
  <c r="AZ10" i="46"/>
  <c r="BA10" i="46" s="1"/>
  <c r="BB10" i="46" s="1"/>
  <c r="BC10" i="46" s="1"/>
  <c r="BD10" i="46" s="1"/>
  <c r="BA25" i="46"/>
  <c r="BB25" i="46" s="1"/>
  <c r="BC25" i="46" s="1"/>
  <c r="BD25" i="46" s="1"/>
  <c r="AS5" i="46"/>
  <c r="AT5" i="46" s="1"/>
  <c r="AO158" i="46"/>
  <c r="X158" i="45" s="1"/>
  <c r="AP158" i="46"/>
  <c r="AQ96" i="46"/>
  <c r="AP179" i="46"/>
  <c r="AQ117" i="46"/>
  <c r="AQ130" i="46"/>
  <c r="AR130" i="46" s="1"/>
  <c r="AQ128" i="46"/>
  <c r="AP142" i="46"/>
  <c r="AQ80" i="46"/>
  <c r="AP167" i="46"/>
  <c r="AQ105" i="46"/>
  <c r="AP149" i="46"/>
  <c r="AQ87" i="46"/>
  <c r="AS72" i="46"/>
  <c r="AQ131" i="46"/>
  <c r="AR131" i="46" s="1"/>
  <c r="AP171" i="46"/>
  <c r="AQ109" i="46"/>
  <c r="AN118" i="46"/>
  <c r="AM180" i="46"/>
  <c r="AN125" i="46"/>
  <c r="AM187" i="46"/>
  <c r="AN120" i="46"/>
  <c r="AM182" i="46"/>
  <c r="AN127" i="46"/>
  <c r="AM189" i="46"/>
  <c r="AN119" i="46"/>
  <c r="AM181" i="46"/>
  <c r="X128" i="45"/>
  <c r="AM126" i="46"/>
  <c r="AL188" i="46"/>
  <c r="X167" i="45"/>
  <c r="AM104" i="46"/>
  <c r="AL166" i="46"/>
  <c r="AM76" i="46"/>
  <c r="AL138" i="46"/>
  <c r="AM90" i="46"/>
  <c r="AL152" i="46"/>
  <c r="AM116" i="46"/>
  <c r="AL178" i="46"/>
  <c r="AM73" i="46"/>
  <c r="AL135" i="46"/>
  <c r="AM115" i="46"/>
  <c r="AL177" i="46"/>
  <c r="X109" i="45"/>
  <c r="X80" i="45"/>
  <c r="AN88" i="46"/>
  <c r="AM150" i="46"/>
  <c r="AN74" i="46"/>
  <c r="AM136" i="46"/>
  <c r="AN114" i="46"/>
  <c r="AM176" i="46"/>
  <c r="X105" i="45"/>
  <c r="AO113" i="46"/>
  <c r="AP113" i="46" s="1"/>
  <c r="AN175" i="46"/>
  <c r="AO175" i="46" s="1"/>
  <c r="X87" i="45"/>
  <c r="AM103" i="46"/>
  <c r="AL165" i="46"/>
  <c r="AM112" i="46"/>
  <c r="AL174" i="46"/>
  <c r="AM107" i="46"/>
  <c r="AL169" i="46"/>
  <c r="X171" i="45"/>
  <c r="X179" i="45"/>
  <c r="AM75" i="46"/>
  <c r="AL137" i="46"/>
  <c r="AM108" i="46"/>
  <c r="AL170" i="46"/>
  <c r="X142" i="45"/>
  <c r="X149" i="45"/>
  <c r="AM89" i="46"/>
  <c r="AL151" i="46"/>
  <c r="AM111" i="46"/>
  <c r="AL173" i="46"/>
  <c r="AM93" i="46"/>
  <c r="AL155" i="46"/>
  <c r="AM95" i="46"/>
  <c r="AL157" i="46"/>
  <c r="AM77" i="46"/>
  <c r="AL139" i="46"/>
  <c r="X96" i="45"/>
  <c r="AN97" i="46"/>
  <c r="AM159" i="46"/>
  <c r="AN106" i="46"/>
  <c r="AM168" i="46"/>
  <c r="X117" i="45"/>
  <c r="AN110" i="46"/>
  <c r="AM172" i="46"/>
  <c r="AN78" i="46"/>
  <c r="AM140" i="46"/>
  <c r="AN82" i="46"/>
  <c r="AM144" i="46"/>
  <c r="AO91" i="46"/>
  <c r="AP91" i="46" s="1"/>
  <c r="AN153" i="46"/>
  <c r="AO153" i="46" s="1"/>
  <c r="AN92" i="46"/>
  <c r="AM154" i="46"/>
  <c r="AM83" i="46"/>
  <c r="AL145" i="46"/>
  <c r="AM79" i="46"/>
  <c r="AL141" i="46"/>
  <c r="AN4" i="46"/>
  <c r="AM134" i="46"/>
  <c r="X5" i="45"/>
  <c r="AC28" i="45"/>
  <c r="AD28" i="45" s="1"/>
  <c r="AE28" i="45" s="1"/>
  <c r="AF28" i="45" s="1"/>
  <c r="AC12" i="45"/>
  <c r="AD12" i="45" s="1"/>
  <c r="AE12" i="45" s="1"/>
  <c r="AF12" i="45" s="1"/>
  <c r="CF28" i="17"/>
  <c r="AD20" i="45" l="1"/>
  <c r="AE20" i="45" s="1"/>
  <c r="AF20" i="45" s="1"/>
  <c r="AC38" i="45"/>
  <c r="AD38" i="45" s="1"/>
  <c r="AE38" i="45" s="1"/>
  <c r="AF38" i="45" s="1"/>
  <c r="AC48" i="45"/>
  <c r="AD48" i="45" s="1"/>
  <c r="AE48" i="45" s="1"/>
  <c r="AF48" i="45" s="1"/>
  <c r="AC44" i="45"/>
  <c r="AD44" i="45" s="1"/>
  <c r="AE44" i="45" s="1"/>
  <c r="AF44" i="45" s="1"/>
  <c r="AC27" i="45"/>
  <c r="AD27" i="45" s="1"/>
  <c r="AE27" i="45" s="1"/>
  <c r="AF27" i="45" s="1"/>
  <c r="AC40" i="45"/>
  <c r="AD40" i="45" s="1"/>
  <c r="AE40" i="45" s="1"/>
  <c r="AF40" i="45" s="1"/>
  <c r="AC59" i="45"/>
  <c r="AD59" i="45" s="1"/>
  <c r="AE59" i="45" s="1"/>
  <c r="AF59" i="45" s="1"/>
  <c r="AC39" i="45"/>
  <c r="AD39" i="45" s="1"/>
  <c r="AE39" i="45" s="1"/>
  <c r="AF39" i="45" s="1"/>
  <c r="AC51" i="45"/>
  <c r="AD51" i="45" s="1"/>
  <c r="AE51" i="45" s="1"/>
  <c r="AF51" i="45" s="1"/>
  <c r="AC36" i="45"/>
  <c r="AD36" i="45" s="1"/>
  <c r="AE36" i="45" s="1"/>
  <c r="AF36" i="45" s="1"/>
  <c r="AC50" i="45"/>
  <c r="AD50" i="45" s="1"/>
  <c r="AE50" i="45" s="1"/>
  <c r="AF50" i="45" s="1"/>
  <c r="AC42" i="45"/>
  <c r="AD42" i="45" s="1"/>
  <c r="AE42" i="45" s="1"/>
  <c r="AF42" i="45" s="1"/>
  <c r="AC7" i="45"/>
  <c r="AD7" i="45" s="1"/>
  <c r="AE7" i="45" s="1"/>
  <c r="AF7" i="45" s="1"/>
  <c r="AC21" i="45"/>
  <c r="AD21" i="45" s="1"/>
  <c r="AE21" i="45" s="1"/>
  <c r="AF21" i="45" s="1"/>
  <c r="AC24" i="45"/>
  <c r="AD24" i="45" s="1"/>
  <c r="AE24" i="45" s="1"/>
  <c r="AF24" i="45" s="1"/>
  <c r="AC6" i="45"/>
  <c r="AD6" i="45" s="1"/>
  <c r="AE6" i="45" s="1"/>
  <c r="AF6" i="45" s="1"/>
  <c r="AA25" i="45"/>
  <c r="BE25" i="46"/>
  <c r="BF25" i="46" s="1"/>
  <c r="BG25" i="46" s="1"/>
  <c r="BH25" i="46" s="1"/>
  <c r="BI25" i="46" s="1"/>
  <c r="AB25" i="45" s="1"/>
  <c r="AA10" i="45"/>
  <c r="BE10" i="46"/>
  <c r="BF10" i="46" s="1"/>
  <c r="BG10" i="46" s="1"/>
  <c r="BH10" i="46" s="1"/>
  <c r="BI10" i="46" s="1"/>
  <c r="AB10" i="45" s="1"/>
  <c r="AA49" i="45"/>
  <c r="BE49" i="46"/>
  <c r="BF49" i="46" s="1"/>
  <c r="BG49" i="46" s="1"/>
  <c r="BH49" i="46" s="1"/>
  <c r="BI49" i="46" s="1"/>
  <c r="AB49" i="45" s="1"/>
  <c r="AA41" i="45"/>
  <c r="BE41" i="46"/>
  <c r="BF41" i="46" s="1"/>
  <c r="BG41" i="46" s="1"/>
  <c r="BH41" i="46" s="1"/>
  <c r="BI41" i="46" s="1"/>
  <c r="AB41" i="45" s="1"/>
  <c r="AA23" i="45"/>
  <c r="BE23" i="46"/>
  <c r="BF23" i="46" s="1"/>
  <c r="BG23" i="46" s="1"/>
  <c r="BH23" i="46" s="1"/>
  <c r="BI23" i="46" s="1"/>
  <c r="AB23" i="45" s="1"/>
  <c r="AC23" i="45" s="1"/>
  <c r="AD23" i="45" s="1"/>
  <c r="AE23" i="45" s="1"/>
  <c r="AF23" i="45" s="1"/>
  <c r="AA52" i="45"/>
  <c r="BE52" i="46"/>
  <c r="BF52" i="46" s="1"/>
  <c r="BG52" i="46" s="1"/>
  <c r="BH52" i="46" s="1"/>
  <c r="BI52" i="46" s="1"/>
  <c r="AB52" i="45" s="1"/>
  <c r="Y5" i="45"/>
  <c r="AU5" i="46"/>
  <c r="AV5" i="46" s="1"/>
  <c r="AW5" i="46" s="1"/>
  <c r="AX5" i="46" s="1"/>
  <c r="AY5" i="46" s="1"/>
  <c r="AT130" i="46"/>
  <c r="AQ149" i="46"/>
  <c r="AR87" i="46"/>
  <c r="AQ142" i="46"/>
  <c r="AR80" i="46"/>
  <c r="AQ158" i="46"/>
  <c r="AR96" i="46"/>
  <c r="AT131" i="46"/>
  <c r="AP153" i="46"/>
  <c r="AQ91" i="46"/>
  <c r="AP175" i="46"/>
  <c r="AQ113" i="46"/>
  <c r="AQ171" i="46"/>
  <c r="AR109" i="46"/>
  <c r="AT72" i="46"/>
  <c r="AQ167" i="46"/>
  <c r="AR105" i="46"/>
  <c r="AR128" i="46"/>
  <c r="AQ179" i="46"/>
  <c r="AR117" i="46"/>
  <c r="AO127" i="46"/>
  <c r="AP127" i="46" s="1"/>
  <c r="AN189" i="46"/>
  <c r="AO189" i="46" s="1"/>
  <c r="AO125" i="46"/>
  <c r="AP125" i="46" s="1"/>
  <c r="AN187" i="46"/>
  <c r="AN126" i="46"/>
  <c r="AM188" i="46"/>
  <c r="AO119" i="46"/>
  <c r="AP119" i="46" s="1"/>
  <c r="AN181" i="46"/>
  <c r="AO181" i="46" s="1"/>
  <c r="AO120" i="46"/>
  <c r="AP120" i="46" s="1"/>
  <c r="AN182" i="46"/>
  <c r="AO182" i="46" s="1"/>
  <c r="AO118" i="46"/>
  <c r="AP118" i="46" s="1"/>
  <c r="AN180" i="46"/>
  <c r="AO180" i="46" s="1"/>
  <c r="X153" i="45"/>
  <c r="AN89" i="46"/>
  <c r="AM151" i="46"/>
  <c r="AN75" i="46"/>
  <c r="AM137" i="46"/>
  <c r="AN112" i="46"/>
  <c r="AM174" i="46"/>
  <c r="AO74" i="46"/>
  <c r="AP74" i="46" s="1"/>
  <c r="AN136" i="46"/>
  <c r="AO136" i="46" s="1"/>
  <c r="AN115" i="46"/>
  <c r="AM177" i="46"/>
  <c r="AN116" i="46"/>
  <c r="AM178" i="46"/>
  <c r="AN76" i="46"/>
  <c r="AM138" i="46"/>
  <c r="AN83" i="46"/>
  <c r="AM145" i="46"/>
  <c r="X91" i="45"/>
  <c r="AO78" i="46"/>
  <c r="AP78" i="46" s="1"/>
  <c r="AN140" i="46"/>
  <c r="AO140" i="46" s="1"/>
  <c r="AO97" i="46"/>
  <c r="AP97" i="46" s="1"/>
  <c r="AN159" i="46"/>
  <c r="AO159" i="46" s="1"/>
  <c r="AN77" i="46"/>
  <c r="AM139" i="46"/>
  <c r="AN93" i="46"/>
  <c r="AM155" i="46"/>
  <c r="X175" i="45"/>
  <c r="AN108" i="46"/>
  <c r="AM170" i="46"/>
  <c r="AN107" i="46"/>
  <c r="AM169" i="46"/>
  <c r="AN103" i="46"/>
  <c r="AM165" i="46"/>
  <c r="X113" i="45"/>
  <c r="AO114" i="46"/>
  <c r="AP114" i="46" s="1"/>
  <c r="AN176" i="46"/>
  <c r="AO176" i="46" s="1"/>
  <c r="AO88" i="46"/>
  <c r="AP88" i="46" s="1"/>
  <c r="AN150" i="46"/>
  <c r="AO150" i="46" s="1"/>
  <c r="AN73" i="46"/>
  <c r="AM135" i="46"/>
  <c r="AN90" i="46"/>
  <c r="AM152" i="46"/>
  <c r="AN104" i="46"/>
  <c r="AM166" i="46"/>
  <c r="AN79" i="46"/>
  <c r="AM141" i="46"/>
  <c r="AO92" i="46"/>
  <c r="AP92" i="46" s="1"/>
  <c r="AN154" i="46"/>
  <c r="AO154" i="46" s="1"/>
  <c r="AO82" i="46"/>
  <c r="AP82" i="46" s="1"/>
  <c r="AN144" i="46"/>
  <c r="AO144" i="46" s="1"/>
  <c r="AO110" i="46"/>
  <c r="AP110" i="46" s="1"/>
  <c r="AN172" i="46"/>
  <c r="AO172" i="46" s="1"/>
  <c r="AO106" i="46"/>
  <c r="AP106" i="46" s="1"/>
  <c r="AN168" i="46"/>
  <c r="AO168" i="46" s="1"/>
  <c r="AN95" i="46"/>
  <c r="AM157" i="46"/>
  <c r="AN111" i="46"/>
  <c r="AM173" i="46"/>
  <c r="AO4" i="46"/>
  <c r="AN134" i="46"/>
  <c r="AO134" i="46" s="1"/>
  <c r="AC49" i="45" l="1"/>
  <c r="AD49" i="45" s="1"/>
  <c r="AE49" i="45" s="1"/>
  <c r="AF49" i="45" s="1"/>
  <c r="AC41" i="45"/>
  <c r="AD41" i="45" s="1"/>
  <c r="AE41" i="45" s="1"/>
  <c r="AF41" i="45" s="1"/>
  <c r="AC10" i="45"/>
  <c r="AD10" i="45" s="1"/>
  <c r="AE10" i="45" s="1"/>
  <c r="AF10" i="45" s="1"/>
  <c r="AC25" i="45"/>
  <c r="AD25" i="45" s="1"/>
  <c r="AE25" i="45" s="1"/>
  <c r="AF25" i="45" s="1"/>
  <c r="AC52" i="45"/>
  <c r="AD52" i="45" s="1"/>
  <c r="AE52" i="45" s="1"/>
  <c r="AF52" i="45" s="1"/>
  <c r="Z5" i="45"/>
  <c r="AZ5" i="46"/>
  <c r="BA5" i="46" s="1"/>
  <c r="BB5" i="46" s="1"/>
  <c r="BC5" i="46" s="1"/>
  <c r="BD5" i="46" s="1"/>
  <c r="Y130" i="45"/>
  <c r="Y131" i="45"/>
  <c r="Y72" i="45"/>
  <c r="AU72" i="46"/>
  <c r="AP4" i="46"/>
  <c r="AO187" i="46"/>
  <c r="X187" i="45" s="1"/>
  <c r="AP172" i="46"/>
  <c r="AQ110" i="46"/>
  <c r="AP150" i="46"/>
  <c r="AQ88" i="46"/>
  <c r="AP159" i="46"/>
  <c r="AQ97" i="46"/>
  <c r="AP140" i="46"/>
  <c r="AQ78" i="46"/>
  <c r="AP182" i="46"/>
  <c r="AQ120" i="46"/>
  <c r="AP189" i="46"/>
  <c r="AQ127" i="46"/>
  <c r="AR179" i="46"/>
  <c r="AS117" i="46"/>
  <c r="AR167" i="46"/>
  <c r="AS105" i="46"/>
  <c r="AR171" i="46"/>
  <c r="AS109" i="46"/>
  <c r="AR91" i="46"/>
  <c r="AQ153" i="46"/>
  <c r="AR142" i="46"/>
  <c r="AS80" i="46"/>
  <c r="AP154" i="46"/>
  <c r="AQ92" i="46"/>
  <c r="AP180" i="46"/>
  <c r="AQ118" i="46"/>
  <c r="AP181" i="46"/>
  <c r="AQ119" i="46"/>
  <c r="AP187" i="46"/>
  <c r="AQ125" i="46"/>
  <c r="AP136" i="46"/>
  <c r="AQ74" i="46"/>
  <c r="AP168" i="46"/>
  <c r="AQ106" i="46"/>
  <c r="AP144" i="46"/>
  <c r="AQ82" i="46"/>
  <c r="AP176" i="46"/>
  <c r="AQ114" i="46"/>
  <c r="AQ175" i="46"/>
  <c r="AR113" i="46"/>
  <c r="AR158" i="46"/>
  <c r="AS96" i="46"/>
  <c r="AR149" i="46"/>
  <c r="AS87" i="46"/>
  <c r="X181" i="45"/>
  <c r="X189" i="45"/>
  <c r="X182" i="45"/>
  <c r="X125" i="45"/>
  <c r="X120" i="45"/>
  <c r="AO126" i="46"/>
  <c r="AP126" i="46" s="1"/>
  <c r="AN188" i="46"/>
  <c r="AO188" i="46" s="1"/>
  <c r="X180" i="45"/>
  <c r="X127" i="45"/>
  <c r="X118" i="45"/>
  <c r="X119" i="45"/>
  <c r="X168" i="45"/>
  <c r="X172" i="45"/>
  <c r="X140" i="45"/>
  <c r="AO76" i="46"/>
  <c r="AP76" i="46" s="1"/>
  <c r="AN138" i="46"/>
  <c r="AO138" i="46" s="1"/>
  <c r="X74" i="45"/>
  <c r="AO75" i="46"/>
  <c r="AP75" i="46" s="1"/>
  <c r="AN137" i="46"/>
  <c r="AO137" i="46" s="1"/>
  <c r="AO111" i="46"/>
  <c r="AP111" i="46" s="1"/>
  <c r="AN173" i="46"/>
  <c r="AO173" i="46" s="1"/>
  <c r="X110" i="45"/>
  <c r="X92" i="45"/>
  <c r="AO90" i="46"/>
  <c r="AP90" i="46" s="1"/>
  <c r="AN152" i="46"/>
  <c r="AO152" i="46" s="1"/>
  <c r="X114" i="45"/>
  <c r="AO103" i="46"/>
  <c r="AP103" i="46" s="1"/>
  <c r="AN165" i="46"/>
  <c r="AO165" i="46" s="1"/>
  <c r="AO108" i="46"/>
  <c r="AP108" i="46" s="1"/>
  <c r="AN170" i="46"/>
  <c r="AO170" i="46" s="1"/>
  <c r="AO93" i="46"/>
  <c r="AP93" i="46" s="1"/>
  <c r="AN155" i="46"/>
  <c r="AO155" i="46" s="1"/>
  <c r="X97" i="45"/>
  <c r="X78" i="45"/>
  <c r="AO83" i="46"/>
  <c r="AP83" i="46" s="1"/>
  <c r="AN145" i="46"/>
  <c r="AO145" i="46" s="1"/>
  <c r="X154" i="45"/>
  <c r="X176" i="45"/>
  <c r="X159" i="45"/>
  <c r="X144" i="45"/>
  <c r="X150" i="45"/>
  <c r="AO116" i="46"/>
  <c r="AP116" i="46" s="1"/>
  <c r="AN178" i="46"/>
  <c r="AO178" i="46" s="1"/>
  <c r="AO112" i="46"/>
  <c r="AP112" i="46" s="1"/>
  <c r="AN174" i="46"/>
  <c r="AO174" i="46" s="1"/>
  <c r="AO89" i="46"/>
  <c r="AP89" i="46" s="1"/>
  <c r="AN151" i="46"/>
  <c r="AO151" i="46" s="1"/>
  <c r="AO115" i="46"/>
  <c r="AP115" i="46" s="1"/>
  <c r="AN177" i="46"/>
  <c r="AO177" i="46" s="1"/>
  <c r="AO95" i="46"/>
  <c r="AP95" i="46" s="1"/>
  <c r="AN157" i="46"/>
  <c r="AO157" i="46" s="1"/>
  <c r="X106" i="45"/>
  <c r="X82" i="45"/>
  <c r="AO79" i="46"/>
  <c r="AP79" i="46" s="1"/>
  <c r="AN141" i="46"/>
  <c r="AO141" i="46" s="1"/>
  <c r="AO104" i="46"/>
  <c r="AP104" i="46" s="1"/>
  <c r="AN166" i="46"/>
  <c r="AO166" i="46" s="1"/>
  <c r="AO73" i="46"/>
  <c r="AP73" i="46" s="1"/>
  <c r="AN135" i="46"/>
  <c r="AO135" i="46" s="1"/>
  <c r="X88" i="45"/>
  <c r="AO107" i="46"/>
  <c r="AP107" i="46" s="1"/>
  <c r="AN169" i="46"/>
  <c r="AO169" i="46" s="1"/>
  <c r="AO77" i="46"/>
  <c r="AP77" i="46" s="1"/>
  <c r="AN139" i="46"/>
  <c r="AO139" i="46" s="1"/>
  <c r="X136" i="45"/>
  <c r="X134" i="45"/>
  <c r="X4" i="45"/>
  <c r="AA5" i="45" l="1"/>
  <c r="BE5" i="46"/>
  <c r="BF5" i="46" s="1"/>
  <c r="AQ4" i="46"/>
  <c r="AR4" i="46" s="1"/>
  <c r="AV131" i="46"/>
  <c r="AW131" i="46" s="1"/>
  <c r="AX131" i="46" s="1"/>
  <c r="AP134" i="46"/>
  <c r="AV72" i="46"/>
  <c r="AV130" i="46"/>
  <c r="AW130" i="46" s="1"/>
  <c r="AX130" i="46" s="1"/>
  <c r="AP166" i="46"/>
  <c r="AQ104" i="46"/>
  <c r="AP177" i="46"/>
  <c r="AQ115" i="46"/>
  <c r="AP174" i="46"/>
  <c r="AQ112" i="46"/>
  <c r="AP152" i="46"/>
  <c r="AQ90" i="46"/>
  <c r="AP137" i="46"/>
  <c r="AQ75" i="46"/>
  <c r="AQ126" i="46"/>
  <c r="AP188" i="46"/>
  <c r="AR153" i="46"/>
  <c r="AS91" i="46"/>
  <c r="AQ189" i="46"/>
  <c r="AR127" i="46"/>
  <c r="AQ140" i="46"/>
  <c r="AR78" i="46"/>
  <c r="AQ150" i="46"/>
  <c r="AR88" i="46"/>
  <c r="AP169" i="46"/>
  <c r="AQ107" i="46"/>
  <c r="AP170" i="46"/>
  <c r="AQ108" i="46"/>
  <c r="AS158" i="46"/>
  <c r="AT158" i="46" s="1"/>
  <c r="Y158" i="45" s="1"/>
  <c r="AT96" i="46"/>
  <c r="AT128" i="46"/>
  <c r="AQ144" i="46"/>
  <c r="AR82" i="46"/>
  <c r="AQ187" i="46"/>
  <c r="AR125" i="46"/>
  <c r="AQ180" i="46"/>
  <c r="AR118" i="46"/>
  <c r="AS142" i="46"/>
  <c r="AT142" i="46" s="1"/>
  <c r="Y142" i="45" s="1"/>
  <c r="AT80" i="46"/>
  <c r="AT109" i="46"/>
  <c r="AS171" i="46"/>
  <c r="AT171" i="46" s="1"/>
  <c r="Y171" i="45" s="1"/>
  <c r="AS179" i="46"/>
  <c r="AT179" i="46" s="1"/>
  <c r="Y179" i="45" s="1"/>
  <c r="AT117" i="46"/>
  <c r="AP135" i="46"/>
  <c r="AQ73" i="46"/>
  <c r="AP173" i="46"/>
  <c r="AQ111" i="46"/>
  <c r="AQ136" i="46"/>
  <c r="AR74" i="46"/>
  <c r="AQ182" i="46"/>
  <c r="AR120" i="46"/>
  <c r="AQ159" i="46"/>
  <c r="AR97" i="46"/>
  <c r="AQ172" i="46"/>
  <c r="AR110" i="46"/>
  <c r="AP141" i="46"/>
  <c r="AQ79" i="46"/>
  <c r="AP157" i="46"/>
  <c r="AQ95" i="46"/>
  <c r="AP151" i="46"/>
  <c r="AQ89" i="46"/>
  <c r="AP178" i="46"/>
  <c r="AQ116" i="46"/>
  <c r="AP139" i="46"/>
  <c r="AQ77" i="46"/>
  <c r="AP145" i="46"/>
  <c r="AQ83" i="46"/>
  <c r="AP155" i="46"/>
  <c r="AQ93" i="46"/>
  <c r="AP165" i="46"/>
  <c r="AQ103" i="46"/>
  <c r="AP138" i="46"/>
  <c r="AQ76" i="46"/>
  <c r="AS149" i="46"/>
  <c r="AT149" i="46" s="1"/>
  <c r="Y149" i="45" s="1"/>
  <c r="AT87" i="46"/>
  <c r="AR175" i="46"/>
  <c r="AS113" i="46"/>
  <c r="AQ176" i="46"/>
  <c r="AR114" i="46"/>
  <c r="AQ168" i="46"/>
  <c r="AR106" i="46"/>
  <c r="AQ181" i="46"/>
  <c r="AR119" i="46"/>
  <c r="AQ154" i="46"/>
  <c r="AR92" i="46"/>
  <c r="AS167" i="46"/>
  <c r="AT167" i="46" s="1"/>
  <c r="Y167" i="45" s="1"/>
  <c r="AT105" i="46"/>
  <c r="X188" i="45"/>
  <c r="X126" i="45"/>
  <c r="X177" i="45"/>
  <c r="X173" i="45"/>
  <c r="X174" i="45"/>
  <c r="X152" i="45"/>
  <c r="X157" i="45"/>
  <c r="X83" i="45"/>
  <c r="X108" i="45"/>
  <c r="X90" i="45"/>
  <c r="X111" i="45"/>
  <c r="X77" i="45"/>
  <c r="X73" i="45"/>
  <c r="X170" i="45"/>
  <c r="X169" i="45"/>
  <c r="X115" i="45"/>
  <c r="X95" i="45"/>
  <c r="X178" i="45"/>
  <c r="X155" i="45"/>
  <c r="X165" i="45"/>
  <c r="X137" i="45"/>
  <c r="X138" i="45"/>
  <c r="X79" i="45"/>
  <c r="X145" i="45"/>
  <c r="X166" i="45"/>
  <c r="X112" i="45"/>
  <c r="X107" i="45"/>
  <c r="X104" i="45"/>
  <c r="X151" i="45"/>
  <c r="X139" i="45"/>
  <c r="X135" i="45"/>
  <c r="X141" i="45"/>
  <c r="X89" i="45"/>
  <c r="X116" i="45"/>
  <c r="X93" i="45"/>
  <c r="X103" i="45"/>
  <c r="X75" i="45"/>
  <c r="X76" i="45"/>
  <c r="Y38" i="16"/>
  <c r="X38" i="16"/>
  <c r="X64" i="45"/>
  <c r="AQ134" i="46" l="1"/>
  <c r="BG5" i="46"/>
  <c r="BH5" i="46" s="1"/>
  <c r="BI5" i="46" s="1"/>
  <c r="AB5" i="45" s="1"/>
  <c r="AC5" i="45" s="1"/>
  <c r="AD5" i="45" s="1"/>
  <c r="AE5" i="45" s="1"/>
  <c r="AF5" i="45" s="1"/>
  <c r="AY130" i="46"/>
  <c r="AY131" i="46"/>
  <c r="Y96" i="45"/>
  <c r="AU96" i="46"/>
  <c r="Y105" i="45"/>
  <c r="AU105" i="46"/>
  <c r="Y109" i="45"/>
  <c r="AU109" i="46"/>
  <c r="Y87" i="45"/>
  <c r="AU87" i="46"/>
  <c r="Y117" i="45"/>
  <c r="AU117" i="46"/>
  <c r="Y80" i="45"/>
  <c r="AU80" i="46"/>
  <c r="Y128" i="45"/>
  <c r="AU128" i="46"/>
  <c r="AW72" i="46"/>
  <c r="AR181" i="46"/>
  <c r="AS119" i="46"/>
  <c r="AR168" i="46"/>
  <c r="AS106" i="46"/>
  <c r="AS175" i="46"/>
  <c r="AT175" i="46" s="1"/>
  <c r="Y175" i="45" s="1"/>
  <c r="AT113" i="46"/>
  <c r="AQ138" i="46"/>
  <c r="AR76" i="46"/>
  <c r="AQ155" i="46"/>
  <c r="AR93" i="46"/>
  <c r="AQ139" i="46"/>
  <c r="AR77" i="46"/>
  <c r="AQ151" i="46"/>
  <c r="AR89" i="46"/>
  <c r="AQ141" i="46"/>
  <c r="AR79" i="46"/>
  <c r="AR159" i="46"/>
  <c r="AS97" i="46"/>
  <c r="AR180" i="46"/>
  <c r="AS118" i="46"/>
  <c r="AQ170" i="46"/>
  <c r="AR108" i="46"/>
  <c r="AR150" i="46"/>
  <c r="AS88" i="46"/>
  <c r="AR189" i="46"/>
  <c r="AS127" i="46"/>
  <c r="AQ152" i="46"/>
  <c r="AR90" i="46"/>
  <c r="AQ177" i="46"/>
  <c r="AR115" i="46"/>
  <c r="AS4" i="46"/>
  <c r="AR134" i="46"/>
  <c r="AQ135" i="46"/>
  <c r="AR73" i="46"/>
  <c r="AQ188" i="46"/>
  <c r="AR126" i="46"/>
  <c r="AR154" i="46"/>
  <c r="AS92" i="46"/>
  <c r="AR176" i="46"/>
  <c r="AS114" i="46"/>
  <c r="AR103" i="46"/>
  <c r="AQ165" i="46"/>
  <c r="AQ145" i="46"/>
  <c r="AR83" i="46"/>
  <c r="AQ178" i="46"/>
  <c r="AR116" i="46"/>
  <c r="AQ157" i="46"/>
  <c r="AR95" i="46"/>
  <c r="AR172" i="46"/>
  <c r="AS110" i="46"/>
  <c r="AR182" i="46"/>
  <c r="AS120" i="46"/>
  <c r="AR187" i="46"/>
  <c r="AS125" i="46"/>
  <c r="AR144" i="46"/>
  <c r="AS82" i="46"/>
  <c r="AQ169" i="46"/>
  <c r="AR107" i="46"/>
  <c r="AR140" i="46"/>
  <c r="AS78" i="46"/>
  <c r="AS153" i="46"/>
  <c r="AT153" i="46" s="1"/>
  <c r="Y153" i="45" s="1"/>
  <c r="AT91" i="46"/>
  <c r="AQ137" i="46"/>
  <c r="AR75" i="46"/>
  <c r="AQ174" i="46"/>
  <c r="AR112" i="46"/>
  <c r="AQ166" i="46"/>
  <c r="AR104" i="46"/>
  <c r="AS74" i="46"/>
  <c r="AR136" i="46"/>
  <c r="AR111" i="46"/>
  <c r="AQ173" i="46"/>
  <c r="X28" i="18"/>
  <c r="Y43" i="13"/>
  <c r="Y37" i="13"/>
  <c r="Z131" i="45" l="1"/>
  <c r="AZ131" i="46"/>
  <c r="BA131" i="46" s="1"/>
  <c r="BB131" i="46" s="1"/>
  <c r="BC131" i="46" s="1"/>
  <c r="BD131" i="46" s="1"/>
  <c r="Z130" i="45"/>
  <c r="AZ130" i="46"/>
  <c r="BA130" i="46" s="1"/>
  <c r="BB130" i="46" s="1"/>
  <c r="BC130" i="46" s="1"/>
  <c r="BD130" i="46" s="1"/>
  <c r="AT4" i="46"/>
  <c r="Y47" i="13"/>
  <c r="Y31" i="13"/>
  <c r="Y48" i="13"/>
  <c r="AU142" i="46"/>
  <c r="AV80" i="46"/>
  <c r="AV87" i="46"/>
  <c r="AU149" i="46"/>
  <c r="AV105" i="46"/>
  <c r="AU167" i="46"/>
  <c r="AV128" i="46"/>
  <c r="AV117" i="46"/>
  <c r="AU179" i="46"/>
  <c r="AV109" i="46"/>
  <c r="AU171" i="46"/>
  <c r="AV96" i="46"/>
  <c r="AU158" i="46"/>
  <c r="AX72" i="46"/>
  <c r="Y91" i="45"/>
  <c r="AU91" i="46"/>
  <c r="Y113" i="45"/>
  <c r="AU113" i="46"/>
  <c r="AR173" i="46"/>
  <c r="AS111" i="46"/>
  <c r="AR166" i="46"/>
  <c r="AS104" i="46"/>
  <c r="AS136" i="46"/>
  <c r="AT136" i="46" s="1"/>
  <c r="Y136" i="45" s="1"/>
  <c r="AT74" i="46"/>
  <c r="AR174" i="46"/>
  <c r="AS112" i="46"/>
  <c r="AR169" i="46"/>
  <c r="AS107" i="46"/>
  <c r="AS187" i="46"/>
  <c r="AT187" i="46" s="1"/>
  <c r="Y187" i="45" s="1"/>
  <c r="AT125" i="46"/>
  <c r="AR135" i="46"/>
  <c r="AS73" i="46"/>
  <c r="AR177" i="46"/>
  <c r="AS115" i="46"/>
  <c r="AR141" i="46"/>
  <c r="AS79" i="46"/>
  <c r="AR139" i="46"/>
  <c r="AS77" i="46"/>
  <c r="AR138" i="46"/>
  <c r="AS76" i="46"/>
  <c r="AS168" i="46"/>
  <c r="AT168" i="46" s="1"/>
  <c r="Y168" i="45" s="1"/>
  <c r="AT106" i="46"/>
  <c r="AS172" i="46"/>
  <c r="AT172" i="46" s="1"/>
  <c r="Y172" i="45" s="1"/>
  <c r="AT110" i="46"/>
  <c r="AR178" i="46"/>
  <c r="AS116" i="46"/>
  <c r="AS154" i="46"/>
  <c r="AT154" i="46" s="1"/>
  <c r="Y154" i="45" s="1"/>
  <c r="AT92" i="46"/>
  <c r="AR188" i="46"/>
  <c r="AS126" i="46"/>
  <c r="AS134" i="46"/>
  <c r="AT127" i="46"/>
  <c r="AS189" i="46"/>
  <c r="AT189" i="46" s="1"/>
  <c r="Y189" i="45" s="1"/>
  <c r="AR170" i="46"/>
  <c r="AS108" i="46"/>
  <c r="AR137" i="46"/>
  <c r="AS75" i="46"/>
  <c r="AS140" i="46"/>
  <c r="AT140" i="46" s="1"/>
  <c r="Y140" i="45" s="1"/>
  <c r="AT78" i="46"/>
  <c r="AS144" i="46"/>
  <c r="AT144" i="46" s="1"/>
  <c r="Y144" i="45" s="1"/>
  <c r="AT82" i="46"/>
  <c r="AR165" i="46"/>
  <c r="AS103" i="46"/>
  <c r="AR152" i="46"/>
  <c r="AS90" i="46"/>
  <c r="AS159" i="46"/>
  <c r="AT159" i="46" s="1"/>
  <c r="Y159" i="45" s="1"/>
  <c r="AT97" i="46"/>
  <c r="AR151" i="46"/>
  <c r="AS89" i="46"/>
  <c r="AR155" i="46"/>
  <c r="AS93" i="46"/>
  <c r="AS181" i="46"/>
  <c r="AT181" i="46" s="1"/>
  <c r="Y181" i="45" s="1"/>
  <c r="AT119" i="46"/>
  <c r="AS182" i="46"/>
  <c r="AT182" i="46" s="1"/>
  <c r="Y182" i="45" s="1"/>
  <c r="AT120" i="46"/>
  <c r="AS95" i="46"/>
  <c r="AR157" i="46"/>
  <c r="AR145" i="46"/>
  <c r="AS83" i="46"/>
  <c r="AS176" i="46"/>
  <c r="AT176" i="46" s="1"/>
  <c r="Y176" i="45" s="1"/>
  <c r="AT114" i="46"/>
  <c r="AS150" i="46"/>
  <c r="AT150" i="46" s="1"/>
  <c r="Y150" i="45" s="1"/>
  <c r="AT88" i="46"/>
  <c r="AS180" i="46"/>
  <c r="AT180" i="46" s="1"/>
  <c r="Y180" i="45" s="1"/>
  <c r="AT118" i="46"/>
  <c r="X101" i="13"/>
  <c r="X103" i="13"/>
  <c r="X104" i="13" s="1"/>
  <c r="Z101" i="13"/>
  <c r="U101" i="15" s="1"/>
  <c r="Z103" i="13"/>
  <c r="Z104" i="13" s="1"/>
  <c r="Y32" i="13"/>
  <c r="AA130" i="45" l="1"/>
  <c r="BE130" i="46"/>
  <c r="BF130" i="46" s="1"/>
  <c r="BG130" i="46" s="1"/>
  <c r="BH130" i="46" s="1"/>
  <c r="BI130" i="46" s="1"/>
  <c r="AB130" i="45" s="1"/>
  <c r="AC130" i="45" s="1"/>
  <c r="AD130" i="45" s="1"/>
  <c r="AE130" i="45" s="1"/>
  <c r="AF130" i="45" s="1"/>
  <c r="AA131" i="45"/>
  <c r="BE131" i="46"/>
  <c r="BF131" i="46" s="1"/>
  <c r="BG131" i="46" s="1"/>
  <c r="BH131" i="46" s="1"/>
  <c r="BI131" i="46" s="1"/>
  <c r="AB131" i="45" s="1"/>
  <c r="AC131" i="45" s="1"/>
  <c r="AD131" i="45" s="1"/>
  <c r="AE131" i="45" s="1"/>
  <c r="AF131" i="45" s="1"/>
  <c r="AU4" i="46"/>
  <c r="Y118" i="45"/>
  <c r="AU118" i="46"/>
  <c r="AU153" i="46"/>
  <c r="AV91" i="46"/>
  <c r="Y119" i="45"/>
  <c r="AU119" i="46"/>
  <c r="Y82" i="45"/>
  <c r="AU82" i="46"/>
  <c r="Y106" i="45"/>
  <c r="AU106" i="46"/>
  <c r="Y125" i="45"/>
  <c r="AU125" i="46"/>
  <c r="AW96" i="46"/>
  <c r="AV158" i="46"/>
  <c r="AW117" i="46"/>
  <c r="AV179" i="46"/>
  <c r="AW87" i="46"/>
  <c r="AV149" i="46"/>
  <c r="Y114" i="45"/>
  <c r="AU114" i="46"/>
  <c r="Y88" i="45"/>
  <c r="AU88" i="46"/>
  <c r="Y120" i="45"/>
  <c r="AU120" i="46"/>
  <c r="Y127" i="45"/>
  <c r="AU127" i="46"/>
  <c r="AV113" i="46"/>
  <c r="AU175" i="46"/>
  <c r="AW80" i="46"/>
  <c r="AV142" i="46"/>
  <c r="Y97" i="45"/>
  <c r="AU97" i="46"/>
  <c r="Y78" i="45"/>
  <c r="AU78" i="46"/>
  <c r="Y92" i="45"/>
  <c r="AU92" i="46"/>
  <c r="Y110" i="45"/>
  <c r="AU110" i="46"/>
  <c r="Y74" i="45"/>
  <c r="AU74" i="46"/>
  <c r="AY72" i="46"/>
  <c r="AW109" i="46"/>
  <c r="AV171" i="46"/>
  <c r="AW128" i="46"/>
  <c r="AW105" i="46"/>
  <c r="AV167" i="46"/>
  <c r="Y4" i="45"/>
  <c r="AS157" i="46"/>
  <c r="AT157" i="46" s="1"/>
  <c r="Y157" i="45" s="1"/>
  <c r="AT95" i="46"/>
  <c r="AS155" i="46"/>
  <c r="AT155" i="46" s="1"/>
  <c r="Y155" i="45" s="1"/>
  <c r="AT93" i="46"/>
  <c r="AS137" i="46"/>
  <c r="AT137" i="46" s="1"/>
  <c r="Y137" i="45" s="1"/>
  <c r="AT75" i="46"/>
  <c r="AS135" i="46"/>
  <c r="AT135" i="46" s="1"/>
  <c r="Y135" i="45" s="1"/>
  <c r="AT73" i="46"/>
  <c r="AS145" i="46"/>
  <c r="AT145" i="46" s="1"/>
  <c r="Y145" i="45" s="1"/>
  <c r="AT83" i="46"/>
  <c r="AS165" i="46"/>
  <c r="AT165" i="46" s="1"/>
  <c r="Y165" i="45" s="1"/>
  <c r="AT103" i="46"/>
  <c r="AT77" i="46"/>
  <c r="AS139" i="46"/>
  <c r="AT139" i="46" s="1"/>
  <c r="Y139" i="45" s="1"/>
  <c r="AS169" i="46"/>
  <c r="AT169" i="46" s="1"/>
  <c r="Y169" i="45" s="1"/>
  <c r="AT107" i="46"/>
  <c r="AS173" i="46"/>
  <c r="AT173" i="46" s="1"/>
  <c r="Y173" i="45" s="1"/>
  <c r="AT111" i="46"/>
  <c r="AS151" i="46"/>
  <c r="AT151" i="46" s="1"/>
  <c r="Y151" i="45" s="1"/>
  <c r="AT89" i="46"/>
  <c r="AS170" i="46"/>
  <c r="AT170" i="46" s="1"/>
  <c r="Y170" i="45" s="1"/>
  <c r="AT108" i="46"/>
  <c r="AS177" i="46"/>
  <c r="AT177" i="46" s="1"/>
  <c r="Y177" i="45" s="1"/>
  <c r="AT115" i="46"/>
  <c r="AS152" i="46"/>
  <c r="AT152" i="46" s="1"/>
  <c r="Y152" i="45" s="1"/>
  <c r="AT90" i="46"/>
  <c r="AS188" i="46"/>
  <c r="AT188" i="46" s="1"/>
  <c r="Y188" i="45" s="1"/>
  <c r="AT126" i="46"/>
  <c r="AS178" i="46"/>
  <c r="AT178" i="46" s="1"/>
  <c r="Y178" i="45" s="1"/>
  <c r="AT116" i="46"/>
  <c r="AS138" i="46"/>
  <c r="AT138" i="46" s="1"/>
  <c r="Y138" i="45" s="1"/>
  <c r="AT76" i="46"/>
  <c r="AS141" i="46"/>
  <c r="AT141" i="46" s="1"/>
  <c r="Y141" i="45" s="1"/>
  <c r="AT79" i="46"/>
  <c r="AS174" i="46"/>
  <c r="AT174" i="46" s="1"/>
  <c r="Y174" i="45" s="1"/>
  <c r="AT112" i="46"/>
  <c r="AS166" i="46"/>
  <c r="AT166" i="46" s="1"/>
  <c r="Y166" i="45" s="1"/>
  <c r="AT104" i="46"/>
  <c r="AT134" i="46"/>
  <c r="Y134" i="45" s="1"/>
  <c r="Y101" i="13"/>
  <c r="Z72" i="45" l="1"/>
  <c r="AZ72" i="46"/>
  <c r="AV4" i="46"/>
  <c r="AW4" i="46" s="1"/>
  <c r="AW61" i="46" s="1"/>
  <c r="AU134" i="46"/>
  <c r="Y104" i="45"/>
  <c r="AU104" i="46"/>
  <c r="Y79" i="45"/>
  <c r="AU79" i="46"/>
  <c r="Y116" i="45"/>
  <c r="AU116" i="46"/>
  <c r="Y90" i="45"/>
  <c r="AU90" i="46"/>
  <c r="Y108" i="45"/>
  <c r="AU108" i="46"/>
  <c r="Y111" i="45"/>
  <c r="AU111" i="46"/>
  <c r="AU136" i="46"/>
  <c r="AV74" i="46"/>
  <c r="AV92" i="46"/>
  <c r="AU154" i="46"/>
  <c r="AV97" i="46"/>
  <c r="AU159" i="46"/>
  <c r="AU182" i="46"/>
  <c r="AV120" i="46"/>
  <c r="AV114" i="46"/>
  <c r="AU176" i="46"/>
  <c r="AU187" i="46"/>
  <c r="AV125" i="46"/>
  <c r="AV82" i="46"/>
  <c r="AU144" i="46"/>
  <c r="AW91" i="46"/>
  <c r="AV153" i="46"/>
  <c r="Y83" i="45"/>
  <c r="AU83" i="46"/>
  <c r="Y75" i="45"/>
  <c r="AU75" i="46"/>
  <c r="Y95" i="45"/>
  <c r="AU95" i="46"/>
  <c r="AX105" i="46"/>
  <c r="AW167" i="46"/>
  <c r="AX109" i="46"/>
  <c r="AW171" i="46"/>
  <c r="AW113" i="46"/>
  <c r="AV175" i="46"/>
  <c r="AX117" i="46"/>
  <c r="AW179" i="46"/>
  <c r="Y77" i="45"/>
  <c r="AU77" i="46"/>
  <c r="Y112" i="45"/>
  <c r="AU112" i="46"/>
  <c r="Y76" i="45"/>
  <c r="AU76" i="46"/>
  <c r="Y126" i="45"/>
  <c r="AU126" i="46"/>
  <c r="Y115" i="45"/>
  <c r="AU115" i="46"/>
  <c r="Y89" i="45"/>
  <c r="AU89" i="46"/>
  <c r="Y107" i="45"/>
  <c r="AU107" i="46"/>
  <c r="Y103" i="45"/>
  <c r="AU103" i="46"/>
  <c r="AU172" i="46"/>
  <c r="AV110" i="46"/>
  <c r="AU140" i="46"/>
  <c r="AV78" i="46"/>
  <c r="AU189" i="46"/>
  <c r="AV127" i="46"/>
  <c r="AV88" i="46"/>
  <c r="AU150" i="46"/>
  <c r="AV106" i="46"/>
  <c r="AU168" i="46"/>
  <c r="AV119" i="46"/>
  <c r="AU181" i="46"/>
  <c r="AU180" i="46"/>
  <c r="AV118" i="46"/>
  <c r="Y73" i="45"/>
  <c r="AU73" i="46"/>
  <c r="Y93" i="45"/>
  <c r="AU93" i="46"/>
  <c r="AX128" i="46"/>
  <c r="AX80" i="46"/>
  <c r="AW142" i="46"/>
  <c r="AX87" i="46"/>
  <c r="AW149" i="46"/>
  <c r="AX96" i="46"/>
  <c r="AW158" i="46"/>
  <c r="AV134" i="46"/>
  <c r="AB26" i="2"/>
  <c r="W26" i="2"/>
  <c r="V21" i="2"/>
  <c r="V18" i="2" s="1"/>
  <c r="V12" i="2"/>
  <c r="V9" i="2" s="1"/>
  <c r="V24" i="2"/>
  <c r="AA24" i="2"/>
  <c r="AA21" i="2"/>
  <c r="AF22" i="2" s="1"/>
  <c r="AA12" i="2"/>
  <c r="BA72" i="46" l="1"/>
  <c r="AW67" i="46"/>
  <c r="AW68" i="46" a="1"/>
  <c r="AW68" i="46" s="1"/>
  <c r="AX4" i="46"/>
  <c r="AW134" i="46"/>
  <c r="AY87" i="46"/>
  <c r="AX149" i="46"/>
  <c r="AY149" i="46" s="1"/>
  <c r="Z149" i="45" s="1"/>
  <c r="AY128" i="46"/>
  <c r="AW78" i="46"/>
  <c r="AV140" i="46"/>
  <c r="AX113" i="46"/>
  <c r="AW175" i="46"/>
  <c r="AY105" i="46"/>
  <c r="AX167" i="46"/>
  <c r="AY167" i="46" s="1"/>
  <c r="Z167" i="45" s="1"/>
  <c r="AX91" i="46"/>
  <c r="AW153" i="46"/>
  <c r="AW92" i="46"/>
  <c r="AV154" i="46"/>
  <c r="AV111" i="46"/>
  <c r="AU173" i="46"/>
  <c r="AV90" i="46"/>
  <c r="AU152" i="46"/>
  <c r="AV79" i="46"/>
  <c r="AU141" i="46"/>
  <c r="AU155" i="46"/>
  <c r="AV93" i="46"/>
  <c r="AW118" i="46"/>
  <c r="AV180" i="46"/>
  <c r="AW119" i="46"/>
  <c r="AV181" i="46"/>
  <c r="AW88" i="46"/>
  <c r="AV150" i="46"/>
  <c r="AV103" i="46"/>
  <c r="AU165" i="46"/>
  <c r="AU151" i="46"/>
  <c r="AV89" i="46"/>
  <c r="AV126" i="46"/>
  <c r="AU188" i="46"/>
  <c r="AU174" i="46"/>
  <c r="AV112" i="46"/>
  <c r="AV95" i="46"/>
  <c r="AU157" i="46"/>
  <c r="AU145" i="46"/>
  <c r="AV83" i="46"/>
  <c r="AW74" i="46"/>
  <c r="AV136" i="46"/>
  <c r="AX158" i="46"/>
  <c r="AY158" i="46" s="1"/>
  <c r="Z158" i="45" s="1"/>
  <c r="AY96" i="46"/>
  <c r="AX142" i="46"/>
  <c r="AY142" i="46" s="1"/>
  <c r="Z142" i="45" s="1"/>
  <c r="AY80" i="46"/>
  <c r="AW127" i="46"/>
  <c r="AV189" i="46"/>
  <c r="AW110" i="46"/>
  <c r="AV172" i="46"/>
  <c r="AY117" i="46"/>
  <c r="AX179" i="46"/>
  <c r="AY179" i="46" s="1"/>
  <c r="Z179" i="45" s="1"/>
  <c r="AY109" i="46"/>
  <c r="AX171" i="46"/>
  <c r="AY171" i="46" s="1"/>
  <c r="Z171" i="45" s="1"/>
  <c r="AW82" i="46"/>
  <c r="AV144" i="46"/>
  <c r="AW114" i="46"/>
  <c r="AV176" i="46"/>
  <c r="AW97" i="46"/>
  <c r="AV159" i="46"/>
  <c r="AU170" i="46"/>
  <c r="AV108" i="46"/>
  <c r="AU178" i="46"/>
  <c r="AV116" i="46"/>
  <c r="AU166" i="46"/>
  <c r="AV104" i="46"/>
  <c r="AV73" i="46"/>
  <c r="AU135" i="46"/>
  <c r="AW106" i="46"/>
  <c r="AV168" i="46"/>
  <c r="AV107" i="46"/>
  <c r="AU169" i="46"/>
  <c r="AV115" i="46"/>
  <c r="AU177" i="46"/>
  <c r="AV76" i="46"/>
  <c r="AU138" i="46"/>
  <c r="AV77" i="46"/>
  <c r="AU139" i="46"/>
  <c r="AV75" i="46"/>
  <c r="AU137" i="46"/>
  <c r="AW125" i="46"/>
  <c r="AV187" i="46"/>
  <c r="AW120" i="46"/>
  <c r="AV182" i="46"/>
  <c r="AA9" i="2"/>
  <c r="AF10" i="2" s="1"/>
  <c r="AF13" i="2"/>
  <c r="AA18" i="2"/>
  <c r="V26" i="2"/>
  <c r="X21" i="2"/>
  <c r="AC22" i="2" s="1"/>
  <c r="X12" i="2"/>
  <c r="AC13" i="2" s="1"/>
  <c r="AA26" i="2"/>
  <c r="AF27" i="2" s="1"/>
  <c r="Z109" i="45" l="1"/>
  <c r="AZ109" i="46"/>
  <c r="Z105" i="45"/>
  <c r="AZ105" i="46"/>
  <c r="Z128" i="45"/>
  <c r="AZ128" i="46"/>
  <c r="Z96" i="45"/>
  <c r="AZ96" i="46"/>
  <c r="Z117" i="45"/>
  <c r="AZ117" i="46"/>
  <c r="BB72" i="46"/>
  <c r="Z80" i="45"/>
  <c r="AZ80" i="46"/>
  <c r="Z87" i="45"/>
  <c r="AZ87" i="46"/>
  <c r="AW69" i="46"/>
  <c r="AX68" i="46" a="1"/>
  <c r="AX68" i="46" s="1"/>
  <c r="AX67" i="46"/>
  <c r="AW116" i="46"/>
  <c r="AV178" i="46"/>
  <c r="AW83" i="46"/>
  <c r="AV145" i="46"/>
  <c r="AW112" i="46"/>
  <c r="AV174" i="46"/>
  <c r="AW89" i="46"/>
  <c r="AV151" i="46"/>
  <c r="AX120" i="46"/>
  <c r="AW182" i="46"/>
  <c r="AW75" i="46"/>
  <c r="AV137" i="46"/>
  <c r="AW76" i="46"/>
  <c r="AV138" i="46"/>
  <c r="AW107" i="46"/>
  <c r="AV169" i="46"/>
  <c r="AW73" i="46"/>
  <c r="AV135" i="46"/>
  <c r="AX97" i="46"/>
  <c r="AW159" i="46"/>
  <c r="AX82" i="46"/>
  <c r="AW144" i="46"/>
  <c r="AX127" i="46"/>
  <c r="AW189" i="46"/>
  <c r="AX88" i="46"/>
  <c r="AW150" i="46"/>
  <c r="AX118" i="46"/>
  <c r="AW180" i="46"/>
  <c r="AW79" i="46"/>
  <c r="AV141" i="46"/>
  <c r="AW111" i="46"/>
  <c r="AV173" i="46"/>
  <c r="AY91" i="46"/>
  <c r="AX153" i="46"/>
  <c r="AY153" i="46" s="1"/>
  <c r="Z153" i="45" s="1"/>
  <c r="AY113" i="46"/>
  <c r="AX175" i="46"/>
  <c r="AY175" i="46" s="1"/>
  <c r="Z175" i="45" s="1"/>
  <c r="AW104" i="46"/>
  <c r="AV166" i="46"/>
  <c r="AW108" i="46"/>
  <c r="AV170" i="46"/>
  <c r="AW93" i="46"/>
  <c r="AV155" i="46"/>
  <c r="AX125" i="46"/>
  <c r="AW187" i="46"/>
  <c r="AW77" i="46"/>
  <c r="AV139" i="46"/>
  <c r="AW115" i="46"/>
  <c r="AV177" i="46"/>
  <c r="AX106" i="46"/>
  <c r="AW168" i="46"/>
  <c r="AX114" i="46"/>
  <c r="AW176" i="46"/>
  <c r="AX110" i="46"/>
  <c r="AW172" i="46"/>
  <c r="AX74" i="46"/>
  <c r="AW136" i="46"/>
  <c r="AW95" i="46"/>
  <c r="AV157" i="46"/>
  <c r="AW126" i="46"/>
  <c r="AV188" i="46"/>
  <c r="AW103" i="46"/>
  <c r="AV165" i="46"/>
  <c r="AX119" i="46"/>
  <c r="AW181" i="46"/>
  <c r="AW90" i="46"/>
  <c r="AV152" i="46"/>
  <c r="AX92" i="46"/>
  <c r="AW154" i="46"/>
  <c r="AX78" i="46"/>
  <c r="AW140" i="46"/>
  <c r="AY4" i="46"/>
  <c r="AZ4" i="46" s="1"/>
  <c r="AZ61" i="46" s="1"/>
  <c r="AX134" i="46"/>
  <c r="AA10" i="2"/>
  <c r="AA19" i="2"/>
  <c r="AF19" i="2"/>
  <c r="X9" i="2"/>
  <c r="X18" i="2"/>
  <c r="AC19" i="2" s="1"/>
  <c r="X24" i="2"/>
  <c r="AB22" i="2"/>
  <c r="AB13" i="2"/>
  <c r="AB41" i="2"/>
  <c r="Y40" i="2"/>
  <c r="Z43" i="2"/>
  <c r="X43" i="2"/>
  <c r="AC44" i="2" s="1"/>
  <c r="W43" i="2"/>
  <c r="V43" i="2"/>
  <c r="U43" i="2"/>
  <c r="S43" i="2"/>
  <c r="R43" i="2"/>
  <c r="Q43" i="2"/>
  <c r="P43" i="2"/>
  <c r="N43" i="2"/>
  <c r="M43" i="2"/>
  <c r="L43" i="2"/>
  <c r="K43" i="2"/>
  <c r="I43" i="2"/>
  <c r="H43" i="2"/>
  <c r="G43" i="2"/>
  <c r="Y29" i="2"/>
  <c r="AA30" i="2"/>
  <c r="Z30" i="2"/>
  <c r="X30" i="2"/>
  <c r="W30" i="2"/>
  <c r="V30" i="2"/>
  <c r="AB30" i="2"/>
  <c r="A87" i="15"/>
  <c r="A86" i="15"/>
  <c r="U87" i="15"/>
  <c r="U86" i="15"/>
  <c r="U25" i="15"/>
  <c r="A25" i="15"/>
  <c r="A41" i="15"/>
  <c r="W43" i="15"/>
  <c r="V43" i="15"/>
  <c r="U43" i="15"/>
  <c r="A43" i="15"/>
  <c r="A40" i="15"/>
  <c r="AA90" i="13"/>
  <c r="Z90" i="13"/>
  <c r="Z91" i="13" s="1"/>
  <c r="X90" i="13"/>
  <c r="AB90" i="13"/>
  <c r="Z91" i="45" l="1"/>
  <c r="AZ91" i="46"/>
  <c r="AZ149" i="46"/>
  <c r="BA87" i="46"/>
  <c r="AZ158" i="46"/>
  <c r="BA96" i="46"/>
  <c r="BA105" i="46"/>
  <c r="AZ167" i="46"/>
  <c r="BC72" i="46"/>
  <c r="BA4" i="46"/>
  <c r="BA61" i="46" s="1"/>
  <c r="AZ134" i="46"/>
  <c r="Z113" i="45"/>
  <c r="AZ113" i="46"/>
  <c r="AZ142" i="46"/>
  <c r="BA80" i="46"/>
  <c r="BA117" i="46"/>
  <c r="AZ179" i="46"/>
  <c r="BA128" i="46"/>
  <c r="BA109" i="46"/>
  <c r="AZ171" i="46"/>
  <c r="AX69" i="46"/>
  <c r="Z4" i="45"/>
  <c r="AY134" i="46"/>
  <c r="Z134" i="45" s="1"/>
  <c r="AX89" i="46"/>
  <c r="AW151" i="46"/>
  <c r="AX83" i="46"/>
  <c r="AW145" i="46"/>
  <c r="AY78" i="46"/>
  <c r="AX140" i="46"/>
  <c r="AY140" i="46" s="1"/>
  <c r="Z140" i="45" s="1"/>
  <c r="AX90" i="46"/>
  <c r="AW152" i="46"/>
  <c r="AX103" i="46"/>
  <c r="AW165" i="46"/>
  <c r="AX95" i="46"/>
  <c r="AW157" i="46"/>
  <c r="AX172" i="46"/>
  <c r="AY172" i="46" s="1"/>
  <c r="Z172" i="45" s="1"/>
  <c r="AY110" i="46"/>
  <c r="AY106" i="46"/>
  <c r="AX168" i="46"/>
  <c r="AY168" i="46" s="1"/>
  <c r="Z168" i="45" s="1"/>
  <c r="AX77" i="46"/>
  <c r="AW139" i="46"/>
  <c r="AX93" i="46"/>
  <c r="AW155" i="46"/>
  <c r="AX104" i="46"/>
  <c r="AW166" i="46"/>
  <c r="AX79" i="46"/>
  <c r="AW141" i="46"/>
  <c r="AY88" i="46"/>
  <c r="AX150" i="46"/>
  <c r="AY150" i="46" s="1"/>
  <c r="Z150" i="45" s="1"/>
  <c r="AY82" i="46"/>
  <c r="AX144" i="46"/>
  <c r="AY144" i="46" s="1"/>
  <c r="Z144" i="45" s="1"/>
  <c r="AX73" i="46"/>
  <c r="AW135" i="46"/>
  <c r="AX76" i="46"/>
  <c r="AW138" i="46"/>
  <c r="AX182" i="46"/>
  <c r="AY182" i="46" s="1"/>
  <c r="Z182" i="45" s="1"/>
  <c r="AY120" i="46"/>
  <c r="AX112" i="46"/>
  <c r="AW174" i="46"/>
  <c r="AX116" i="46"/>
  <c r="AW178" i="46"/>
  <c r="AY92" i="46"/>
  <c r="AX154" i="46"/>
  <c r="AY154" i="46" s="1"/>
  <c r="Z154" i="45" s="1"/>
  <c r="AY119" i="46"/>
  <c r="AX181" i="46"/>
  <c r="AY181" i="46" s="1"/>
  <c r="Z181" i="45" s="1"/>
  <c r="AX126" i="46"/>
  <c r="AW188" i="46"/>
  <c r="AX136" i="46"/>
  <c r="AY136" i="46" s="1"/>
  <c r="Z136" i="45" s="1"/>
  <c r="AY74" i="46"/>
  <c r="AY114" i="46"/>
  <c r="AX176" i="46"/>
  <c r="AY176" i="46" s="1"/>
  <c r="Z176" i="45" s="1"/>
  <c r="AX115" i="46"/>
  <c r="AW177" i="46"/>
  <c r="AY125" i="46"/>
  <c r="AX187" i="46"/>
  <c r="AY187" i="46" s="1"/>
  <c r="Z187" i="45" s="1"/>
  <c r="AX108" i="46"/>
  <c r="AW170" i="46"/>
  <c r="AX111" i="46"/>
  <c r="AW173" i="46"/>
  <c r="AY118" i="46"/>
  <c r="AX180" i="46"/>
  <c r="AY180" i="46" s="1"/>
  <c r="Z180" i="45" s="1"/>
  <c r="AX189" i="46"/>
  <c r="AY189" i="46" s="1"/>
  <c r="Z189" i="45" s="1"/>
  <c r="AY127" i="46"/>
  <c r="AY97" i="46"/>
  <c r="AX159" i="46"/>
  <c r="AY159" i="46" s="1"/>
  <c r="Z159" i="45" s="1"/>
  <c r="AX107" i="46"/>
  <c r="AW169" i="46"/>
  <c r="AX75" i="46"/>
  <c r="AW137" i="46"/>
  <c r="AF31" i="2"/>
  <c r="AF91" i="13"/>
  <c r="AA41" i="2"/>
  <c r="AE41" i="2" s="1"/>
  <c r="AB43" i="2"/>
  <c r="AG44" i="2" s="1"/>
  <c r="X91" i="13"/>
  <c r="K46" i="2"/>
  <c r="U46" i="2"/>
  <c r="X4" i="13"/>
  <c r="G46" i="2"/>
  <c r="L46" i="2"/>
  <c r="Q46" i="2"/>
  <c r="V46" i="2"/>
  <c r="W4" i="13"/>
  <c r="Z46" i="2"/>
  <c r="AB4" i="13"/>
  <c r="U30" i="10"/>
  <c r="Z4" i="13"/>
  <c r="H46" i="2"/>
  <c r="M46" i="2"/>
  <c r="R46" i="2"/>
  <c r="W46" i="2"/>
  <c r="P46" i="2"/>
  <c r="AA31" i="2"/>
  <c r="V4" i="13"/>
  <c r="AA4" i="13"/>
  <c r="I46" i="2"/>
  <c r="N46" i="2"/>
  <c r="S46" i="2"/>
  <c r="X46" i="2"/>
  <c r="AC25" i="13"/>
  <c r="AD25" i="13" s="1"/>
  <c r="I4" i="13"/>
  <c r="C4" i="13"/>
  <c r="K4" i="13"/>
  <c r="H4" i="13"/>
  <c r="B4" i="13"/>
  <c r="G4" i="13"/>
  <c r="AB31" i="2"/>
  <c r="Z97" i="45" l="1"/>
  <c r="AZ97" i="46"/>
  <c r="Z118" i="45"/>
  <c r="AZ118" i="46"/>
  <c r="Z119" i="45"/>
  <c r="AZ119" i="46"/>
  <c r="Z88" i="45"/>
  <c r="AZ88" i="46"/>
  <c r="Z78" i="45"/>
  <c r="AZ78" i="46"/>
  <c r="AZ175" i="46"/>
  <c r="BA113" i="46"/>
  <c r="BA149" i="46"/>
  <c r="BB87" i="46"/>
  <c r="Z127" i="45"/>
  <c r="AZ127" i="46"/>
  <c r="BA167" i="46"/>
  <c r="BB105" i="46"/>
  <c r="BA171" i="46"/>
  <c r="BB109" i="46"/>
  <c r="Z125" i="45"/>
  <c r="AZ125" i="46"/>
  <c r="Z114" i="45"/>
  <c r="AZ114" i="46"/>
  <c r="Z92" i="45"/>
  <c r="AZ92" i="46"/>
  <c r="Z82" i="45"/>
  <c r="AZ82" i="46"/>
  <c r="Z106" i="45"/>
  <c r="AZ106" i="46"/>
  <c r="BA190" i="46"/>
  <c r="BB128" i="46"/>
  <c r="BA142" i="46"/>
  <c r="BB80" i="46"/>
  <c r="BD72" i="46"/>
  <c r="BA158" i="46"/>
  <c r="BB96" i="46"/>
  <c r="AZ153" i="46"/>
  <c r="BA91" i="46"/>
  <c r="BA179" i="46"/>
  <c r="BB117" i="46"/>
  <c r="Z74" i="45"/>
  <c r="AZ74" i="46"/>
  <c r="Z120" i="45"/>
  <c r="AZ120" i="46"/>
  <c r="Z110" i="45"/>
  <c r="AZ110" i="46"/>
  <c r="BA68" i="46" a="1"/>
  <c r="BA68" i="46" s="1"/>
  <c r="BB4" i="46"/>
  <c r="BB61" i="46" s="1"/>
  <c r="BA67" i="46"/>
  <c r="BA134" i="46"/>
  <c r="AY107" i="46"/>
  <c r="AX169" i="46"/>
  <c r="AY169" i="46" s="1"/>
  <c r="Z169" i="45" s="1"/>
  <c r="AY111" i="46"/>
  <c r="AX173" i="46"/>
  <c r="AY173" i="46" s="1"/>
  <c r="Z173" i="45" s="1"/>
  <c r="AY126" i="46"/>
  <c r="AX188" i="46"/>
  <c r="AY188" i="46" s="1"/>
  <c r="Z188" i="45" s="1"/>
  <c r="AY116" i="46"/>
  <c r="AX178" i="46"/>
  <c r="AY178" i="46" s="1"/>
  <c r="Z178" i="45" s="1"/>
  <c r="AY73" i="46"/>
  <c r="AX135" i="46"/>
  <c r="AX166" i="46"/>
  <c r="AY166" i="46" s="1"/>
  <c r="Z166" i="45" s="1"/>
  <c r="AY104" i="46"/>
  <c r="AY77" i="46"/>
  <c r="AX139" i="46"/>
  <c r="AY139" i="46" s="1"/>
  <c r="Z139" i="45" s="1"/>
  <c r="AY103" i="46"/>
  <c r="AX165" i="46"/>
  <c r="AY165" i="46" s="1"/>
  <c r="Z165" i="45" s="1"/>
  <c r="AY89" i="46"/>
  <c r="AX151" i="46"/>
  <c r="AY151" i="46" s="1"/>
  <c r="Z151" i="45" s="1"/>
  <c r="AY75" i="46"/>
  <c r="AX137" i="46"/>
  <c r="AY137" i="46" s="1"/>
  <c r="Z137" i="45" s="1"/>
  <c r="AX170" i="46"/>
  <c r="AY170" i="46" s="1"/>
  <c r="Z170" i="45" s="1"/>
  <c r="AY108" i="46"/>
  <c r="AY115" i="46"/>
  <c r="AX177" i="46"/>
  <c r="AY177" i="46" s="1"/>
  <c r="Z177" i="45" s="1"/>
  <c r="AX174" i="46"/>
  <c r="AY174" i="46" s="1"/>
  <c r="Z174" i="45" s="1"/>
  <c r="AY112" i="46"/>
  <c r="AY76" i="46"/>
  <c r="AX138" i="46"/>
  <c r="AY138" i="46" s="1"/>
  <c r="Z138" i="45" s="1"/>
  <c r="AY79" i="46"/>
  <c r="AX141" i="46"/>
  <c r="AY141" i="46" s="1"/>
  <c r="Z141" i="45" s="1"/>
  <c r="AX155" i="46"/>
  <c r="AY155" i="46" s="1"/>
  <c r="Z155" i="45" s="1"/>
  <c r="AY93" i="46"/>
  <c r="AY95" i="46"/>
  <c r="AX157" i="46"/>
  <c r="AY157" i="46" s="1"/>
  <c r="Z157" i="45" s="1"/>
  <c r="AY90" i="46"/>
  <c r="AX152" i="46"/>
  <c r="AY152" i="46" s="1"/>
  <c r="Z152" i="45" s="1"/>
  <c r="AX145" i="46"/>
  <c r="AY145" i="46" s="1"/>
  <c r="Z145" i="45" s="1"/>
  <c r="AY83" i="46"/>
  <c r="AA43" i="2"/>
  <c r="AF44" i="2" s="1"/>
  <c r="AB46" i="2"/>
  <c r="AE24" i="13"/>
  <c r="AE25" i="13"/>
  <c r="V25" i="15" s="1"/>
  <c r="AG25" i="13"/>
  <c r="AJ25" i="13" s="1"/>
  <c r="AJ26" i="13" s="1"/>
  <c r="Z64" i="13"/>
  <c r="AB26" i="13"/>
  <c r="X26" i="13"/>
  <c r="Z26" i="13"/>
  <c r="V26" i="13"/>
  <c r="Y25" i="13"/>
  <c r="Y42" i="14"/>
  <c r="V36" i="14"/>
  <c r="Y36" i="14" s="1"/>
  <c r="V70" i="14"/>
  <c r="Y19" i="14"/>
  <c r="Y18" i="14"/>
  <c r="Y8" i="14"/>
  <c r="V49" i="16"/>
  <c r="V48" i="16"/>
  <c r="V47" i="16"/>
  <c r="V43" i="16"/>
  <c r="V31" i="16"/>
  <c r="V30" i="16"/>
  <c r="V29" i="16"/>
  <c r="V28" i="16"/>
  <c r="V25" i="16"/>
  <c r="V19" i="16"/>
  <c r="AH72" i="18" s="1"/>
  <c r="V8" i="16"/>
  <c r="AA64" i="14"/>
  <c r="Y14" i="14"/>
  <c r="AA72" i="45" l="1"/>
  <c r="BE72" i="46"/>
  <c r="AZ144" i="46"/>
  <c r="BA82" i="46"/>
  <c r="Z90" i="45"/>
  <c r="AZ90" i="46"/>
  <c r="Z111" i="45"/>
  <c r="AZ111" i="46"/>
  <c r="BA69" i="46"/>
  <c r="Z93" i="45"/>
  <c r="AZ93" i="46"/>
  <c r="Z104" i="45"/>
  <c r="AZ104" i="46"/>
  <c r="BB68" i="46" a="1"/>
  <c r="BB68" i="46" s="1"/>
  <c r="BB67" i="46"/>
  <c r="BC4" i="46"/>
  <c r="BC61" i="46" s="1"/>
  <c r="BD61" i="46" s="1"/>
  <c r="BB134" i="46"/>
  <c r="AZ182" i="46"/>
  <c r="BA120" i="46"/>
  <c r="BB179" i="46"/>
  <c r="BC117" i="46"/>
  <c r="BB158" i="46"/>
  <c r="BC96" i="46"/>
  <c r="BB190" i="46"/>
  <c r="BC128" i="46"/>
  <c r="AZ176" i="46"/>
  <c r="BA114" i="46"/>
  <c r="BC109" i="46"/>
  <c r="BB171" i="46"/>
  <c r="AZ189" i="46"/>
  <c r="BA127" i="46"/>
  <c r="BA175" i="46"/>
  <c r="BB113" i="46"/>
  <c r="AZ150" i="46"/>
  <c r="BA88" i="46"/>
  <c r="AZ180" i="46"/>
  <c r="BA118" i="46"/>
  <c r="Z76" i="45"/>
  <c r="AZ76" i="46"/>
  <c r="Z115" i="45"/>
  <c r="AZ115" i="46"/>
  <c r="Z75" i="45"/>
  <c r="AZ75" i="46"/>
  <c r="Z103" i="45"/>
  <c r="AZ103" i="46"/>
  <c r="Z116" i="45"/>
  <c r="AZ116" i="46"/>
  <c r="Z83" i="45"/>
  <c r="AZ83" i="46"/>
  <c r="Z112" i="45"/>
  <c r="AZ112" i="46"/>
  <c r="Z108" i="45"/>
  <c r="AZ108" i="46"/>
  <c r="AZ172" i="46"/>
  <c r="BA110" i="46"/>
  <c r="AZ136" i="46"/>
  <c r="BA74" i="46"/>
  <c r="BA153" i="46"/>
  <c r="BB91" i="46"/>
  <c r="BB142" i="46"/>
  <c r="BC80" i="46"/>
  <c r="BA106" i="46"/>
  <c r="AZ168" i="46"/>
  <c r="AZ154" i="46"/>
  <c r="BA92" i="46"/>
  <c r="BA125" i="46"/>
  <c r="AZ187" i="46"/>
  <c r="BC105" i="46"/>
  <c r="BB167" i="46"/>
  <c r="BB149" i="46"/>
  <c r="BC87" i="46"/>
  <c r="AZ140" i="46"/>
  <c r="BA78" i="46"/>
  <c r="AZ181" i="46"/>
  <c r="BA119" i="46"/>
  <c r="AZ159" i="46"/>
  <c r="BA97" i="46"/>
  <c r="Z95" i="45"/>
  <c r="AZ95" i="46"/>
  <c r="Z79" i="45"/>
  <c r="AZ79" i="46"/>
  <c r="Z89" i="45"/>
  <c r="AZ89" i="46"/>
  <c r="Z77" i="45"/>
  <c r="AZ77" i="46"/>
  <c r="Z73" i="45"/>
  <c r="AZ73" i="46"/>
  <c r="Z126" i="45"/>
  <c r="AZ126" i="46"/>
  <c r="Z107" i="45"/>
  <c r="AZ107" i="46"/>
  <c r="AA46" i="2"/>
  <c r="AF47" i="2" s="1"/>
  <c r="AY135" i="46"/>
  <c r="Z135" i="45" s="1"/>
  <c r="V113" i="13"/>
  <c r="V20" i="16"/>
  <c r="AA113" i="13"/>
  <c r="U64" i="15"/>
  <c r="Y64" i="13"/>
  <c r="AA88" i="14"/>
  <c r="V18" i="16"/>
  <c r="AH71" i="18" s="1"/>
  <c r="V64" i="14"/>
  <c r="V65" i="14" s="1"/>
  <c r="Y24" i="13"/>
  <c r="Z44" i="14"/>
  <c r="U44" i="16" s="1"/>
  <c r="X44" i="14"/>
  <c r="W44" i="14"/>
  <c r="V44" i="14"/>
  <c r="T44" i="16"/>
  <c r="S44" i="16"/>
  <c r="R44" i="16"/>
  <c r="Q44" i="16"/>
  <c r="AB17" i="14"/>
  <c r="AB50" i="14"/>
  <c r="W50" i="16"/>
  <c r="W50" i="14"/>
  <c r="V50" i="14"/>
  <c r="T50" i="16"/>
  <c r="S50" i="16"/>
  <c r="R50" i="16"/>
  <c r="Q50" i="16"/>
  <c r="AA50" i="14"/>
  <c r="U50" i="16"/>
  <c r="Y49" i="14"/>
  <c r="Y48" i="14"/>
  <c r="Y47" i="14"/>
  <c r="A39" i="16"/>
  <c r="A43" i="16"/>
  <c r="A42" i="16"/>
  <c r="A41" i="16"/>
  <c r="A40" i="16"/>
  <c r="A38" i="16"/>
  <c r="A36" i="16"/>
  <c r="Y30" i="14"/>
  <c r="Y29" i="14"/>
  <c r="Y28" i="14"/>
  <c r="Y27" i="14"/>
  <c r="Y26" i="14"/>
  <c r="A26" i="16"/>
  <c r="A29" i="16"/>
  <c r="A28" i="16"/>
  <c r="A8" i="16"/>
  <c r="A14" i="16"/>
  <c r="BY67" i="17" s="1"/>
  <c r="A19" i="16"/>
  <c r="BY72" i="17" s="1"/>
  <c r="A18" i="16"/>
  <c r="BY71" i="17" s="1"/>
  <c r="Y45" i="17"/>
  <c r="Y50" i="17"/>
  <c r="U16" i="18"/>
  <c r="T16" i="18"/>
  <c r="S16" i="18"/>
  <c r="R16" i="18"/>
  <c r="Q16" i="18"/>
  <c r="U15" i="18"/>
  <c r="T15" i="18"/>
  <c r="S15" i="18"/>
  <c r="R15" i="18"/>
  <c r="Q15" i="18"/>
  <c r="U18" i="18"/>
  <c r="T18" i="18"/>
  <c r="S18" i="18"/>
  <c r="R18" i="18"/>
  <c r="Q18" i="18"/>
  <c r="W28" i="18"/>
  <c r="V28" i="18"/>
  <c r="U28" i="18"/>
  <c r="T28" i="18"/>
  <c r="S28" i="18"/>
  <c r="R28" i="18"/>
  <c r="Q28" i="18"/>
  <c r="U30" i="18"/>
  <c r="T30" i="18"/>
  <c r="S30" i="18"/>
  <c r="R30" i="18"/>
  <c r="Q30" i="18"/>
  <c r="A28" i="18"/>
  <c r="W45" i="18"/>
  <c r="V45" i="18"/>
  <c r="U45" i="18"/>
  <c r="T45" i="18"/>
  <c r="S45" i="18"/>
  <c r="R45" i="18"/>
  <c r="Q45" i="18"/>
  <c r="U50" i="18"/>
  <c r="T50" i="18"/>
  <c r="S50" i="18"/>
  <c r="R50" i="18"/>
  <c r="Q50" i="18"/>
  <c r="A45" i="18"/>
  <c r="Z34" i="17"/>
  <c r="AB34" i="17"/>
  <c r="Y30" i="17"/>
  <c r="Y28" i="17"/>
  <c r="Z22" i="17"/>
  <c r="AB22" i="17"/>
  <c r="W16" i="18"/>
  <c r="AC16" i="18" s="1"/>
  <c r="AD16" i="18" s="1"/>
  <c r="AE16" i="18" s="1"/>
  <c r="AF16" i="18" s="1"/>
  <c r="W15" i="18"/>
  <c r="AC15" i="18" s="1"/>
  <c r="AD15" i="18" s="1"/>
  <c r="AE15" i="18" s="1"/>
  <c r="AF15" i="18" s="1"/>
  <c r="AB54" i="17"/>
  <c r="AB58" i="17" s="1"/>
  <c r="AB41" i="17"/>
  <c r="A50" i="18"/>
  <c r="A18" i="18"/>
  <c r="A30" i="18"/>
  <c r="Y16" i="17"/>
  <c r="Y15" i="17"/>
  <c r="A16" i="18"/>
  <c r="A15" i="18"/>
  <c r="AB62" i="13"/>
  <c r="AB59" i="13"/>
  <c r="AB48" i="13"/>
  <c r="AB44" i="2"/>
  <c r="Q20" i="74"/>
  <c r="AD50" i="14" l="1"/>
  <c r="BF72" i="46"/>
  <c r="AZ169" i="46"/>
  <c r="BA107" i="46"/>
  <c r="BA73" i="46"/>
  <c r="AZ135" i="46"/>
  <c r="AZ151" i="46"/>
  <c r="BA89" i="46"/>
  <c r="AZ157" i="46"/>
  <c r="BA95" i="46"/>
  <c r="BA181" i="46"/>
  <c r="BB119" i="46"/>
  <c r="BC149" i="46"/>
  <c r="BD149" i="46" s="1"/>
  <c r="AA149" i="45" s="1"/>
  <c r="AJ149" i="45" s="1"/>
  <c r="BD87" i="46"/>
  <c r="BB153" i="46"/>
  <c r="BC91" i="46"/>
  <c r="BA172" i="46"/>
  <c r="BB110" i="46"/>
  <c r="AZ170" i="46"/>
  <c r="BA108" i="46"/>
  <c r="AZ145" i="46"/>
  <c r="BA83" i="46"/>
  <c r="AZ165" i="46"/>
  <c r="BA103" i="46"/>
  <c r="AZ177" i="46"/>
  <c r="BA115" i="46"/>
  <c r="BA180" i="46"/>
  <c r="BB118" i="46"/>
  <c r="BC113" i="46"/>
  <c r="BB175" i="46"/>
  <c r="BD128" i="46"/>
  <c r="BC190" i="46"/>
  <c r="BC179" i="46"/>
  <c r="BD179" i="46" s="1"/>
  <c r="AA179" i="45" s="1"/>
  <c r="AJ179" i="45" s="1"/>
  <c r="BD117" i="46"/>
  <c r="AZ166" i="46"/>
  <c r="BA104" i="46"/>
  <c r="BA90" i="46"/>
  <c r="AZ152" i="46"/>
  <c r="BB125" i="46"/>
  <c r="BA187" i="46"/>
  <c r="BA168" i="46"/>
  <c r="BB106" i="46"/>
  <c r="BC171" i="46"/>
  <c r="BD171" i="46" s="1"/>
  <c r="AA171" i="45" s="1"/>
  <c r="AJ171" i="45" s="1"/>
  <c r="BD109" i="46"/>
  <c r="BC68" i="46" a="1"/>
  <c r="BC68" i="46" s="1"/>
  <c r="BC67" i="46"/>
  <c r="BD4" i="46"/>
  <c r="BD62" i="46" s="1"/>
  <c r="BD65" i="46" s="1"/>
  <c r="BC134" i="46"/>
  <c r="BD134" i="46" s="1"/>
  <c r="AA134" i="45" s="1"/>
  <c r="AJ134" i="45" s="1"/>
  <c r="AZ188" i="46"/>
  <c r="BA77" i="46"/>
  <c r="AZ139" i="46"/>
  <c r="AZ141" i="46"/>
  <c r="BA79" i="46"/>
  <c r="BA159" i="46"/>
  <c r="BB97" i="46"/>
  <c r="BA140" i="46"/>
  <c r="BB78" i="46"/>
  <c r="BA154" i="46"/>
  <c r="BB92" i="46"/>
  <c r="BD80" i="46"/>
  <c r="BC142" i="46"/>
  <c r="BD142" i="46" s="1"/>
  <c r="AA142" i="45" s="1"/>
  <c r="AJ142" i="45" s="1"/>
  <c r="BA136" i="46"/>
  <c r="BB74" i="46"/>
  <c r="AZ174" i="46"/>
  <c r="BA112" i="46"/>
  <c r="AZ178" i="46"/>
  <c r="BA116" i="46"/>
  <c r="AZ137" i="46"/>
  <c r="BA75" i="46"/>
  <c r="AZ138" i="46"/>
  <c r="BA76" i="46"/>
  <c r="BA150" i="46"/>
  <c r="BB88" i="46"/>
  <c r="BB127" i="46"/>
  <c r="BA189" i="46"/>
  <c r="BA176" i="46"/>
  <c r="BB114" i="46"/>
  <c r="BC158" i="46"/>
  <c r="BD158" i="46" s="1"/>
  <c r="AA158" i="45" s="1"/>
  <c r="AJ158" i="45" s="1"/>
  <c r="BD96" i="46"/>
  <c r="BA182" i="46"/>
  <c r="BB120" i="46"/>
  <c r="BA93" i="46"/>
  <c r="AZ155" i="46"/>
  <c r="AZ173" i="46"/>
  <c r="BA111" i="46"/>
  <c r="BA144" i="46"/>
  <c r="BB82" i="46"/>
  <c r="BD105" i="46"/>
  <c r="BC167" i="46"/>
  <c r="BD167" i="46" s="1"/>
  <c r="AA167" i="45" s="1"/>
  <c r="AJ167" i="45" s="1"/>
  <c r="BB69" i="46"/>
  <c r="W25" i="15"/>
  <c r="AC25" i="15" s="1"/>
  <c r="AD25" i="15" s="1"/>
  <c r="AE25" i="15" s="1"/>
  <c r="AF25" i="15" s="1"/>
  <c r="V50" i="16"/>
  <c r="U14" i="20"/>
  <c r="Y50" i="14"/>
  <c r="X64" i="13"/>
  <c r="Y65" i="13"/>
  <c r="AE88" i="14"/>
  <c r="AA87" i="14"/>
  <c r="W18" i="18"/>
  <c r="AC18" i="18" s="1"/>
  <c r="AD18" i="18" s="1"/>
  <c r="AE18" i="18" s="1"/>
  <c r="AF18" i="18" s="1"/>
  <c r="V16" i="18"/>
  <c r="V15" i="18"/>
  <c r="AB43" i="17"/>
  <c r="AB60" i="17" s="1"/>
  <c r="V18" i="18"/>
  <c r="AA105" i="45" l="1"/>
  <c r="BE105" i="46"/>
  <c r="AA80" i="45"/>
  <c r="BE80" i="46"/>
  <c r="AA109" i="45"/>
  <c r="BE109" i="46"/>
  <c r="AA96" i="45"/>
  <c r="BE96" i="46"/>
  <c r="AA4" i="45"/>
  <c r="BE4" i="46"/>
  <c r="BE61" i="46" s="1"/>
  <c r="AA128" i="45"/>
  <c r="BE128" i="46"/>
  <c r="AA117" i="45"/>
  <c r="BE117" i="46"/>
  <c r="AA87" i="45"/>
  <c r="BE87" i="46"/>
  <c r="BG72" i="46"/>
  <c r="BA155" i="46"/>
  <c r="BB93" i="46"/>
  <c r="BB76" i="46"/>
  <c r="BA138" i="46"/>
  <c r="BB116" i="46"/>
  <c r="BA178" i="46"/>
  <c r="BB136" i="46"/>
  <c r="BC74" i="46"/>
  <c r="BB154" i="46"/>
  <c r="BC92" i="46"/>
  <c r="BC97" i="46"/>
  <c r="BB159" i="46"/>
  <c r="BA166" i="46"/>
  <c r="BB104" i="46"/>
  <c r="BB115" i="46"/>
  <c r="BA177" i="46"/>
  <c r="BB83" i="46"/>
  <c r="BA145" i="46"/>
  <c r="BC110" i="46"/>
  <c r="BB172" i="46"/>
  <c r="BB95" i="46"/>
  <c r="BA157" i="46"/>
  <c r="BB111" i="46"/>
  <c r="BA173" i="46"/>
  <c r="BB189" i="46"/>
  <c r="BC127" i="46"/>
  <c r="BB77" i="46"/>
  <c r="BA139" i="46"/>
  <c r="BC125" i="46"/>
  <c r="BB187" i="46"/>
  <c r="BD113" i="46"/>
  <c r="BC175" i="46"/>
  <c r="BD175" i="46" s="1"/>
  <c r="AA175" i="45" s="1"/>
  <c r="AJ175" i="45" s="1"/>
  <c r="BA135" i="46"/>
  <c r="BB73" i="46"/>
  <c r="BB182" i="46"/>
  <c r="BC120" i="46"/>
  <c r="BC114" i="46"/>
  <c r="BB176" i="46"/>
  <c r="BB150" i="46"/>
  <c r="BC88" i="46"/>
  <c r="BA137" i="46"/>
  <c r="BB75" i="46"/>
  <c r="BA174" i="46"/>
  <c r="BB112" i="46"/>
  <c r="BC78" i="46"/>
  <c r="BB140" i="46"/>
  <c r="BB79" i="46"/>
  <c r="BA141" i="46"/>
  <c r="BB126" i="46"/>
  <c r="BA188" i="46"/>
  <c r="BB168" i="46"/>
  <c r="BC106" i="46"/>
  <c r="BC118" i="46"/>
  <c r="BB180" i="46"/>
  <c r="BA165" i="46"/>
  <c r="BB103" i="46"/>
  <c r="BB108" i="46"/>
  <c r="BA170" i="46"/>
  <c r="BD91" i="46"/>
  <c r="BC153" i="46"/>
  <c r="BD153" i="46" s="1"/>
  <c r="AA153" i="45" s="1"/>
  <c r="AJ153" i="45" s="1"/>
  <c r="BB181" i="46"/>
  <c r="BC119" i="46"/>
  <c r="BA151" i="46"/>
  <c r="BB89" i="46"/>
  <c r="BA169" i="46"/>
  <c r="BB107" i="46"/>
  <c r="BB144" i="46"/>
  <c r="BC82" i="46"/>
  <c r="BC69" i="46"/>
  <c r="BA152" i="46"/>
  <c r="BB90" i="46"/>
  <c r="AC65" i="13"/>
  <c r="W64" i="13"/>
  <c r="X65" i="13"/>
  <c r="V88" i="16"/>
  <c r="AE87" i="14"/>
  <c r="V87" i="16" s="1"/>
  <c r="BE149" i="46" l="1"/>
  <c r="BF87" i="46"/>
  <c r="BF128" i="46"/>
  <c r="BE190" i="46"/>
  <c r="BF96" i="46"/>
  <c r="BE158" i="46"/>
  <c r="BF80" i="46"/>
  <c r="BE142" i="46"/>
  <c r="AA91" i="45"/>
  <c r="BE91" i="46"/>
  <c r="AA113" i="45"/>
  <c r="BE113" i="46"/>
  <c r="BF117" i="46"/>
  <c r="BE179" i="46"/>
  <c r="BF4" i="46"/>
  <c r="BE68" i="46" a="1"/>
  <c r="BE68" i="46" s="1"/>
  <c r="BE67" i="46"/>
  <c r="BE134" i="46"/>
  <c r="BF109" i="46"/>
  <c r="BE171" i="46"/>
  <c r="BF105" i="46"/>
  <c r="BE167" i="46"/>
  <c r="BH72" i="46"/>
  <c r="BB152" i="46"/>
  <c r="BC90" i="46"/>
  <c r="BC144" i="46"/>
  <c r="BD144" i="46" s="1"/>
  <c r="AA144" i="45" s="1"/>
  <c r="BD82" i="46"/>
  <c r="BC89" i="46"/>
  <c r="BB151" i="46"/>
  <c r="BC103" i="46"/>
  <c r="BB165" i="46"/>
  <c r="BB174" i="46"/>
  <c r="BC112" i="46"/>
  <c r="BD88" i="46"/>
  <c r="BC150" i="46"/>
  <c r="BD150" i="46" s="1"/>
  <c r="AA150" i="45" s="1"/>
  <c r="AJ150" i="45" s="1"/>
  <c r="BC182" i="46"/>
  <c r="BD182" i="46" s="1"/>
  <c r="AA182" i="45" s="1"/>
  <c r="AJ182" i="45" s="1"/>
  <c r="BD120" i="46"/>
  <c r="BC189" i="46"/>
  <c r="BD189" i="46" s="1"/>
  <c r="AA189" i="45" s="1"/>
  <c r="AJ189" i="45" s="1"/>
  <c r="BD127" i="46"/>
  <c r="BD110" i="46"/>
  <c r="BC172" i="46"/>
  <c r="BD172" i="46" s="1"/>
  <c r="AA172" i="45" s="1"/>
  <c r="AJ172" i="45" s="1"/>
  <c r="BB177" i="46"/>
  <c r="BC115" i="46"/>
  <c r="BD74" i="46"/>
  <c r="BC136" i="46"/>
  <c r="BD136" i="46" s="1"/>
  <c r="AA136" i="45" s="1"/>
  <c r="AJ136" i="45" s="1"/>
  <c r="BB141" i="46"/>
  <c r="BC79" i="46"/>
  <c r="BB166" i="46"/>
  <c r="BC104" i="46"/>
  <c r="BD97" i="46"/>
  <c r="BC159" i="46"/>
  <c r="BD159" i="46" s="1"/>
  <c r="AA159" i="45" s="1"/>
  <c r="AJ159" i="45" s="1"/>
  <c r="BB138" i="46"/>
  <c r="BC76" i="46"/>
  <c r="BC107" i="46"/>
  <c r="BB169" i="46"/>
  <c r="BC181" i="46"/>
  <c r="BD181" i="46" s="1"/>
  <c r="AA181" i="45" s="1"/>
  <c r="AJ181" i="45" s="1"/>
  <c r="BD119" i="46"/>
  <c r="BD106" i="46"/>
  <c r="BC168" i="46"/>
  <c r="BD168" i="46" s="1"/>
  <c r="AA168" i="45" s="1"/>
  <c r="AJ168" i="45" s="1"/>
  <c r="BC75" i="46"/>
  <c r="BB137" i="46"/>
  <c r="BC73" i="46"/>
  <c r="BB135" i="46"/>
  <c r="BB157" i="46"/>
  <c r="BC95" i="46"/>
  <c r="BB145" i="46"/>
  <c r="BC83" i="46"/>
  <c r="BD92" i="46"/>
  <c r="BC154" i="46"/>
  <c r="BD154" i="46" s="1"/>
  <c r="AA154" i="45" s="1"/>
  <c r="AJ154" i="45" s="1"/>
  <c r="BC93" i="46"/>
  <c r="BB155" i="46"/>
  <c r="BB170" i="46"/>
  <c r="BC108" i="46"/>
  <c r="BD118" i="46"/>
  <c r="BC180" i="46"/>
  <c r="BD180" i="46" s="1"/>
  <c r="AA180" i="45" s="1"/>
  <c r="AJ180" i="45" s="1"/>
  <c r="BC126" i="46"/>
  <c r="BB188" i="46"/>
  <c r="BD78" i="46"/>
  <c r="BC140" i="46"/>
  <c r="BD140" i="46" s="1"/>
  <c r="AA140" i="45" s="1"/>
  <c r="AJ140" i="45" s="1"/>
  <c r="BC176" i="46"/>
  <c r="BD176" i="46" s="1"/>
  <c r="AA176" i="45" s="1"/>
  <c r="AJ176" i="45" s="1"/>
  <c r="BD114" i="46"/>
  <c r="BC187" i="46"/>
  <c r="BD187" i="46" s="1"/>
  <c r="AA187" i="45" s="1"/>
  <c r="AJ187" i="45" s="1"/>
  <c r="BD125" i="46"/>
  <c r="BC77" i="46"/>
  <c r="BB139" i="46"/>
  <c r="BB173" i="46"/>
  <c r="BC111" i="46"/>
  <c r="BB178" i="46"/>
  <c r="BC116" i="46"/>
  <c r="V64" i="13"/>
  <c r="U64" i="13" s="1"/>
  <c r="Z65" i="13" s="1"/>
  <c r="U65" i="15" s="1"/>
  <c r="W65" i="13"/>
  <c r="AB65" i="13"/>
  <c r="Y33" i="13"/>
  <c r="Y23" i="13"/>
  <c r="Y52" i="14"/>
  <c r="Y43" i="14"/>
  <c r="Y37" i="14"/>
  <c r="Y35" i="14"/>
  <c r="Y38" i="14"/>
  <c r="Y39" i="14"/>
  <c r="Y41" i="14"/>
  <c r="Y40" i="14"/>
  <c r="Z32" i="14"/>
  <c r="X32" i="14"/>
  <c r="W32" i="14"/>
  <c r="V32" i="14"/>
  <c r="Y31" i="14"/>
  <c r="Y25" i="14"/>
  <c r="Y24" i="14"/>
  <c r="Y20" i="14"/>
  <c r="X17" i="14"/>
  <c r="W17" i="14"/>
  <c r="V17" i="14"/>
  <c r="Y16" i="14"/>
  <c r="Y15" i="14"/>
  <c r="Y13" i="14"/>
  <c r="Y12" i="14"/>
  <c r="Y11" i="14"/>
  <c r="Y9" i="14"/>
  <c r="Y6" i="14"/>
  <c r="Y7" i="14"/>
  <c r="Y5" i="14"/>
  <c r="AA114" i="45" l="1"/>
  <c r="BE114" i="46"/>
  <c r="AA119" i="45"/>
  <c r="BE119" i="46"/>
  <c r="AA120" i="45"/>
  <c r="BE120" i="46"/>
  <c r="BG117" i="46"/>
  <c r="BF179" i="46"/>
  <c r="BF142" i="46"/>
  <c r="BG80" i="46"/>
  <c r="BG128" i="46"/>
  <c r="BF190" i="46"/>
  <c r="AA92" i="45"/>
  <c r="BE92" i="46"/>
  <c r="AA110" i="45"/>
  <c r="BE110" i="46"/>
  <c r="BI72" i="46"/>
  <c r="AB72" i="45" s="1"/>
  <c r="AC72" i="45" s="1"/>
  <c r="BE69" i="46"/>
  <c r="BF91" i="46"/>
  <c r="BE153" i="46"/>
  <c r="BF149" i="46"/>
  <c r="BG87" i="46"/>
  <c r="AA74" i="45"/>
  <c r="BE74" i="46"/>
  <c r="AA127" i="45"/>
  <c r="BE127" i="46"/>
  <c r="AA82" i="45"/>
  <c r="BE82" i="46"/>
  <c r="BG4" i="46"/>
  <c r="BF68" i="46" a="1"/>
  <c r="BF68" i="46" s="1"/>
  <c r="BF67" i="46"/>
  <c r="BF134" i="46"/>
  <c r="BF158" i="46"/>
  <c r="BG96" i="46"/>
  <c r="BF171" i="46"/>
  <c r="BG109" i="46"/>
  <c r="AA125" i="45"/>
  <c r="BE125" i="46"/>
  <c r="AA78" i="45"/>
  <c r="BE78" i="46"/>
  <c r="AA118" i="45"/>
  <c r="BE118" i="46"/>
  <c r="AA106" i="45"/>
  <c r="BE106" i="46"/>
  <c r="AA97" i="45"/>
  <c r="BE97" i="46"/>
  <c r="AA88" i="45"/>
  <c r="BE88" i="46"/>
  <c r="BG105" i="46"/>
  <c r="BF167" i="46"/>
  <c r="BF113" i="46"/>
  <c r="BE175" i="46"/>
  <c r="AJ144" i="45"/>
  <c r="BC178" i="46"/>
  <c r="BD178" i="46" s="1"/>
  <c r="AA178" i="45" s="1"/>
  <c r="AJ178" i="45" s="1"/>
  <c r="BD116" i="46"/>
  <c r="BC139" i="46"/>
  <c r="BD139" i="46" s="1"/>
  <c r="AA139" i="45" s="1"/>
  <c r="AJ139" i="45" s="1"/>
  <c r="BD77" i="46"/>
  <c r="BC170" i="46"/>
  <c r="BD170" i="46" s="1"/>
  <c r="AA170" i="45" s="1"/>
  <c r="AJ170" i="45" s="1"/>
  <c r="BD108" i="46"/>
  <c r="BC155" i="46"/>
  <c r="BD155" i="46" s="1"/>
  <c r="AA155" i="45" s="1"/>
  <c r="AJ155" i="45" s="1"/>
  <c r="BD93" i="46"/>
  <c r="BD73" i="46"/>
  <c r="BC135" i="46"/>
  <c r="BD107" i="46"/>
  <c r="BC169" i="46"/>
  <c r="BD169" i="46" s="1"/>
  <c r="AA169" i="45" s="1"/>
  <c r="AJ169" i="45" s="1"/>
  <c r="BC165" i="46"/>
  <c r="BD165" i="46" s="1"/>
  <c r="AA165" i="45" s="1"/>
  <c r="AJ165" i="45" s="1"/>
  <c r="BD103" i="46"/>
  <c r="BD111" i="46"/>
  <c r="BC173" i="46"/>
  <c r="BD173" i="46" s="1"/>
  <c r="AA173" i="45" s="1"/>
  <c r="AJ173" i="45" s="1"/>
  <c r="BC188" i="46"/>
  <c r="BD188" i="46" s="1"/>
  <c r="AA188" i="45" s="1"/>
  <c r="AJ188" i="45" s="1"/>
  <c r="BD126" i="46"/>
  <c r="BC157" i="46"/>
  <c r="BD157" i="46" s="1"/>
  <c r="AA157" i="45" s="1"/>
  <c r="AJ157" i="45" s="1"/>
  <c r="BD95" i="46"/>
  <c r="BD76" i="46"/>
  <c r="BC138" i="46"/>
  <c r="BD138" i="46" s="1"/>
  <c r="AA138" i="45" s="1"/>
  <c r="AJ138" i="45" s="1"/>
  <c r="BD104" i="46"/>
  <c r="BC166" i="46"/>
  <c r="BD166" i="46" s="1"/>
  <c r="AA166" i="45" s="1"/>
  <c r="AJ166" i="45" s="1"/>
  <c r="BD112" i="46"/>
  <c r="BC174" i="46"/>
  <c r="BD174" i="46" s="1"/>
  <c r="AA174" i="45" s="1"/>
  <c r="AJ174" i="45" s="1"/>
  <c r="BD90" i="46"/>
  <c r="BC152" i="46"/>
  <c r="BD152" i="46" s="1"/>
  <c r="AA152" i="45" s="1"/>
  <c r="AJ152" i="45" s="1"/>
  <c r="BC137" i="46"/>
  <c r="BD137" i="46" s="1"/>
  <c r="AA137" i="45" s="1"/>
  <c r="AJ137" i="45" s="1"/>
  <c r="BD75" i="46"/>
  <c r="BD89" i="46"/>
  <c r="BC151" i="46"/>
  <c r="BD151" i="46" s="1"/>
  <c r="AA151" i="45" s="1"/>
  <c r="AJ151" i="45" s="1"/>
  <c r="BC145" i="46"/>
  <c r="BD145" i="46" s="1"/>
  <c r="AA145" i="45" s="1"/>
  <c r="AJ145" i="45" s="1"/>
  <c r="BD83" i="46"/>
  <c r="BC141" i="46"/>
  <c r="BD141" i="46" s="1"/>
  <c r="AA141" i="45" s="1"/>
  <c r="AJ141" i="45" s="1"/>
  <c r="BD79" i="46"/>
  <c r="BD115" i="46"/>
  <c r="BC177" i="46"/>
  <c r="BD177" i="46" s="1"/>
  <c r="AA177" i="45" s="1"/>
  <c r="AJ177" i="45" s="1"/>
  <c r="AC45" i="18"/>
  <c r="AD45" i="18" s="1"/>
  <c r="Y70" i="14"/>
  <c r="Y113" i="13"/>
  <c r="V65" i="13"/>
  <c r="AA65" i="13"/>
  <c r="AE47" i="13"/>
  <c r="Y44" i="14"/>
  <c r="Y17" i="14"/>
  <c r="Y32" i="14"/>
  <c r="AD72" i="45" l="1"/>
  <c r="AA79" i="45"/>
  <c r="BE79" i="46"/>
  <c r="AA95" i="45"/>
  <c r="BE95" i="46"/>
  <c r="AA93" i="45"/>
  <c r="BE93" i="46"/>
  <c r="AA77" i="45"/>
  <c r="BE77" i="46"/>
  <c r="BG113" i="46"/>
  <c r="BF175" i="46"/>
  <c r="BF153" i="46"/>
  <c r="BG91" i="46"/>
  <c r="BE181" i="46"/>
  <c r="BF119" i="46"/>
  <c r="AA107" i="45"/>
  <c r="BE107" i="46"/>
  <c r="BF97" i="46"/>
  <c r="BE159" i="46"/>
  <c r="BF118" i="46"/>
  <c r="BE180" i="46"/>
  <c r="BF69" i="46"/>
  <c r="BE189" i="46"/>
  <c r="BF127" i="46"/>
  <c r="BG149" i="46"/>
  <c r="BH87" i="46"/>
  <c r="BE172" i="46"/>
  <c r="BF110" i="46"/>
  <c r="AA104" i="45"/>
  <c r="BE104" i="46"/>
  <c r="BF125" i="46"/>
  <c r="BE187" i="46"/>
  <c r="AA103" i="45"/>
  <c r="BE103" i="46"/>
  <c r="AA108" i="45"/>
  <c r="BE108" i="46"/>
  <c r="AA116" i="45"/>
  <c r="BE116" i="46"/>
  <c r="BH105" i="46"/>
  <c r="BG167" i="46"/>
  <c r="BG190" i="46"/>
  <c r="BH128" i="46"/>
  <c r="BH117" i="46"/>
  <c r="BG179" i="46"/>
  <c r="BF120" i="46"/>
  <c r="BE182" i="46"/>
  <c r="BE176" i="46"/>
  <c r="BF114" i="46"/>
  <c r="AA89" i="45"/>
  <c r="BE89" i="46"/>
  <c r="AA90" i="45"/>
  <c r="BE90" i="46"/>
  <c r="AA111" i="45"/>
  <c r="BE111" i="46"/>
  <c r="BH96" i="46"/>
  <c r="BG158" i="46"/>
  <c r="AA83" i="45"/>
  <c r="BE83" i="46"/>
  <c r="AA75" i="45"/>
  <c r="BE75" i="46"/>
  <c r="AA126" i="45"/>
  <c r="BE126" i="46"/>
  <c r="AA115" i="45"/>
  <c r="BE115" i="46"/>
  <c r="AA112" i="45"/>
  <c r="BE112" i="46"/>
  <c r="AA76" i="45"/>
  <c r="BE76" i="46"/>
  <c r="AA73" i="45"/>
  <c r="BE73" i="46"/>
  <c r="BF88" i="46"/>
  <c r="BE150" i="46"/>
  <c r="BF106" i="46"/>
  <c r="BE168" i="46"/>
  <c r="BE140" i="46"/>
  <c r="BF78" i="46"/>
  <c r="BG171" i="46"/>
  <c r="BH109" i="46"/>
  <c r="BG67" i="46"/>
  <c r="BG35" i="14" s="1"/>
  <c r="BH4" i="46"/>
  <c r="BG68" i="46" a="1"/>
  <c r="BG68" i="46" s="1"/>
  <c r="BG134" i="46"/>
  <c r="BE144" i="46"/>
  <c r="BF82" i="46"/>
  <c r="BE136" i="46"/>
  <c r="BF74" i="46"/>
  <c r="BE154" i="46"/>
  <c r="BF92" i="46"/>
  <c r="BG142" i="46"/>
  <c r="BH80" i="46"/>
  <c r="AD43" i="16"/>
  <c r="AE45" i="18"/>
  <c r="AF45" i="18" s="1"/>
  <c r="AF43" i="16" s="1"/>
  <c r="BD135" i="46"/>
  <c r="AA135" i="45" s="1"/>
  <c r="AJ135" i="45" s="1"/>
  <c r="AC43" i="16"/>
  <c r="AE48" i="13"/>
  <c r="AE33" i="13"/>
  <c r="AE23" i="13"/>
  <c r="AE72" i="45" l="1"/>
  <c r="AE43" i="16"/>
  <c r="BH67" i="46"/>
  <c r="BH35" i="14" s="1"/>
  <c r="BH68" i="46" a="1"/>
  <c r="BH68" i="46" s="1"/>
  <c r="BI4" i="46"/>
  <c r="AB4" i="45" s="1"/>
  <c r="BH134" i="46"/>
  <c r="BG78" i="46"/>
  <c r="BF140" i="46"/>
  <c r="BE138" i="46"/>
  <c r="BF76" i="46"/>
  <c r="BE177" i="46"/>
  <c r="BF115" i="46"/>
  <c r="BF75" i="46"/>
  <c r="BE137" i="46"/>
  <c r="BE152" i="46"/>
  <c r="BF90" i="46"/>
  <c r="BF176" i="46"/>
  <c r="BG114" i="46"/>
  <c r="BE170" i="46"/>
  <c r="BF108" i="46"/>
  <c r="BG110" i="46"/>
  <c r="BF172" i="46"/>
  <c r="BG127" i="46"/>
  <c r="BF189" i="46"/>
  <c r="BF107" i="46"/>
  <c r="BE169" i="46"/>
  <c r="BH91" i="46"/>
  <c r="BG153" i="46"/>
  <c r="BF93" i="46"/>
  <c r="BE155" i="46"/>
  <c r="BE141" i="46"/>
  <c r="BF79" i="46"/>
  <c r="BG88" i="46"/>
  <c r="BF150" i="46"/>
  <c r="BI96" i="46"/>
  <c r="AB96" i="45" s="1"/>
  <c r="AC96" i="45" s="1"/>
  <c r="BH158" i="46"/>
  <c r="BI158" i="46" s="1"/>
  <c r="AB158" i="45" s="1"/>
  <c r="BI117" i="46"/>
  <c r="AB117" i="45" s="1"/>
  <c r="AC117" i="45" s="1"/>
  <c r="BH179" i="46"/>
  <c r="BI179" i="46" s="1"/>
  <c r="AB179" i="45" s="1"/>
  <c r="BI105" i="46"/>
  <c r="AB105" i="45" s="1"/>
  <c r="AC105" i="45" s="1"/>
  <c r="BH167" i="46"/>
  <c r="BI167" i="46" s="1"/>
  <c r="AB167" i="45" s="1"/>
  <c r="BG125" i="46"/>
  <c r="BF187" i="46"/>
  <c r="BF180" i="46"/>
  <c r="BG118" i="46"/>
  <c r="BH113" i="46"/>
  <c r="BG175" i="46"/>
  <c r="BF136" i="46"/>
  <c r="BG74" i="46"/>
  <c r="BG37" i="14"/>
  <c r="BG69" i="46"/>
  <c r="BI109" i="46"/>
  <c r="AB109" i="45" s="1"/>
  <c r="AC109" i="45" s="1"/>
  <c r="BH171" i="46"/>
  <c r="BI171" i="46" s="1"/>
  <c r="AB171" i="45" s="1"/>
  <c r="BF73" i="46"/>
  <c r="BE135" i="46"/>
  <c r="BF112" i="46"/>
  <c r="BE174" i="46"/>
  <c r="BE188" i="46"/>
  <c r="BF126" i="46"/>
  <c r="BE145" i="46"/>
  <c r="BF83" i="46"/>
  <c r="BE173" i="46"/>
  <c r="BF111" i="46"/>
  <c r="BE151" i="46"/>
  <c r="BF89" i="46"/>
  <c r="BI128" i="46"/>
  <c r="AB128" i="45" s="1"/>
  <c r="AC128" i="45" s="1"/>
  <c r="AD128" i="45" s="1"/>
  <c r="AE128" i="45" s="1"/>
  <c r="BH190" i="46"/>
  <c r="BI190" i="46" s="1"/>
  <c r="AB190" i="45" s="1"/>
  <c r="BE178" i="46"/>
  <c r="BF116" i="46"/>
  <c r="BF103" i="46"/>
  <c r="BE165" i="46"/>
  <c r="BF104" i="46"/>
  <c r="BE166" i="46"/>
  <c r="BI87" i="46"/>
  <c r="AB87" i="45" s="1"/>
  <c r="AC87" i="45" s="1"/>
  <c r="BH149" i="46"/>
  <c r="BI149" i="46" s="1"/>
  <c r="AB149" i="45" s="1"/>
  <c r="BF181" i="46"/>
  <c r="BG119" i="46"/>
  <c r="BE139" i="46"/>
  <c r="BF77" i="46"/>
  <c r="BE157" i="46"/>
  <c r="BF95" i="46"/>
  <c r="BH142" i="46"/>
  <c r="BI142" i="46" s="1"/>
  <c r="AB142" i="45" s="1"/>
  <c r="BI80" i="46"/>
  <c r="AB80" i="45" s="1"/>
  <c r="AC80" i="45" s="1"/>
  <c r="BF154" i="46"/>
  <c r="BG92" i="46"/>
  <c r="BF144" i="46"/>
  <c r="BG82" i="46"/>
  <c r="BF168" i="46"/>
  <c r="BG106" i="46"/>
  <c r="BF182" i="46"/>
  <c r="BG120" i="46"/>
  <c r="BF159" i="46"/>
  <c r="BG97" i="46"/>
  <c r="AF72" i="45" l="1"/>
  <c r="AC4" i="45"/>
  <c r="AB68" i="45" a="1"/>
  <c r="AB68" i="45" s="1"/>
  <c r="AB67" i="45"/>
  <c r="AE190" i="45"/>
  <c r="AF128" i="45"/>
  <c r="AF190" i="45" s="1"/>
  <c r="AC179" i="45"/>
  <c r="AD117" i="45"/>
  <c r="AC167" i="45"/>
  <c r="AD105" i="45"/>
  <c r="AD96" i="45"/>
  <c r="AC158" i="45"/>
  <c r="AC171" i="45"/>
  <c r="AD109" i="45"/>
  <c r="AC149" i="45"/>
  <c r="AD87" i="45"/>
  <c r="AC142" i="45"/>
  <c r="AD80" i="45"/>
  <c r="BH97" i="46"/>
  <c r="BG159" i="46"/>
  <c r="BG168" i="46"/>
  <c r="BH106" i="46"/>
  <c r="BG154" i="46"/>
  <c r="BH92" i="46"/>
  <c r="BF165" i="46"/>
  <c r="BG103" i="46"/>
  <c r="BG73" i="46"/>
  <c r="BF135" i="46"/>
  <c r="BH175" i="46"/>
  <c r="BI175" i="46" s="1"/>
  <c r="AB175" i="45" s="1"/>
  <c r="BI113" i="46"/>
  <c r="AB113" i="45" s="1"/>
  <c r="AC113" i="45" s="1"/>
  <c r="BG187" i="46"/>
  <c r="BH125" i="46"/>
  <c r="BG150" i="46"/>
  <c r="BH88" i="46"/>
  <c r="BG176" i="46"/>
  <c r="BH114" i="46"/>
  <c r="BG76" i="46"/>
  <c r="BF138" i="46"/>
  <c r="BH78" i="46"/>
  <c r="BG140" i="46"/>
  <c r="BH37" i="14"/>
  <c r="BI37" i="14" s="1"/>
  <c r="AB37" i="16" s="1"/>
  <c r="BH69" i="46"/>
  <c r="BG181" i="46"/>
  <c r="BH119" i="46"/>
  <c r="BH118" i="46"/>
  <c r="BG180" i="46"/>
  <c r="BF169" i="46"/>
  <c r="BG107" i="46"/>
  <c r="BG172" i="46"/>
  <c r="BH110" i="46"/>
  <c r="BG75" i="46"/>
  <c r="BF137" i="46"/>
  <c r="BG95" i="46"/>
  <c r="BF157" i="46"/>
  <c r="BF178" i="46"/>
  <c r="BG116" i="46"/>
  <c r="BG93" i="46"/>
  <c r="BF155" i="46"/>
  <c r="BG115" i="46"/>
  <c r="BF177" i="46"/>
  <c r="BI67" i="46"/>
  <c r="BI68" i="46" a="1"/>
  <c r="BI68" i="46" s="1"/>
  <c r="BG89" i="46"/>
  <c r="BF151" i="46"/>
  <c r="BF145" i="46"/>
  <c r="BG83" i="46"/>
  <c r="BG136" i="46"/>
  <c r="BH74" i="46"/>
  <c r="BG182" i="46"/>
  <c r="BH120" i="46"/>
  <c r="BH82" i="46"/>
  <c r="BG144" i="46"/>
  <c r="BI134" i="46"/>
  <c r="AB134" i="45" s="1"/>
  <c r="BG104" i="46"/>
  <c r="BF166" i="46"/>
  <c r="BF174" i="46"/>
  <c r="BG112" i="46"/>
  <c r="BF141" i="46"/>
  <c r="BG79" i="46"/>
  <c r="BG108" i="46"/>
  <c r="BF170" i="46"/>
  <c r="BF152" i="46"/>
  <c r="BG90" i="46"/>
  <c r="BF139" i="46"/>
  <c r="BG77" i="46"/>
  <c r="BF173" i="46"/>
  <c r="BG111" i="46"/>
  <c r="BG126" i="46"/>
  <c r="BF188" i="46"/>
  <c r="BI91" i="46"/>
  <c r="AB91" i="45" s="1"/>
  <c r="AC91" i="45" s="1"/>
  <c r="BH153" i="46"/>
  <c r="BI153" i="46" s="1"/>
  <c r="AB153" i="45" s="1"/>
  <c r="BG189" i="46"/>
  <c r="BH127" i="46"/>
  <c r="BI35" i="14"/>
  <c r="AB35" i="16" s="1"/>
  <c r="AD158" i="45" l="1"/>
  <c r="AE96" i="45"/>
  <c r="AD91" i="45"/>
  <c r="AC153" i="45"/>
  <c r="AD179" i="45"/>
  <c r="AE117" i="45"/>
  <c r="AE80" i="45"/>
  <c r="AD142" i="45"/>
  <c r="AD149" i="45"/>
  <c r="AE87" i="45"/>
  <c r="AD167" i="45"/>
  <c r="AE105" i="45"/>
  <c r="AC175" i="45"/>
  <c r="AD113" i="45"/>
  <c r="AD171" i="45"/>
  <c r="AE109" i="45"/>
  <c r="AD4" i="45"/>
  <c r="AC134" i="45"/>
  <c r="AB69" i="45"/>
  <c r="BG188" i="46"/>
  <c r="BH126" i="46"/>
  <c r="BH108" i="46"/>
  <c r="BG170" i="46"/>
  <c r="BG174" i="46"/>
  <c r="BH112" i="46"/>
  <c r="BI69" i="46"/>
  <c r="BH115" i="46"/>
  <c r="BG177" i="46"/>
  <c r="BH180" i="46"/>
  <c r="BI180" i="46" s="1"/>
  <c r="AB180" i="45" s="1"/>
  <c r="BI118" i="46"/>
  <c r="AB118" i="45" s="1"/>
  <c r="AC118" i="45" s="1"/>
  <c r="BG138" i="46"/>
  <c r="BH76" i="46"/>
  <c r="BI88" i="46"/>
  <c r="AB88" i="45" s="1"/>
  <c r="AC88" i="45" s="1"/>
  <c r="BH150" i="46"/>
  <c r="BI150" i="46" s="1"/>
  <c r="AB150" i="45" s="1"/>
  <c r="BH103" i="46"/>
  <c r="BG165" i="46"/>
  <c r="BI106" i="46"/>
  <c r="AB106" i="45" s="1"/>
  <c r="AC106" i="45" s="1"/>
  <c r="BH168" i="46"/>
  <c r="BI168" i="46" s="1"/>
  <c r="AB168" i="45" s="1"/>
  <c r="BH107" i="46"/>
  <c r="BG169" i="46"/>
  <c r="BG152" i="46"/>
  <c r="BH90" i="46"/>
  <c r="BH181" i="46"/>
  <c r="BI181" i="46" s="1"/>
  <c r="AB181" i="45" s="1"/>
  <c r="BI119" i="46"/>
  <c r="AB119" i="45" s="1"/>
  <c r="AC119" i="45" s="1"/>
  <c r="BI82" i="46"/>
  <c r="AB82" i="45" s="1"/>
  <c r="AC82" i="45" s="1"/>
  <c r="BH144" i="46"/>
  <c r="BI144" i="46" s="1"/>
  <c r="AB144" i="45" s="1"/>
  <c r="BG151" i="46"/>
  <c r="BH89" i="46"/>
  <c r="BG155" i="46"/>
  <c r="BH93" i="46"/>
  <c r="BG157" i="46"/>
  <c r="BH95" i="46"/>
  <c r="BG137" i="46"/>
  <c r="BH75" i="46"/>
  <c r="BI78" i="46"/>
  <c r="AB78" i="45" s="1"/>
  <c r="AC78" i="45" s="1"/>
  <c r="BH140" i="46"/>
  <c r="BI140" i="46" s="1"/>
  <c r="AB140" i="45" s="1"/>
  <c r="BH187" i="46"/>
  <c r="BI187" i="46" s="1"/>
  <c r="AB187" i="45" s="1"/>
  <c r="BI125" i="46"/>
  <c r="AB125" i="45" s="1"/>
  <c r="AC125" i="45" s="1"/>
  <c r="BI92" i="46"/>
  <c r="AB92" i="45" s="1"/>
  <c r="AC92" i="45" s="1"/>
  <c r="BH154" i="46"/>
  <c r="BI154" i="46" s="1"/>
  <c r="AB154" i="45" s="1"/>
  <c r="BI127" i="46"/>
  <c r="AB127" i="45" s="1"/>
  <c r="AC127" i="45" s="1"/>
  <c r="BH189" i="46"/>
  <c r="BI189" i="46" s="1"/>
  <c r="AB189" i="45" s="1"/>
  <c r="BG173" i="46"/>
  <c r="BH111" i="46"/>
  <c r="BH79" i="46"/>
  <c r="BG141" i="46"/>
  <c r="BI74" i="46"/>
  <c r="AB74" i="45" s="1"/>
  <c r="AC74" i="45" s="1"/>
  <c r="BH136" i="46"/>
  <c r="BI136" i="46" s="1"/>
  <c r="AB136" i="45" s="1"/>
  <c r="BI114" i="46"/>
  <c r="AB114" i="45" s="1"/>
  <c r="AC114" i="45" s="1"/>
  <c r="BH176" i="46"/>
  <c r="BI176" i="46" s="1"/>
  <c r="AB176" i="45" s="1"/>
  <c r="BH77" i="46"/>
  <c r="BG139" i="46"/>
  <c r="BH104" i="46"/>
  <c r="BG166" i="46"/>
  <c r="BH182" i="46"/>
  <c r="BI182" i="46" s="1"/>
  <c r="AB182" i="45" s="1"/>
  <c r="BI120" i="46"/>
  <c r="AB120" i="45" s="1"/>
  <c r="AC120" i="45" s="1"/>
  <c r="BG145" i="46"/>
  <c r="BH83" i="46"/>
  <c r="BH116" i="46"/>
  <c r="BG178" i="46"/>
  <c r="BI110" i="46"/>
  <c r="AB110" i="45" s="1"/>
  <c r="AC110" i="45" s="1"/>
  <c r="BH172" i="46"/>
  <c r="BI172" i="46" s="1"/>
  <c r="AB172" i="45" s="1"/>
  <c r="BH73" i="46"/>
  <c r="BG135" i="46"/>
  <c r="BH159" i="46"/>
  <c r="BI159" i="46" s="1"/>
  <c r="AB159" i="45" s="1"/>
  <c r="BI97" i="46"/>
  <c r="AB97" i="45" s="1"/>
  <c r="AC97" i="45" s="1"/>
  <c r="U82" i="16"/>
  <c r="T82" i="16"/>
  <c r="S82" i="16"/>
  <c r="R82" i="16"/>
  <c r="Q82" i="16"/>
  <c r="V82" i="16"/>
  <c r="AE167" i="45" l="1"/>
  <c r="AF105" i="45"/>
  <c r="AF167" i="45" s="1"/>
  <c r="AC144" i="45"/>
  <c r="AD82" i="45"/>
  <c r="AD110" i="45"/>
  <c r="AC172" i="45"/>
  <c r="AC150" i="45"/>
  <c r="AD88" i="45"/>
  <c r="AE149" i="45"/>
  <c r="AF87" i="45"/>
  <c r="AF149" i="45" s="1"/>
  <c r="AD78" i="45"/>
  <c r="AC140" i="45"/>
  <c r="AC180" i="45"/>
  <c r="AD118" i="45"/>
  <c r="AE142" i="45"/>
  <c r="AF80" i="45"/>
  <c r="AF142" i="45" s="1"/>
  <c r="AC176" i="45"/>
  <c r="AD114" i="45"/>
  <c r="AC136" i="45"/>
  <c r="AD74" i="45"/>
  <c r="AE179" i="45"/>
  <c r="AF117" i="45"/>
  <c r="AF179" i="45" s="1"/>
  <c r="AC187" i="45"/>
  <c r="AD125" i="45"/>
  <c r="AC181" i="45"/>
  <c r="AD119" i="45"/>
  <c r="AC182" i="45"/>
  <c r="AD120" i="45"/>
  <c r="AE4" i="45"/>
  <c r="AD134" i="45"/>
  <c r="AC159" i="45"/>
  <c r="AD97" i="45"/>
  <c r="AE171" i="45"/>
  <c r="AF109" i="45"/>
  <c r="AF171" i="45" s="1"/>
  <c r="AC189" i="45"/>
  <c r="AD127" i="45"/>
  <c r="AD106" i="45"/>
  <c r="AC168" i="45"/>
  <c r="AD153" i="45"/>
  <c r="AE91" i="45"/>
  <c r="AD175" i="45"/>
  <c r="AE113" i="45"/>
  <c r="AE158" i="45"/>
  <c r="AF96" i="45"/>
  <c r="AF158" i="45" s="1"/>
  <c r="AD92" i="45"/>
  <c r="AC154" i="45"/>
  <c r="BG192" i="46"/>
  <c r="BG199" i="46" s="1"/>
  <c r="BI155" i="46"/>
  <c r="AB155" i="45" s="1"/>
  <c r="BH137" i="46"/>
  <c r="BI137" i="46" s="1"/>
  <c r="AB137" i="45" s="1"/>
  <c r="BI75" i="46"/>
  <c r="AB75" i="45" s="1"/>
  <c r="AC75" i="45" s="1"/>
  <c r="BH155" i="46"/>
  <c r="BI93" i="46"/>
  <c r="AB93" i="45" s="1"/>
  <c r="AC93" i="45" s="1"/>
  <c r="BI76" i="46"/>
  <c r="AB76" i="45" s="1"/>
  <c r="AC76" i="45" s="1"/>
  <c r="BH138" i="46"/>
  <c r="BI138" i="46" s="1"/>
  <c r="AB138" i="45" s="1"/>
  <c r="BH145" i="46"/>
  <c r="BI145" i="46" s="1"/>
  <c r="AB145" i="45" s="1"/>
  <c r="BI83" i="46"/>
  <c r="AB83" i="45" s="1"/>
  <c r="AC83" i="45" s="1"/>
  <c r="BH165" i="46"/>
  <c r="BI165" i="46" s="1"/>
  <c r="AB165" i="45" s="1"/>
  <c r="BI103" i="46"/>
  <c r="AB103" i="45" s="1"/>
  <c r="AC103" i="45" s="1"/>
  <c r="BI115" i="46"/>
  <c r="AB115" i="45" s="1"/>
  <c r="AC115" i="45" s="1"/>
  <c r="BH177" i="46"/>
  <c r="BI177" i="46" s="1"/>
  <c r="AB177" i="45" s="1"/>
  <c r="BI104" i="46"/>
  <c r="AB104" i="45" s="1"/>
  <c r="AC104" i="45" s="1"/>
  <c r="BH166" i="46"/>
  <c r="BI166" i="46" s="1"/>
  <c r="AB166" i="45" s="1"/>
  <c r="BI79" i="46"/>
  <c r="AB79" i="45" s="1"/>
  <c r="AC79" i="45" s="1"/>
  <c r="BH141" i="46"/>
  <c r="BI141" i="46" s="1"/>
  <c r="AB141" i="45" s="1"/>
  <c r="BI90" i="46"/>
  <c r="AB90" i="45" s="1"/>
  <c r="AC90" i="45" s="1"/>
  <c r="BH152" i="46"/>
  <c r="BI152" i="46" s="1"/>
  <c r="AB152" i="45" s="1"/>
  <c r="BI107" i="46"/>
  <c r="AB107" i="45" s="1"/>
  <c r="AC107" i="45" s="1"/>
  <c r="BH169" i="46"/>
  <c r="BI169" i="46" s="1"/>
  <c r="AB169" i="45" s="1"/>
  <c r="BI73" i="46"/>
  <c r="AB73" i="45" s="1"/>
  <c r="AC73" i="45" s="1"/>
  <c r="BH135" i="46"/>
  <c r="BI135" i="46" s="1"/>
  <c r="AB135" i="45" s="1"/>
  <c r="BI111" i="46"/>
  <c r="AB111" i="45" s="1"/>
  <c r="AC111" i="45" s="1"/>
  <c r="BH173" i="46"/>
  <c r="BI173" i="46" s="1"/>
  <c r="AB173" i="45" s="1"/>
  <c r="BI108" i="46"/>
  <c r="AB108" i="45" s="1"/>
  <c r="AC108" i="45" s="1"/>
  <c r="BH170" i="46"/>
  <c r="BI170" i="46" s="1"/>
  <c r="AB170" i="45" s="1"/>
  <c r="BI95" i="46"/>
  <c r="AB95" i="45" s="1"/>
  <c r="AC95" i="45" s="1"/>
  <c r="BH157" i="46"/>
  <c r="BI157" i="46" s="1"/>
  <c r="AB157" i="45" s="1"/>
  <c r="BH151" i="46"/>
  <c r="BI151" i="46" s="1"/>
  <c r="AB151" i="45" s="1"/>
  <c r="BI89" i="46"/>
  <c r="AB89" i="45" s="1"/>
  <c r="AC89" i="45" s="1"/>
  <c r="BI116" i="46"/>
  <c r="AB116" i="45" s="1"/>
  <c r="AC116" i="45" s="1"/>
  <c r="BH178" i="46"/>
  <c r="BI178" i="46" s="1"/>
  <c r="AB178" i="45" s="1"/>
  <c r="BH139" i="46"/>
  <c r="BI139" i="46" s="1"/>
  <c r="AB139" i="45" s="1"/>
  <c r="BI77" i="46"/>
  <c r="AB77" i="45" s="1"/>
  <c r="AC77" i="45" s="1"/>
  <c r="BI112" i="46"/>
  <c r="AB112" i="45" s="1"/>
  <c r="AC112" i="45" s="1"/>
  <c r="BH174" i="46"/>
  <c r="BI174" i="46" s="1"/>
  <c r="AB174" i="45" s="1"/>
  <c r="BI126" i="46"/>
  <c r="AB126" i="45" s="1"/>
  <c r="AC126" i="45" s="1"/>
  <c r="BH188" i="46"/>
  <c r="BI188" i="46" s="1"/>
  <c r="AB188" i="45" s="1"/>
  <c r="A58" i="16"/>
  <c r="AD111" i="45" l="1"/>
  <c r="AC173" i="45"/>
  <c r="AE127" i="45"/>
  <c r="AD189" i="45"/>
  <c r="AD73" i="45"/>
  <c r="AC135" i="45"/>
  <c r="AE92" i="45"/>
  <c r="AD154" i="45"/>
  <c r="AC178" i="45"/>
  <c r="AD116" i="45"/>
  <c r="AC151" i="45"/>
  <c r="AD89" i="45"/>
  <c r="AD90" i="45"/>
  <c r="AC152" i="45"/>
  <c r="AE114" i="45"/>
  <c r="AD176" i="45"/>
  <c r="AD93" i="45"/>
  <c r="AC155" i="45"/>
  <c r="AD144" i="45"/>
  <c r="AE82" i="45"/>
  <c r="AD77" i="45"/>
  <c r="AC139" i="45"/>
  <c r="AD76" i="45"/>
  <c r="AC138" i="45"/>
  <c r="AF4" i="45"/>
  <c r="AE68" i="45" a="1"/>
  <c r="AE68" i="45" s="1"/>
  <c r="AE67" i="45"/>
  <c r="AE35" i="16" s="1"/>
  <c r="AE134" i="45"/>
  <c r="AC174" i="45"/>
  <c r="AD112" i="45"/>
  <c r="AD107" i="45"/>
  <c r="AC169" i="45"/>
  <c r="AE175" i="45"/>
  <c r="AF113" i="45"/>
  <c r="AF175" i="45" s="1"/>
  <c r="AD172" i="45"/>
  <c r="AE110" i="45"/>
  <c r="AC157" i="45"/>
  <c r="AD95" i="45"/>
  <c r="AE153" i="45"/>
  <c r="AF91" i="45"/>
  <c r="AF153" i="45" s="1"/>
  <c r="AC188" i="45"/>
  <c r="AD126" i="45"/>
  <c r="AC170" i="45"/>
  <c r="AD108" i="45"/>
  <c r="AC166" i="45"/>
  <c r="AD104" i="45"/>
  <c r="AD75" i="45"/>
  <c r="AC137" i="45"/>
  <c r="AD181" i="45"/>
  <c r="AE119" i="45"/>
  <c r="AE118" i="45"/>
  <c r="AD180" i="45"/>
  <c r="AD187" i="45"/>
  <c r="AE125" i="45"/>
  <c r="AD115" i="45"/>
  <c r="AC177" i="45"/>
  <c r="AD140" i="45"/>
  <c r="AE78" i="45"/>
  <c r="AD103" i="45"/>
  <c r="AC165" i="45"/>
  <c r="AD83" i="45"/>
  <c r="AC145" i="45"/>
  <c r="AD159" i="45"/>
  <c r="AE97" i="45"/>
  <c r="AD136" i="45"/>
  <c r="AE74" i="45"/>
  <c r="AD150" i="45"/>
  <c r="AE88" i="45"/>
  <c r="AC141" i="45"/>
  <c r="AD79" i="45"/>
  <c r="AD182" i="45"/>
  <c r="AE120" i="45"/>
  <c r="AD168" i="45"/>
  <c r="AE106" i="45"/>
  <c r="BH192" i="46"/>
  <c r="AA2" i="16"/>
  <c r="Z2" i="16"/>
  <c r="Y2" i="16"/>
  <c r="X2" i="16"/>
  <c r="W2" i="16"/>
  <c r="V2" i="16"/>
  <c r="U2" i="16"/>
  <c r="T2" i="16"/>
  <c r="S2" i="16"/>
  <c r="R2" i="16"/>
  <c r="Q2" i="16"/>
  <c r="A17" i="15"/>
  <c r="A15" i="15"/>
  <c r="A14" i="15"/>
  <c r="A13" i="15"/>
  <c r="A12" i="15"/>
  <c r="A8" i="15"/>
  <c r="A6" i="15"/>
  <c r="A5" i="15"/>
  <c r="A4" i="15"/>
  <c r="A3" i="15"/>
  <c r="AD151" i="45" l="1"/>
  <c r="AE89" i="45"/>
  <c r="AD165" i="45"/>
  <c r="AE103" i="45"/>
  <c r="AE79" i="45"/>
  <c r="AD141" i="45"/>
  <c r="AD178" i="45"/>
  <c r="AE116" i="45"/>
  <c r="AD139" i="45"/>
  <c r="AE77" i="45"/>
  <c r="AE187" i="45"/>
  <c r="AF125" i="45"/>
  <c r="AF187" i="45" s="1"/>
  <c r="AD188" i="45"/>
  <c r="AE126" i="45"/>
  <c r="AE154" i="45"/>
  <c r="AF92" i="45"/>
  <c r="AF154" i="45" s="1"/>
  <c r="AD137" i="45"/>
  <c r="AE75" i="45"/>
  <c r="AE140" i="45"/>
  <c r="AF78" i="45"/>
  <c r="AF140" i="45" s="1"/>
  <c r="AD166" i="45"/>
  <c r="AE104" i="45"/>
  <c r="AE115" i="45"/>
  <c r="AD177" i="45"/>
  <c r="AE144" i="45"/>
  <c r="AF82" i="45"/>
  <c r="AF144" i="45" s="1"/>
  <c r="AE112" i="45"/>
  <c r="AD174" i="45"/>
  <c r="AE168" i="45"/>
  <c r="AF106" i="45"/>
  <c r="AF168" i="45" s="1"/>
  <c r="AE181" i="45"/>
  <c r="AF119" i="45"/>
  <c r="AF181" i="45" s="1"/>
  <c r="AE95" i="45"/>
  <c r="AD157" i="45"/>
  <c r="AE150" i="45"/>
  <c r="AF88" i="45"/>
  <c r="AF150" i="45" s="1"/>
  <c r="AD169" i="45"/>
  <c r="AE107" i="45"/>
  <c r="AE159" i="45"/>
  <c r="AF97" i="45"/>
  <c r="AF159" i="45" s="1"/>
  <c r="AE180" i="45"/>
  <c r="AF118" i="45"/>
  <c r="AF180" i="45" s="1"/>
  <c r="AE69" i="45"/>
  <c r="AE37" i="16"/>
  <c r="AE76" i="45"/>
  <c r="AD138" i="45"/>
  <c r="AE108" i="45"/>
  <c r="AD170" i="45"/>
  <c r="AE136" i="45"/>
  <c r="AF74" i="45"/>
  <c r="AF136" i="45" s="1"/>
  <c r="AD155" i="45"/>
  <c r="AE93" i="45"/>
  <c r="AE73" i="45"/>
  <c r="AD135" i="45"/>
  <c r="AE176" i="45"/>
  <c r="AF114" i="45"/>
  <c r="AF176" i="45" s="1"/>
  <c r="AE189" i="45"/>
  <c r="AF127" i="45"/>
  <c r="AF189" i="45" s="1"/>
  <c r="AD145" i="45"/>
  <c r="AE83" i="45"/>
  <c r="AE182" i="45"/>
  <c r="AF120" i="45"/>
  <c r="AF182" i="45" s="1"/>
  <c r="AE172" i="45"/>
  <c r="AF110" i="45"/>
  <c r="AF172" i="45" s="1"/>
  <c r="AF67" i="45"/>
  <c r="AF35" i="16" s="1"/>
  <c r="AF68" i="45" a="1"/>
  <c r="AF68" i="45" s="1"/>
  <c r="AF134" i="45"/>
  <c r="AD152" i="45"/>
  <c r="AE90" i="45"/>
  <c r="AD173" i="45"/>
  <c r="AE111" i="45"/>
  <c r="T58" i="16"/>
  <c r="S58" i="16"/>
  <c r="R58" i="16"/>
  <c r="Q58" i="16"/>
  <c r="AE173" i="45" l="1"/>
  <c r="AF111" i="45"/>
  <c r="AF173" i="45" s="1"/>
  <c r="AE166" i="45"/>
  <c r="AF104" i="45"/>
  <c r="AF166" i="45" s="1"/>
  <c r="AE157" i="45"/>
  <c r="AF95" i="45"/>
  <c r="AF157" i="45" s="1"/>
  <c r="AE139" i="45"/>
  <c r="AF77" i="45"/>
  <c r="AF139" i="45" s="1"/>
  <c r="AE178" i="45"/>
  <c r="AF116" i="45"/>
  <c r="AF178" i="45" s="1"/>
  <c r="AE177" i="45"/>
  <c r="AF115" i="45"/>
  <c r="AF177" i="45" s="1"/>
  <c r="AE152" i="45"/>
  <c r="AF90" i="45"/>
  <c r="AF152" i="45" s="1"/>
  <c r="AE138" i="45"/>
  <c r="AF76" i="45"/>
  <c r="AF138" i="45" s="1"/>
  <c r="AE170" i="45"/>
  <c r="AF108" i="45"/>
  <c r="AF170" i="45" s="1"/>
  <c r="AF69" i="45"/>
  <c r="AF37" i="16"/>
  <c r="AE137" i="45"/>
  <c r="AF75" i="45"/>
  <c r="AF137" i="45" s="1"/>
  <c r="AE135" i="45"/>
  <c r="AF73" i="45"/>
  <c r="AF135" i="45" s="1"/>
  <c r="AE155" i="45"/>
  <c r="AF93" i="45"/>
  <c r="AF155" i="45" s="1"/>
  <c r="AE141" i="45"/>
  <c r="AF79" i="45"/>
  <c r="AF141" i="45" s="1"/>
  <c r="AE174" i="45"/>
  <c r="AF112" i="45"/>
  <c r="AF174" i="45" s="1"/>
  <c r="AE165" i="45"/>
  <c r="AF103" i="45"/>
  <c r="AF165" i="45" s="1"/>
  <c r="AE169" i="45"/>
  <c r="AF107" i="45"/>
  <c r="AF169" i="45" s="1"/>
  <c r="AE188" i="45"/>
  <c r="AF126" i="45"/>
  <c r="AF188" i="45" s="1"/>
  <c r="AE151" i="45"/>
  <c r="AF89" i="45"/>
  <c r="AF151" i="45" s="1"/>
  <c r="AE145" i="45"/>
  <c r="AF83" i="45"/>
  <c r="AF145" i="45" s="1"/>
  <c r="V58" i="16"/>
  <c r="AE192" i="45" l="1"/>
  <c r="AF192" i="45"/>
  <c r="W58" i="16"/>
  <c r="CF6" i="17"/>
  <c r="W119" i="18" l="1"/>
  <c r="W113" i="18"/>
  <c r="W111" i="18"/>
  <c r="W109" i="18"/>
  <c r="W100" i="18"/>
  <c r="W96" i="18"/>
  <c r="W93" i="18"/>
  <c r="W91" i="18"/>
  <c r="W88" i="18"/>
  <c r="W66" i="16"/>
  <c r="W53" i="16"/>
  <c r="W52" i="16"/>
  <c r="W39" i="16"/>
  <c r="W27" i="16"/>
  <c r="W9" i="16"/>
  <c r="W48" i="15"/>
  <c r="W33" i="15"/>
  <c r="W24" i="15"/>
  <c r="W23" i="15"/>
  <c r="W41" i="10"/>
  <c r="M52" i="20" l="1"/>
  <c r="AC58" i="16" l="1"/>
  <c r="A65" i="18"/>
  <c r="U53" i="16"/>
  <c r="T53" i="16"/>
  <c r="S53" i="16"/>
  <c r="R53" i="16"/>
  <c r="Q53" i="16"/>
  <c r="A53" i="16"/>
  <c r="T6" i="18"/>
  <c r="S6" i="18"/>
  <c r="R6" i="18"/>
  <c r="Q6" i="18"/>
  <c r="A6" i="18"/>
  <c r="AC6" i="18" l="1"/>
  <c r="AD58" i="16"/>
  <c r="AD6" i="18" l="1"/>
  <c r="AE58" i="16"/>
  <c r="U70" i="16"/>
  <c r="T70" i="16"/>
  <c r="S70" i="16"/>
  <c r="R70" i="16"/>
  <c r="Q70" i="16"/>
  <c r="AE6" i="18" l="1"/>
  <c r="AF58" i="16"/>
  <c r="AF6" i="18" s="1"/>
  <c r="O51" i="20"/>
  <c r="N51" i="20"/>
  <c r="M51" i="20"/>
  <c r="O38" i="20"/>
  <c r="N38" i="20"/>
  <c r="M38" i="20"/>
  <c r="L38" i="20"/>
  <c r="K38" i="20"/>
  <c r="J38" i="20"/>
  <c r="I38" i="20"/>
  <c r="H38" i="20"/>
  <c r="G38" i="20"/>
  <c r="F38" i="20"/>
  <c r="E38" i="20"/>
  <c r="D38" i="20"/>
  <c r="C38" i="20"/>
  <c r="B38" i="20"/>
  <c r="O33" i="20"/>
  <c r="N33" i="20"/>
  <c r="M33" i="20"/>
  <c r="L33" i="20"/>
  <c r="K33" i="20"/>
  <c r="J33" i="20"/>
  <c r="I33" i="20"/>
  <c r="H33" i="20"/>
  <c r="G33" i="20"/>
  <c r="F33" i="20"/>
  <c r="E33" i="20"/>
  <c r="D33" i="20"/>
  <c r="C33" i="20"/>
  <c r="B33" i="20"/>
  <c r="O19" i="20"/>
  <c r="N19" i="20"/>
  <c r="M19" i="20"/>
  <c r="K19" i="20"/>
  <c r="J19" i="20"/>
  <c r="I19" i="20"/>
  <c r="H19" i="20"/>
  <c r="G19" i="20"/>
  <c r="F19" i="20"/>
  <c r="E19" i="20"/>
  <c r="D19" i="20"/>
  <c r="C19" i="20"/>
  <c r="B19" i="20"/>
  <c r="AA38" i="20"/>
  <c r="AA33" i="20"/>
  <c r="Z38" i="20"/>
  <c r="Z33" i="20"/>
  <c r="Y38" i="20"/>
  <c r="Y33" i="20"/>
  <c r="X38" i="20"/>
  <c r="X33" i="20"/>
  <c r="W38" i="20"/>
  <c r="W33" i="20"/>
  <c r="A3" i="16"/>
  <c r="Q33" i="74" l="1"/>
  <c r="AE111" i="13" l="1"/>
  <c r="AJ111" i="13" l="1"/>
  <c r="V110" i="15"/>
  <c r="AA111" i="13"/>
  <c r="AB111" i="13" s="1"/>
  <c r="AC111" i="13" s="1"/>
  <c r="AD111" i="13" s="1"/>
  <c r="AF111" i="13" s="1"/>
  <c r="AG111" i="13" s="1"/>
  <c r="U110" i="15"/>
  <c r="T110" i="15" s="1"/>
  <c r="X111" i="13"/>
  <c r="Y111" i="13"/>
  <c r="V111" i="13"/>
  <c r="U111" i="13" s="1"/>
  <c r="W111" i="13"/>
  <c r="A74" i="16"/>
  <c r="AH111" i="13" l="1"/>
  <c r="AI111" i="13" s="1"/>
  <c r="W110" i="15"/>
  <c r="AK111" i="13"/>
  <c r="AL111" i="13" s="1"/>
  <c r="AM111" i="13" s="1"/>
  <c r="AN111" i="13" s="1"/>
  <c r="AO111" i="13"/>
  <c r="AP111" i="13" s="1"/>
  <c r="AU111" i="13" s="1"/>
  <c r="AZ111" i="13" s="1"/>
  <c r="BE111" i="13" s="1"/>
  <c r="M22" i="20"/>
  <c r="L22" i="20"/>
  <c r="K22" i="20"/>
  <c r="J22" i="20"/>
  <c r="I22" i="20"/>
  <c r="H22" i="20"/>
  <c r="G22" i="20"/>
  <c r="F22" i="20"/>
  <c r="E22" i="20"/>
  <c r="D22" i="20"/>
  <c r="C22" i="20"/>
  <c r="B22" i="20"/>
  <c r="N22" i="20"/>
  <c r="O22" i="20"/>
  <c r="P22" i="20"/>
  <c r="P51" i="20"/>
  <c r="P38" i="20"/>
  <c r="P33" i="20"/>
  <c r="P19" i="20"/>
  <c r="P33" i="10"/>
  <c r="O33" i="10"/>
  <c r="N33" i="10"/>
  <c r="P38" i="10"/>
  <c r="O38" i="10"/>
  <c r="N38" i="10"/>
  <c r="M38" i="10"/>
  <c r="P37" i="10"/>
  <c r="O37" i="10"/>
  <c r="N37" i="10"/>
  <c r="K33" i="2"/>
  <c r="I33" i="2"/>
  <c r="H33" i="2"/>
  <c r="G33" i="2"/>
  <c r="C33" i="2"/>
  <c r="B33" i="2"/>
  <c r="K38" i="2"/>
  <c r="R38" i="10" s="1"/>
  <c r="I38" i="2"/>
  <c r="H38" i="2"/>
  <c r="G38" i="2"/>
  <c r="C38" i="2"/>
  <c r="B38" i="2"/>
  <c r="AA37" i="2"/>
  <c r="Z37" i="2"/>
  <c r="U37" i="10" s="1"/>
  <c r="X37" i="2"/>
  <c r="W37" i="2"/>
  <c r="V37" i="2"/>
  <c r="U37" i="2"/>
  <c r="T37" i="10" s="1"/>
  <c r="S37" i="2"/>
  <c r="R37" i="2"/>
  <c r="Q37" i="2"/>
  <c r="P37" i="2"/>
  <c r="S37" i="10" s="1"/>
  <c r="N37" i="2"/>
  <c r="M37" i="2"/>
  <c r="L37" i="2"/>
  <c r="H37" i="2"/>
  <c r="G37" i="2"/>
  <c r="Y41" i="2"/>
  <c r="Y36" i="2"/>
  <c r="V41" i="10"/>
  <c r="U41" i="10"/>
  <c r="T41" i="10"/>
  <c r="S41" i="10"/>
  <c r="R41" i="10"/>
  <c r="Q41" i="10"/>
  <c r="A41" i="10"/>
  <c r="A36" i="10"/>
  <c r="A85" i="18"/>
  <c r="A86" i="18"/>
  <c r="A87" i="18"/>
  <c r="A88" i="18"/>
  <c r="A89" i="18"/>
  <c r="A90" i="18"/>
  <c r="A91" i="18"/>
  <c r="A93" i="18"/>
  <c r="A94" i="18"/>
  <c r="A95" i="18"/>
  <c r="A96" i="18"/>
  <c r="A97" i="18"/>
  <c r="A98" i="18"/>
  <c r="A99" i="18"/>
  <c r="A100" i="18"/>
  <c r="A101" i="18"/>
  <c r="A102" i="18"/>
  <c r="A103" i="18"/>
  <c r="A105" i="18"/>
  <c r="A106" i="18"/>
  <c r="A107" i="18"/>
  <c r="A108" i="18"/>
  <c r="A109" i="18"/>
  <c r="A110" i="18"/>
  <c r="A111" i="18"/>
  <c r="A112" i="18"/>
  <c r="A113" i="18"/>
  <c r="A114" i="18"/>
  <c r="A115" i="18"/>
  <c r="A116" i="18"/>
  <c r="A117" i="18"/>
  <c r="A118" i="18"/>
  <c r="A119" i="18"/>
  <c r="A120" i="18"/>
  <c r="Y110" i="15" l="1"/>
  <c r="Z110" i="15" s="1"/>
  <c r="AA110" i="15" s="1"/>
  <c r="AB110" i="15" s="1"/>
  <c r="AC110" i="15" s="1"/>
  <c r="AD110" i="15" s="1"/>
  <c r="AE110" i="15" s="1"/>
  <c r="AF110" i="15" s="1"/>
  <c r="AQ111" i="13"/>
  <c r="X110" i="15"/>
  <c r="AT111" i="13"/>
  <c r="AY111" i="13" s="1"/>
  <c r="BD111" i="13" s="1"/>
  <c r="BI111" i="13" s="1"/>
  <c r="Y43" i="2"/>
  <c r="N53" i="20"/>
  <c r="N46" i="10"/>
  <c r="O53" i="20"/>
  <c r="O46" i="10"/>
  <c r="P53" i="20"/>
  <c r="P46" i="10"/>
  <c r="F47" i="2" s="1"/>
  <c r="F44" i="2"/>
  <c r="M53" i="20"/>
  <c r="M46" i="10"/>
  <c r="M47" i="10" s="1"/>
  <c r="O43" i="2"/>
  <c r="T43" i="2"/>
  <c r="J43" i="2"/>
  <c r="Y37" i="2"/>
  <c r="O37" i="2"/>
  <c r="T37" i="2"/>
  <c r="AR111" i="13" l="1"/>
  <c r="AV111" i="13"/>
  <c r="BA111" i="13" s="1"/>
  <c r="BF111" i="13" s="1"/>
  <c r="J46" i="2"/>
  <c r="T46" i="2"/>
  <c r="O46" i="2"/>
  <c r="AS111" i="13" l="1"/>
  <c r="AX111" i="13" s="1"/>
  <c r="BC111" i="13" s="1"/>
  <c r="BH111" i="13" s="1"/>
  <c r="AW111" i="13"/>
  <c r="BB111" i="13" s="1"/>
  <c r="BG111" i="13" s="1"/>
  <c r="Q65" i="16" l="1"/>
  <c r="R65" i="16"/>
  <c r="S65" i="16"/>
  <c r="T65" i="16"/>
  <c r="U65" i="16"/>
  <c r="Q79" i="16" l="1"/>
  <c r="Q80" i="16" s="1"/>
  <c r="T79" i="16"/>
  <c r="T80" i="16"/>
  <c r="R79" i="16"/>
  <c r="R80" i="16"/>
  <c r="S79" i="16"/>
  <c r="S80" i="16"/>
  <c r="X64" i="14"/>
  <c r="X65" i="14" s="1"/>
  <c r="Y68" i="13"/>
  <c r="X68" i="13"/>
  <c r="V68" i="13"/>
  <c r="AA68" i="13" l="1"/>
  <c r="AB68" i="13"/>
  <c r="W68" i="13"/>
  <c r="Y64" i="14"/>
  <c r="Y65" i="14" s="1"/>
  <c r="F4" i="13" l="1"/>
  <c r="D4" i="13"/>
  <c r="Q64" i="16" l="1"/>
  <c r="R64" i="16"/>
  <c r="S64" i="16"/>
  <c r="T64" i="16"/>
  <c r="T66" i="16"/>
  <c r="V66" i="16"/>
  <c r="U66" i="16"/>
  <c r="U64" i="16"/>
  <c r="AJ2" i="17"/>
  <c r="AI2" i="17"/>
  <c r="AH2" i="17"/>
  <c r="AG2" i="17"/>
  <c r="AF2" i="17"/>
  <c r="AJ2" i="2"/>
  <c r="AI2" i="2"/>
  <c r="AG2" i="2"/>
  <c r="AF2" i="2"/>
  <c r="AJ2" i="14"/>
  <c r="AI2" i="14"/>
  <c r="AH2" i="14"/>
  <c r="AG2" i="14"/>
  <c r="AF2" i="14"/>
  <c r="B2" i="14"/>
  <c r="C2" i="14"/>
  <c r="D2" i="14"/>
  <c r="E2" i="14"/>
  <c r="F2" i="14"/>
  <c r="G2" i="14"/>
  <c r="H2" i="14"/>
  <c r="I2" i="14"/>
  <c r="J2" i="14"/>
  <c r="K2" i="14"/>
  <c r="L2" i="14"/>
  <c r="M2" i="14"/>
  <c r="N2" i="14"/>
  <c r="O2" i="14"/>
  <c r="P2" i="14"/>
  <c r="Q2" i="14"/>
  <c r="R2" i="14"/>
  <c r="S2" i="14"/>
  <c r="T2" i="14"/>
  <c r="U2" i="14"/>
  <c r="V2" i="14"/>
  <c r="W2" i="14"/>
  <c r="X2" i="14"/>
  <c r="Y2" i="14"/>
  <c r="Z2" i="14"/>
  <c r="AA2" i="14"/>
  <c r="AB2" i="14"/>
  <c r="AC2" i="14"/>
  <c r="AD2" i="14"/>
  <c r="AE2" i="14"/>
  <c r="B2" i="17"/>
  <c r="C2" i="17"/>
  <c r="D2" i="17"/>
  <c r="E2" i="17"/>
  <c r="F2" i="17"/>
  <c r="G2" i="17"/>
  <c r="H2" i="17"/>
  <c r="I2" i="17"/>
  <c r="J2" i="17"/>
  <c r="K2" i="17"/>
  <c r="L2" i="17"/>
  <c r="M2" i="17"/>
  <c r="N2" i="17"/>
  <c r="O2" i="17"/>
  <c r="P2" i="17"/>
  <c r="Q2" i="17"/>
  <c r="R2" i="17"/>
  <c r="S2" i="17"/>
  <c r="T2" i="17"/>
  <c r="U2" i="17"/>
  <c r="V2" i="17"/>
  <c r="W2" i="17"/>
  <c r="X2" i="17"/>
  <c r="Y2" i="17"/>
  <c r="Z2" i="17"/>
  <c r="AA2" i="17"/>
  <c r="AB2" i="17"/>
  <c r="AC2" i="17"/>
  <c r="AD2" i="17"/>
  <c r="AE2" i="17"/>
  <c r="Y2" i="20" l="1"/>
  <c r="AA2" i="20"/>
  <c r="V2" i="20"/>
  <c r="Z2" i="20"/>
  <c r="W2" i="20"/>
  <c r="X2" i="20"/>
  <c r="D2" i="20"/>
  <c r="L2" i="20"/>
  <c r="H2" i="20"/>
  <c r="E2" i="20"/>
  <c r="M2" i="20"/>
  <c r="C2" i="20"/>
  <c r="G2" i="20"/>
  <c r="K2" i="20"/>
  <c r="O2" i="20"/>
  <c r="I2" i="20"/>
  <c r="B2" i="20"/>
  <c r="F2" i="20"/>
  <c r="J2" i="20"/>
  <c r="N2" i="20"/>
  <c r="I2" i="18"/>
  <c r="M2" i="18"/>
  <c r="J2" i="18"/>
  <c r="B2" i="18"/>
  <c r="N2" i="18"/>
  <c r="C2" i="16"/>
  <c r="G2" i="16"/>
  <c r="K2" i="16"/>
  <c r="O2" i="16"/>
  <c r="W2" i="18"/>
  <c r="E2" i="18"/>
  <c r="F2" i="18"/>
  <c r="D2" i="16"/>
  <c r="H2" i="16"/>
  <c r="L2" i="16"/>
  <c r="P2" i="16"/>
  <c r="P2" i="20"/>
  <c r="T2" i="18"/>
  <c r="X2" i="18"/>
  <c r="N2" i="16"/>
  <c r="J2" i="16"/>
  <c r="F2" i="16"/>
  <c r="B2" i="16"/>
  <c r="C2" i="18"/>
  <c r="G2" i="18"/>
  <c r="K2" i="18"/>
  <c r="O2" i="18"/>
  <c r="S2" i="18"/>
  <c r="M2" i="16"/>
  <c r="I2" i="16"/>
  <c r="E2" i="16"/>
  <c r="D2" i="18"/>
  <c r="H2" i="18"/>
  <c r="L2" i="18"/>
  <c r="P2" i="18"/>
  <c r="Q2" i="18"/>
  <c r="U2" i="18"/>
  <c r="Y2" i="18"/>
  <c r="R2" i="18"/>
  <c r="V2" i="18"/>
  <c r="Z2" i="18"/>
  <c r="V52" i="18" l="1"/>
  <c r="W7" i="16"/>
  <c r="AA2" i="18"/>
  <c r="AG77" i="13"/>
  <c r="Z79" i="14"/>
  <c r="AE73" i="13"/>
  <c r="AA59" i="13"/>
  <c r="Z77" i="13" l="1"/>
  <c r="U77" i="15" s="1"/>
  <c r="Z80" i="14"/>
  <c r="U79" i="16"/>
  <c r="W52" i="18" l="1"/>
  <c r="Z78" i="13"/>
  <c r="U78" i="15" s="1"/>
  <c r="U80" i="16"/>
  <c r="CF52" i="17" l="1"/>
  <c r="AD113" i="13"/>
  <c r="V50" i="18"/>
  <c r="AC113" i="13"/>
  <c r="X52" i="18" l="1"/>
  <c r="AB81" i="13"/>
  <c r="AA76" i="14"/>
  <c r="AA70" i="14"/>
  <c r="V7" i="16"/>
  <c r="V52" i="16"/>
  <c r="V39" i="16"/>
  <c r="V27" i="16"/>
  <c r="Y52" i="18" l="1"/>
  <c r="AB76" i="14"/>
  <c r="AE113" i="13"/>
  <c r="Z52" i="18" l="1"/>
  <c r="AG113" i="13"/>
  <c r="AD59" i="13"/>
  <c r="AE58" i="13"/>
  <c r="V41" i="16"/>
  <c r="AA52" i="18" l="1"/>
  <c r="BG52" i="17"/>
  <c r="BH52" i="17" s="1"/>
  <c r="BI52" i="17" s="1"/>
  <c r="AB52" i="18" s="1"/>
  <c r="AC52" i="18" s="1"/>
  <c r="AD52" i="18" s="1"/>
  <c r="AE52" i="18" s="1"/>
  <c r="AF52" i="18" s="1"/>
  <c r="AE59" i="13"/>
  <c r="AJ59" i="13"/>
  <c r="AD65" i="13"/>
  <c r="AE64" i="13"/>
  <c r="AJ65" i="13" s="1"/>
  <c r="W74" i="15"/>
  <c r="X75" i="15" s="1"/>
  <c r="AI113" i="13"/>
  <c r="AE61" i="13"/>
  <c r="AJ62" i="13" s="1"/>
  <c r="AD62" i="13"/>
  <c r="AE62" i="13" l="1"/>
  <c r="AE74" i="14"/>
  <c r="AE65" i="13"/>
  <c r="V65" i="15" s="1"/>
  <c r="V64" i="15"/>
  <c r="V14" i="20" l="1"/>
  <c r="V40" i="16"/>
  <c r="V76" i="16"/>
  <c r="V22" i="20" s="1"/>
  <c r="AC74" i="15" l="1"/>
  <c r="AD74" i="15" s="1"/>
  <c r="AE74" i="15" s="1"/>
  <c r="AF74" i="15" s="1"/>
  <c r="A54" i="16"/>
  <c r="A52" i="16"/>
  <c r="A44" i="16"/>
  <c r="A37" i="16"/>
  <c r="A35" i="16"/>
  <c r="A34" i="16"/>
  <c r="A32" i="16"/>
  <c r="A31" i="16"/>
  <c r="A25" i="16"/>
  <c r="A27" i="16"/>
  <c r="A24" i="16"/>
  <c r="A23" i="16"/>
  <c r="A21" i="16"/>
  <c r="BY74" i="17" s="1"/>
  <c r="A20" i="16"/>
  <c r="BY73" i="17" s="1"/>
  <c r="A17" i="16"/>
  <c r="BY70" i="17" s="1"/>
  <c r="A16" i="16"/>
  <c r="BY69" i="17" s="1"/>
  <c r="A15" i="16"/>
  <c r="BY68" i="17" s="1"/>
  <c r="A13" i="16"/>
  <c r="BY66" i="17" s="1"/>
  <c r="A12" i="16"/>
  <c r="BY65" i="17" s="1"/>
  <c r="A11" i="16"/>
  <c r="BY64" i="17" s="1"/>
  <c r="A10" i="16"/>
  <c r="A9" i="16"/>
  <c r="A6" i="16"/>
  <c r="A7" i="16"/>
  <c r="A5" i="16"/>
  <c r="A4" i="16"/>
  <c r="AF73" i="15" l="1"/>
  <c r="AF119" i="18"/>
  <c r="AE73" i="15"/>
  <c r="AE119" i="18"/>
  <c r="AD73" i="15"/>
  <c r="AD119" i="18"/>
  <c r="AC73" i="15"/>
  <c r="AC119" i="18"/>
  <c r="AC67" i="15" l="1"/>
  <c r="AC68" i="15" s="1"/>
  <c r="V33" i="20"/>
  <c r="V38" i="20"/>
  <c r="V10" i="18"/>
  <c r="V20" i="18"/>
  <c r="V49" i="18"/>
  <c r="W49" i="18"/>
  <c r="V56" i="18"/>
  <c r="V40" i="18"/>
  <c r="V53" i="18"/>
  <c r="V19" i="18"/>
  <c r="AD67" i="15" l="1"/>
  <c r="AE67" i="15" s="1"/>
  <c r="AF67" i="15" s="1"/>
  <c r="AC58" i="15"/>
  <c r="W53" i="18"/>
  <c r="W19" i="18"/>
  <c r="W40" i="18"/>
  <c r="W56" i="18"/>
  <c r="AC49" i="18"/>
  <c r="AD49" i="18" s="1"/>
  <c r="AE49" i="18" s="1"/>
  <c r="AF49" i="18" s="1"/>
  <c r="AF68" i="15" l="1"/>
  <c r="AF58" i="15"/>
  <c r="AE58" i="15"/>
  <c r="AE68" i="15"/>
  <c r="AD58" i="15"/>
  <c r="AD59" i="15" s="1"/>
  <c r="AD68" i="15"/>
  <c r="X19" i="18"/>
  <c r="CF19" i="17"/>
  <c r="CF40" i="17"/>
  <c r="CF53" i="17"/>
  <c r="CF56" i="17"/>
  <c r="V42" i="16"/>
  <c r="V6" i="16"/>
  <c r="AF59" i="15" l="1"/>
  <c r="AE59" i="15"/>
  <c r="Y19" i="18"/>
  <c r="X53" i="18"/>
  <c r="X56" i="18"/>
  <c r="W10" i="18"/>
  <c r="V32" i="18"/>
  <c r="Z19" i="18" l="1"/>
  <c r="Y56" i="18"/>
  <c r="X40" i="18"/>
  <c r="W42" i="16"/>
  <c r="V33" i="18"/>
  <c r="AA19" i="18" l="1"/>
  <c r="BG19" i="17"/>
  <c r="BH19" i="17" s="1"/>
  <c r="BI19" i="17" s="1"/>
  <c r="AB19" i="18" s="1"/>
  <c r="AC19" i="18" s="1"/>
  <c r="AD19" i="18" s="1"/>
  <c r="AE19" i="18" s="1"/>
  <c r="AF19" i="18" s="1"/>
  <c r="Z56" i="18"/>
  <c r="Y40" i="18"/>
  <c r="W6" i="16"/>
  <c r="AE80" i="17"/>
  <c r="V80" i="18" s="1"/>
  <c r="V38" i="16"/>
  <c r="AA56" i="18" l="1"/>
  <c r="BG56" i="17"/>
  <c r="BH56" i="17" s="1"/>
  <c r="BI56" i="17" s="1"/>
  <c r="AB56" i="18" s="1"/>
  <c r="AC56" i="18" s="1"/>
  <c r="AD56" i="18" s="1"/>
  <c r="AE56" i="18" s="1"/>
  <c r="AF56" i="18" s="1"/>
  <c r="Z40" i="18"/>
  <c r="V37" i="18"/>
  <c r="V35" i="16"/>
  <c r="W32" i="18"/>
  <c r="V37" i="16"/>
  <c r="O27" i="20"/>
  <c r="N27" i="20"/>
  <c r="M27" i="20"/>
  <c r="L27" i="20"/>
  <c r="K27" i="20"/>
  <c r="J27" i="20"/>
  <c r="I27" i="20"/>
  <c r="H27" i="20"/>
  <c r="G27" i="20"/>
  <c r="F27" i="20"/>
  <c r="E27" i="20"/>
  <c r="D27" i="20"/>
  <c r="C27" i="20"/>
  <c r="B27" i="20"/>
  <c r="P27" i="20"/>
  <c r="A66" i="18"/>
  <c r="A60" i="18"/>
  <c r="A58" i="18"/>
  <c r="A56" i="18"/>
  <c r="A54" i="18"/>
  <c r="A53" i="18"/>
  <c r="A51" i="18"/>
  <c r="A49" i="18"/>
  <c r="A48" i="18"/>
  <c r="A47" i="18"/>
  <c r="A43" i="18"/>
  <c r="A41" i="18"/>
  <c r="A40" i="18"/>
  <c r="A39" i="18"/>
  <c r="A37" i="18"/>
  <c r="A36" i="18"/>
  <c r="A34" i="18"/>
  <c r="A32" i="18"/>
  <c r="A33" i="18"/>
  <c r="A31" i="18"/>
  <c r="A29" i="18"/>
  <c r="A27" i="18"/>
  <c r="A26" i="18"/>
  <c r="A24" i="18"/>
  <c r="A22" i="18"/>
  <c r="A21" i="18"/>
  <c r="A20" i="18"/>
  <c r="A19" i="18"/>
  <c r="A17" i="18"/>
  <c r="A14" i="18"/>
  <c r="A12" i="18"/>
  <c r="A11" i="18"/>
  <c r="A10" i="18"/>
  <c r="A9" i="18"/>
  <c r="A8" i="18"/>
  <c r="A7" i="18"/>
  <c r="A5" i="18"/>
  <c r="AA2" i="10"/>
  <c r="Z2" i="10"/>
  <c r="Y2" i="10"/>
  <c r="X2" i="10"/>
  <c r="W2" i="10"/>
  <c r="V2" i="10"/>
  <c r="V48" i="15"/>
  <c r="V47" i="15"/>
  <c r="AA13" i="13"/>
  <c r="V24" i="15"/>
  <c r="V23" i="15"/>
  <c r="V74" i="15"/>
  <c r="W75" i="15" s="1"/>
  <c r="V73" i="15"/>
  <c r="V62" i="15"/>
  <c r="V61" i="15"/>
  <c r="V59" i="15"/>
  <c r="V58" i="15"/>
  <c r="AE2" i="2"/>
  <c r="AD2" i="2"/>
  <c r="AC2" i="2"/>
  <c r="AB2" i="2"/>
  <c r="AA2" i="2"/>
  <c r="AA40" i="18" l="1"/>
  <c r="BG40" i="17"/>
  <c r="BH40" i="17" s="1"/>
  <c r="BI40" i="17" s="1"/>
  <c r="AB40" i="18" s="1"/>
  <c r="V27" i="20"/>
  <c r="AC102" i="13"/>
  <c r="AB50" i="2"/>
  <c r="AB51" i="2"/>
  <c r="AC40" i="18" l="1"/>
  <c r="AD40" i="18" s="1"/>
  <c r="AE40" i="18" s="1"/>
  <c r="AF40" i="18" s="1"/>
  <c r="AC10" i="18"/>
  <c r="AD20" i="13"/>
  <c r="AE32" i="13"/>
  <c r="AB13" i="13"/>
  <c r="AD10" i="18" l="1"/>
  <c r="AD21" i="13"/>
  <c r="AD102" i="13" s="1"/>
  <c r="AE102" i="13" s="1"/>
  <c r="V102" i="15" s="1"/>
  <c r="AD101" i="13"/>
  <c r="AC26" i="13"/>
  <c r="AE20" i="13"/>
  <c r="V20" i="15" s="1"/>
  <c r="V32" i="15"/>
  <c r="AB9" i="13"/>
  <c r="AB38" i="2"/>
  <c r="AB37" i="2"/>
  <c r="AB33" i="2"/>
  <c r="V39" i="18"/>
  <c r="AE10" i="18" l="1"/>
  <c r="AE21" i="13"/>
  <c r="V21" i="15" s="1"/>
  <c r="AC32" i="18"/>
  <c r="AD32" i="18" s="1"/>
  <c r="AE101" i="13"/>
  <c r="W32" i="15"/>
  <c r="AB69" i="14"/>
  <c r="AB93" i="13"/>
  <c r="AB98" i="13"/>
  <c r="AB73" i="17"/>
  <c r="AB97" i="13"/>
  <c r="AB68" i="17"/>
  <c r="AB65" i="17"/>
  <c r="AB72" i="17"/>
  <c r="AB64" i="17"/>
  <c r="AB74" i="17"/>
  <c r="AB71" i="17"/>
  <c r="W33" i="18"/>
  <c r="W38" i="16"/>
  <c r="AB18" i="13"/>
  <c r="V41" i="18"/>
  <c r="AF10" i="18" l="1"/>
  <c r="AD42" i="16"/>
  <c r="AE32" i="18"/>
  <c r="AE22" i="13"/>
  <c r="AE103" i="13" s="1"/>
  <c r="AE104" i="13" s="1"/>
  <c r="AC42" i="16"/>
  <c r="W135" i="15"/>
  <c r="AB94" i="13"/>
  <c r="AB28" i="13"/>
  <c r="AF26" i="13"/>
  <c r="AG102" i="13"/>
  <c r="AJ102" i="13" s="1"/>
  <c r="AG26" i="13"/>
  <c r="AE42" i="16" l="1"/>
  <c r="AF32" i="18"/>
  <c r="AF42" i="16" s="1"/>
  <c r="V22" i="15"/>
  <c r="V26" i="15" s="1"/>
  <c r="AE26" i="13"/>
  <c r="AB82" i="13"/>
  <c r="AB29" i="13"/>
  <c r="AB112" i="13"/>
  <c r="AB83" i="13" l="1"/>
  <c r="W21" i="15"/>
  <c r="W102" i="15"/>
  <c r="W20" i="15" l="1"/>
  <c r="W22" i="15" l="1"/>
  <c r="W26" i="15" l="1"/>
  <c r="W134" i="15"/>
  <c r="X134" i="15" l="1"/>
  <c r="Y134" i="15" l="1"/>
  <c r="Z134" i="15"/>
  <c r="AA62" i="13"/>
  <c r="AA138" i="15" l="1"/>
  <c r="AC20" i="15"/>
  <c r="AD20" i="15" s="1"/>
  <c r="AE20" i="15" s="1"/>
  <c r="AF20" i="15" s="1"/>
  <c r="Z68" i="13"/>
  <c r="AA134" i="15"/>
  <c r="U37" i="16"/>
  <c r="T37" i="16"/>
  <c r="S37" i="16"/>
  <c r="R37" i="16"/>
  <c r="Q37" i="16"/>
  <c r="U35" i="16"/>
  <c r="T35" i="16"/>
  <c r="S35" i="16"/>
  <c r="R35" i="16"/>
  <c r="Q35" i="16"/>
  <c r="U38" i="16"/>
  <c r="T38" i="16"/>
  <c r="S38" i="16"/>
  <c r="R38" i="16"/>
  <c r="Q38" i="16"/>
  <c r="U39" i="16"/>
  <c r="T39" i="16"/>
  <c r="S39" i="16"/>
  <c r="R39" i="16"/>
  <c r="Q39" i="16"/>
  <c r="U41" i="16"/>
  <c r="T41" i="16"/>
  <c r="S41" i="16"/>
  <c r="R41" i="16"/>
  <c r="Q41" i="16"/>
  <c r="AA17" i="14"/>
  <c r="AD17" i="14" s="1"/>
  <c r="U53" i="18"/>
  <c r="T53" i="18"/>
  <c r="S53" i="18"/>
  <c r="R53" i="18"/>
  <c r="Q53" i="18"/>
  <c r="U51" i="18"/>
  <c r="T51" i="18"/>
  <c r="S51" i="18"/>
  <c r="R51" i="18"/>
  <c r="Q51" i="18"/>
  <c r="U49" i="18"/>
  <c r="T49" i="18"/>
  <c r="S49" i="18"/>
  <c r="R49" i="18"/>
  <c r="Q49" i="18"/>
  <c r="U40" i="18"/>
  <c r="T40" i="18"/>
  <c r="S40" i="18"/>
  <c r="R40" i="18"/>
  <c r="Q40" i="18"/>
  <c r="U39" i="18"/>
  <c r="T39" i="18"/>
  <c r="S39" i="18"/>
  <c r="R39" i="18"/>
  <c r="Q39" i="18"/>
  <c r="U37" i="18"/>
  <c r="T37" i="18"/>
  <c r="S37" i="18"/>
  <c r="R37" i="18"/>
  <c r="Q37" i="18"/>
  <c r="U32" i="18"/>
  <c r="T32" i="18"/>
  <c r="S32" i="18"/>
  <c r="R32" i="18"/>
  <c r="Q32" i="18"/>
  <c r="U33" i="18"/>
  <c r="T33" i="18"/>
  <c r="S33" i="18"/>
  <c r="R33" i="18"/>
  <c r="Q33" i="18"/>
  <c r="U31" i="18"/>
  <c r="T31" i="18"/>
  <c r="S31" i="18"/>
  <c r="R31" i="18"/>
  <c r="Q31" i="18"/>
  <c r="U29" i="18"/>
  <c r="T29" i="18"/>
  <c r="S29" i="18"/>
  <c r="R29" i="18"/>
  <c r="Q29" i="18"/>
  <c r="U21" i="18"/>
  <c r="T21" i="18"/>
  <c r="S21" i="18"/>
  <c r="R21" i="18"/>
  <c r="Q21" i="18"/>
  <c r="U20" i="18"/>
  <c r="T20" i="18"/>
  <c r="S20" i="18"/>
  <c r="R20" i="18"/>
  <c r="Q20" i="18"/>
  <c r="U19" i="18"/>
  <c r="T19" i="18"/>
  <c r="S19" i="18"/>
  <c r="R19" i="18"/>
  <c r="Q19" i="18"/>
  <c r="U17" i="18"/>
  <c r="T17" i="18"/>
  <c r="S17" i="18"/>
  <c r="R17" i="18"/>
  <c r="Q17" i="18"/>
  <c r="T11" i="18"/>
  <c r="S11" i="18"/>
  <c r="R11" i="18"/>
  <c r="Q11" i="18"/>
  <c r="U10" i="18"/>
  <c r="T10" i="18"/>
  <c r="S10" i="18"/>
  <c r="R10" i="18"/>
  <c r="Q10" i="18"/>
  <c r="U9" i="18"/>
  <c r="T9" i="18"/>
  <c r="S9" i="18"/>
  <c r="R9" i="18"/>
  <c r="Q9" i="18"/>
  <c r="U8" i="18"/>
  <c r="T8" i="18"/>
  <c r="S8" i="18"/>
  <c r="R8" i="18"/>
  <c r="Q8" i="18"/>
  <c r="U7" i="18"/>
  <c r="T7" i="18"/>
  <c r="S7" i="18"/>
  <c r="R7" i="18"/>
  <c r="Q7" i="18"/>
  <c r="Y56" i="17"/>
  <c r="Z54" i="17"/>
  <c r="Y54" i="17" s="1"/>
  <c r="Y53" i="17"/>
  <c r="Y51" i="17"/>
  <c r="Y49" i="17"/>
  <c r="Z41" i="17"/>
  <c r="Y41" i="17" s="1"/>
  <c r="Y40" i="17"/>
  <c r="Y39" i="17"/>
  <c r="Y37" i="17"/>
  <c r="Y32" i="17"/>
  <c r="Y33" i="17"/>
  <c r="Y31" i="17"/>
  <c r="Y29" i="17"/>
  <c r="Y21" i="17"/>
  <c r="Y20" i="17"/>
  <c r="Y19" i="17"/>
  <c r="Y17" i="17"/>
  <c r="Y10" i="17"/>
  <c r="Y9" i="17"/>
  <c r="Y8" i="17"/>
  <c r="Y7" i="17"/>
  <c r="U8" i="15"/>
  <c r="T8" i="15"/>
  <c r="S8" i="15"/>
  <c r="R8" i="15"/>
  <c r="Q8" i="15"/>
  <c r="U17" i="15"/>
  <c r="T17" i="15"/>
  <c r="S17" i="15"/>
  <c r="R17" i="15"/>
  <c r="Q17" i="15"/>
  <c r="Y17" i="13"/>
  <c r="Y8" i="13"/>
  <c r="AF22" i="15" l="1"/>
  <c r="AF101" i="15"/>
  <c r="AF103" i="15" s="1"/>
  <c r="AE22" i="15"/>
  <c r="AE101" i="15"/>
  <c r="AE103" i="15" s="1"/>
  <c r="AD22" i="15"/>
  <c r="AD101" i="15"/>
  <c r="AD103" i="15" s="1"/>
  <c r="AC22" i="15"/>
  <c r="AC101" i="15"/>
  <c r="AC103" i="15" s="1"/>
  <c r="AB138" i="15"/>
  <c r="AD17" i="13"/>
  <c r="AI17" i="13" s="1"/>
  <c r="Y80" i="17"/>
  <c r="AJ8" i="13"/>
  <c r="W8" i="15" s="1"/>
  <c r="AE8" i="13"/>
  <c r="V8" i="15" s="1"/>
  <c r="Y34" i="17"/>
  <c r="Y22" i="17"/>
  <c r="L19" i="20"/>
  <c r="Z58" i="17"/>
  <c r="Y58" i="17" s="1"/>
  <c r="Z43" i="17"/>
  <c r="C18" i="20"/>
  <c r="AF104" i="15" l="1"/>
  <c r="AF26" i="15"/>
  <c r="AE104" i="15"/>
  <c r="AE26" i="15"/>
  <c r="AD26" i="15"/>
  <c r="AD104" i="15"/>
  <c r="AC104" i="15"/>
  <c r="AC26" i="15"/>
  <c r="AC134" i="15"/>
  <c r="AC137" i="15" s="1"/>
  <c r="AC140" i="15" s="1"/>
  <c r="AC143" i="15" s="1"/>
  <c r="AE17" i="13"/>
  <c r="V17" i="15" s="1"/>
  <c r="AJ17" i="13"/>
  <c r="W17" i="15" s="1"/>
  <c r="AN17" i="13"/>
  <c r="AB134" i="15"/>
  <c r="AB137" i="15" s="1"/>
  <c r="AB140" i="15" s="1"/>
  <c r="AB143" i="15" s="1"/>
  <c r="Y43" i="17"/>
  <c r="Y60" i="17" s="1"/>
  <c r="Z60" i="17"/>
  <c r="D20" i="20"/>
  <c r="D18" i="20"/>
  <c r="B20" i="20"/>
  <c r="B18" i="20"/>
  <c r="C20" i="20"/>
  <c r="AO17" i="13" l="1"/>
  <c r="X17" i="15" s="1"/>
  <c r="AS17" i="13"/>
  <c r="AX17" i="13" s="1"/>
  <c r="D23" i="20"/>
  <c r="D21" i="20"/>
  <c r="B23" i="20"/>
  <c r="B21" i="20"/>
  <c r="C23" i="20"/>
  <c r="C21" i="20"/>
  <c r="BC17" i="13" l="1"/>
  <c r="AY17" i="13"/>
  <c r="AY18" i="13" s="1"/>
  <c r="AY28" i="13" s="1"/>
  <c r="AY34" i="13" s="1"/>
  <c r="AX18" i="13"/>
  <c r="AT17" i="13"/>
  <c r="C26" i="20"/>
  <c r="C28" i="20"/>
  <c r="B28" i="20"/>
  <c r="B26" i="20"/>
  <c r="D26" i="20"/>
  <c r="D28" i="20"/>
  <c r="AX28" i="13" l="1"/>
  <c r="BD17" i="13"/>
  <c r="BD18" i="13" s="1"/>
  <c r="BD28" i="13" s="1"/>
  <c r="BC18" i="13"/>
  <c r="AY40" i="13"/>
  <c r="AY44" i="13" s="1"/>
  <c r="AY38" i="13"/>
  <c r="Z38" i="15" s="1"/>
  <c r="Z17" i="15"/>
  <c r="Y17" i="15"/>
  <c r="O13" i="15"/>
  <c r="N13" i="15"/>
  <c r="M13" i="15"/>
  <c r="L13" i="15"/>
  <c r="K13" i="15"/>
  <c r="J13" i="15"/>
  <c r="I13" i="15"/>
  <c r="H13" i="15"/>
  <c r="G13" i="15"/>
  <c r="F13" i="15"/>
  <c r="E13" i="15"/>
  <c r="D13" i="15"/>
  <c r="C13" i="15"/>
  <c r="B13" i="15"/>
  <c r="P13" i="15"/>
  <c r="O4" i="15"/>
  <c r="N4" i="15"/>
  <c r="M4" i="15"/>
  <c r="L4" i="15"/>
  <c r="K4" i="15"/>
  <c r="J4" i="15"/>
  <c r="I4" i="15"/>
  <c r="H4" i="15"/>
  <c r="G4" i="15"/>
  <c r="F4" i="15"/>
  <c r="E4" i="15"/>
  <c r="D4" i="15"/>
  <c r="C4" i="15"/>
  <c r="B4" i="15"/>
  <c r="P4" i="15"/>
  <c r="P54" i="20"/>
  <c r="O54" i="20"/>
  <c r="N54" i="20"/>
  <c r="M54" i="20"/>
  <c r="P44" i="10"/>
  <c r="O44" i="10"/>
  <c r="N44" i="10"/>
  <c r="O52" i="20"/>
  <c r="N52" i="20"/>
  <c r="P52" i="20"/>
  <c r="F27" i="2"/>
  <c r="C13" i="13"/>
  <c r="B13" i="13"/>
  <c r="K13" i="13"/>
  <c r="I13" i="13"/>
  <c r="H13" i="13"/>
  <c r="G13" i="13"/>
  <c r="P13" i="13"/>
  <c r="N13" i="13"/>
  <c r="M13" i="13"/>
  <c r="L13" i="13"/>
  <c r="U13" i="13"/>
  <c r="S13" i="13"/>
  <c r="R13" i="13"/>
  <c r="Q13" i="13"/>
  <c r="AA18" i="13"/>
  <c r="X57" i="2"/>
  <c r="W57" i="2"/>
  <c r="V57" i="2"/>
  <c r="S57" i="2"/>
  <c r="R57" i="2"/>
  <c r="Q57" i="2"/>
  <c r="N57" i="2"/>
  <c r="M57" i="2"/>
  <c r="L57" i="2"/>
  <c r="I57" i="2"/>
  <c r="H57" i="2"/>
  <c r="G57" i="2"/>
  <c r="I56" i="2"/>
  <c r="H56" i="2"/>
  <c r="G56" i="2"/>
  <c r="D56" i="2"/>
  <c r="C56" i="2"/>
  <c r="B56" i="2"/>
  <c r="J55" i="2"/>
  <c r="I55" i="2"/>
  <c r="H55" i="2"/>
  <c r="G55" i="2"/>
  <c r="E55" i="2"/>
  <c r="D55" i="2"/>
  <c r="C55" i="2"/>
  <c r="B55" i="2"/>
  <c r="J54" i="2"/>
  <c r="I54" i="2"/>
  <c r="H54" i="2"/>
  <c r="G54" i="2"/>
  <c r="E54" i="2"/>
  <c r="D54" i="2"/>
  <c r="C54" i="2"/>
  <c r="B54" i="2"/>
  <c r="H34" i="2"/>
  <c r="AA44" i="2"/>
  <c r="Z44" i="2"/>
  <c r="X44" i="2"/>
  <c r="W44" i="2"/>
  <c r="V44" i="2"/>
  <c r="U44" i="2"/>
  <c r="S44" i="2"/>
  <c r="R44" i="2"/>
  <c r="Q44" i="2"/>
  <c r="P44" i="2"/>
  <c r="N44" i="2"/>
  <c r="M44" i="2"/>
  <c r="L44" i="2"/>
  <c r="H44" i="2"/>
  <c r="G44" i="2"/>
  <c r="K27" i="2"/>
  <c r="I27" i="2"/>
  <c r="H27" i="2"/>
  <c r="G27" i="2"/>
  <c r="O13" i="13"/>
  <c r="T44" i="2"/>
  <c r="AA22" i="2"/>
  <c r="AA13" i="2"/>
  <c r="T2" i="2"/>
  <c r="S2" i="2"/>
  <c r="R2" i="2"/>
  <c r="Q2" i="2"/>
  <c r="P2" i="2"/>
  <c r="O2" i="2"/>
  <c r="N2" i="2"/>
  <c r="M2" i="2"/>
  <c r="L2" i="2"/>
  <c r="K2" i="2"/>
  <c r="J2" i="2"/>
  <c r="I2" i="2"/>
  <c r="H2" i="2"/>
  <c r="G2" i="2"/>
  <c r="F2" i="2"/>
  <c r="E2" i="2"/>
  <c r="D2" i="2"/>
  <c r="C2" i="2"/>
  <c r="B2" i="2"/>
  <c r="AA81" i="13"/>
  <c r="AA26" i="13"/>
  <c r="BC28" i="13" l="1"/>
  <c r="BD82" i="13"/>
  <c r="BD34" i="13"/>
  <c r="AX34" i="13"/>
  <c r="Z136" i="15"/>
  <c r="Z137" i="15" s="1"/>
  <c r="Z140" i="15" s="1"/>
  <c r="Z143" i="15" s="1"/>
  <c r="Z11" i="20"/>
  <c r="AY52" i="13"/>
  <c r="AY49" i="13"/>
  <c r="AY55" i="13"/>
  <c r="AA17" i="15"/>
  <c r="R27" i="10"/>
  <c r="Q27" i="10"/>
  <c r="AA28" i="13"/>
  <c r="S4" i="13"/>
  <c r="E4" i="13"/>
  <c r="Q27" i="2"/>
  <c r="X31" i="2"/>
  <c r="N27" i="2"/>
  <c r="J56" i="2"/>
  <c r="K56" i="2" s="1"/>
  <c r="P27" i="2"/>
  <c r="F9" i="15"/>
  <c r="J9" i="15"/>
  <c r="G9" i="15"/>
  <c r="K9" i="15"/>
  <c r="I9" i="15"/>
  <c r="O9" i="15"/>
  <c r="P9" i="15"/>
  <c r="M9" i="15"/>
  <c r="H9" i="15"/>
  <c r="L9" i="15"/>
  <c r="N9" i="15"/>
  <c r="J33" i="2"/>
  <c r="J38" i="2"/>
  <c r="R27" i="2"/>
  <c r="AA33" i="2"/>
  <c r="AF34" i="2" s="1"/>
  <c r="AA38" i="2"/>
  <c r="S33" i="2"/>
  <c r="S38" i="2"/>
  <c r="N38" i="2"/>
  <c r="N33" i="2"/>
  <c r="N34" i="2" s="1"/>
  <c r="L27" i="2"/>
  <c r="M47" i="2"/>
  <c r="N56" i="2"/>
  <c r="S56" i="2"/>
  <c r="U33" i="2"/>
  <c r="U38" i="2"/>
  <c r="T38" i="10" s="1"/>
  <c r="P38" i="2"/>
  <c r="S38" i="10" s="1"/>
  <c r="P33" i="2"/>
  <c r="P34" i="2" s="1"/>
  <c r="M27" i="2"/>
  <c r="U27" i="2"/>
  <c r="N47" i="2"/>
  <c r="Q33" i="2"/>
  <c r="Q38" i="2"/>
  <c r="L38" i="2"/>
  <c r="L33" i="2"/>
  <c r="L34" i="2" s="1"/>
  <c r="P47" i="2"/>
  <c r="L56" i="2"/>
  <c r="Q56" i="2"/>
  <c r="R33" i="2"/>
  <c r="R38" i="2"/>
  <c r="M33" i="2"/>
  <c r="M34" i="2" s="1"/>
  <c r="M38" i="2"/>
  <c r="S27" i="2"/>
  <c r="L47" i="2"/>
  <c r="M56" i="2"/>
  <c r="R56" i="2"/>
  <c r="O18" i="13"/>
  <c r="V33" i="15"/>
  <c r="G47" i="2"/>
  <c r="R47" i="2"/>
  <c r="J57" i="2"/>
  <c r="K57" i="2" s="1"/>
  <c r="O57" i="2"/>
  <c r="P57" i="2" s="1"/>
  <c r="T57" i="2"/>
  <c r="U57" i="2" s="1"/>
  <c r="T13" i="13"/>
  <c r="J13" i="13"/>
  <c r="O44" i="2"/>
  <c r="G34" i="2"/>
  <c r="J27" i="2"/>
  <c r="E56" i="2"/>
  <c r="F56" i="2" s="1"/>
  <c r="M18" i="13"/>
  <c r="G9" i="13"/>
  <c r="K9" i="13"/>
  <c r="P47" i="10"/>
  <c r="P34" i="10"/>
  <c r="O47" i="10"/>
  <c r="O34" i="10"/>
  <c r="N34" i="10"/>
  <c r="N47" i="10"/>
  <c r="B18" i="15"/>
  <c r="F18" i="15"/>
  <c r="J18" i="15"/>
  <c r="N18" i="15"/>
  <c r="AA50" i="2"/>
  <c r="AA51" i="2"/>
  <c r="D9" i="13"/>
  <c r="D18" i="15"/>
  <c r="H18" i="15"/>
  <c r="L18" i="15"/>
  <c r="E18" i="15"/>
  <c r="I18" i="15"/>
  <c r="M18" i="15"/>
  <c r="R18" i="13"/>
  <c r="I9" i="13"/>
  <c r="H18" i="13"/>
  <c r="B9" i="13"/>
  <c r="F9" i="13"/>
  <c r="S18" i="13"/>
  <c r="L18" i="13"/>
  <c r="P18" i="13"/>
  <c r="I18" i="13"/>
  <c r="C9" i="13"/>
  <c r="B18" i="13"/>
  <c r="Q18" i="13"/>
  <c r="U18" i="13"/>
  <c r="N18" i="13"/>
  <c r="H9" i="13"/>
  <c r="G18" i="13"/>
  <c r="K18" i="13"/>
  <c r="C18" i="13"/>
  <c r="H47" i="2"/>
  <c r="P18" i="15"/>
  <c r="C18" i="15"/>
  <c r="G18" i="15"/>
  <c r="K18" i="15"/>
  <c r="O18" i="15"/>
  <c r="D9" i="15"/>
  <c r="E9" i="15"/>
  <c r="B9" i="15"/>
  <c r="C9" i="15"/>
  <c r="BC34" i="13" l="1"/>
  <c r="AX38" i="13"/>
  <c r="AX40" i="13"/>
  <c r="AX44" i="13" s="1"/>
  <c r="BD40" i="13"/>
  <c r="BD35" i="13"/>
  <c r="BD38" i="13"/>
  <c r="AA38" i="15" s="1"/>
  <c r="BD82" i="17"/>
  <c r="BC82" i="13"/>
  <c r="BC35" i="13"/>
  <c r="AY56" i="13"/>
  <c r="AY53" i="13"/>
  <c r="AA34" i="13"/>
  <c r="L10" i="15"/>
  <c r="L5" i="20" s="1"/>
  <c r="H10" i="15"/>
  <c r="H5" i="20" s="1"/>
  <c r="J10" i="15"/>
  <c r="J5" i="20" s="1"/>
  <c r="F10" i="15"/>
  <c r="F5" i="20" s="1"/>
  <c r="I10" i="15"/>
  <c r="I5" i="20" s="1"/>
  <c r="C10" i="15"/>
  <c r="C5" i="20" s="1"/>
  <c r="E10" i="15"/>
  <c r="E5" i="20" s="1"/>
  <c r="K10" i="15"/>
  <c r="K5" i="20" s="1"/>
  <c r="D10" i="15"/>
  <c r="D5" i="20" s="1"/>
  <c r="G10" i="15"/>
  <c r="G5" i="20" s="1"/>
  <c r="AD26" i="13"/>
  <c r="M4" i="20"/>
  <c r="S27" i="10"/>
  <c r="L4" i="20"/>
  <c r="T27" i="10"/>
  <c r="H4" i="20"/>
  <c r="I4" i="20"/>
  <c r="F4" i="20"/>
  <c r="P4" i="13"/>
  <c r="P9" i="13" s="1"/>
  <c r="J4" i="13"/>
  <c r="L4" i="13"/>
  <c r="L9" i="13" s="1"/>
  <c r="N4" i="13"/>
  <c r="N9" i="13" s="1"/>
  <c r="M4" i="13"/>
  <c r="M9" i="13" s="1"/>
  <c r="Z31" i="2"/>
  <c r="U31" i="10" s="1"/>
  <c r="U4" i="13"/>
  <c r="U9" i="13" s="1"/>
  <c r="V31" i="2"/>
  <c r="Q4" i="13"/>
  <c r="Q9" i="13" s="1"/>
  <c r="W31" i="2"/>
  <c r="R4" i="13"/>
  <c r="R9" i="13" s="1"/>
  <c r="S9" i="13"/>
  <c r="O47" i="2"/>
  <c r="S34" i="2"/>
  <c r="J4" i="20"/>
  <c r="U34" i="2"/>
  <c r="T18" i="13"/>
  <c r="S47" i="2"/>
  <c r="R65" i="18"/>
  <c r="Q65" i="18"/>
  <c r="G4" i="20"/>
  <c r="K4" i="20"/>
  <c r="E4" i="20"/>
  <c r="N4" i="20"/>
  <c r="D4" i="20"/>
  <c r="O4" i="20"/>
  <c r="C4" i="20"/>
  <c r="B4" i="20"/>
  <c r="B5" i="20"/>
  <c r="M8" i="20"/>
  <c r="E6" i="20"/>
  <c r="E8" i="20"/>
  <c r="L6" i="20"/>
  <c r="L8" i="20"/>
  <c r="I8" i="20"/>
  <c r="U47" i="2"/>
  <c r="Q47" i="2"/>
  <c r="Q34" i="2"/>
  <c r="AA9" i="13"/>
  <c r="O38" i="2"/>
  <c r="O33" i="2"/>
  <c r="O27" i="2"/>
  <c r="O56" i="2"/>
  <c r="P56" i="2" s="1"/>
  <c r="T38" i="2"/>
  <c r="T33" i="2"/>
  <c r="T56" i="2"/>
  <c r="U56" i="2" s="1"/>
  <c r="T27" i="2"/>
  <c r="R34" i="2"/>
  <c r="B8" i="20"/>
  <c r="N8" i="20"/>
  <c r="O8" i="20"/>
  <c r="J18" i="13"/>
  <c r="P4" i="20"/>
  <c r="E9" i="13"/>
  <c r="F10" i="13"/>
  <c r="H10" i="13"/>
  <c r="G10" i="13"/>
  <c r="K10" i="13"/>
  <c r="I10" i="13"/>
  <c r="L9" i="20"/>
  <c r="P10" i="15"/>
  <c r="P5" i="20" s="1"/>
  <c r="B9" i="20"/>
  <c r="O9" i="20"/>
  <c r="N9" i="20"/>
  <c r="I9" i="20"/>
  <c r="O10" i="15"/>
  <c r="O5" i="20" s="1"/>
  <c r="M10" i="15"/>
  <c r="M5" i="20" s="1"/>
  <c r="E9" i="20"/>
  <c r="N10" i="15"/>
  <c r="N5" i="20" s="1"/>
  <c r="BC82" i="17" l="1"/>
  <c r="BC38" i="13"/>
  <c r="BC40" i="13"/>
  <c r="AA136" i="15"/>
  <c r="AA137" i="15" s="1"/>
  <c r="AA140" i="15" s="1"/>
  <c r="AA143" i="15" s="1"/>
  <c r="AA11" i="20"/>
  <c r="BD44" i="13"/>
  <c r="BD41" i="13"/>
  <c r="AX55" i="13"/>
  <c r="AX52" i="13"/>
  <c r="AX49" i="13"/>
  <c r="AA65" i="17"/>
  <c r="AA64" i="17"/>
  <c r="AA74" i="17"/>
  <c r="AA68" i="17"/>
  <c r="AA73" i="17"/>
  <c r="AA71" i="17"/>
  <c r="AA72" i="17"/>
  <c r="AA98" i="13"/>
  <c r="AA97" i="13"/>
  <c r="T34" i="2"/>
  <c r="AA38" i="13"/>
  <c r="AA40" i="13"/>
  <c r="AA44" i="13" s="1"/>
  <c r="J9" i="13"/>
  <c r="O34" i="2"/>
  <c r="O4" i="13"/>
  <c r="O9" i="13" s="1"/>
  <c r="T4" i="13"/>
  <c r="T9" i="13" s="1"/>
  <c r="T47" i="2"/>
  <c r="F10" i="20"/>
  <c r="O10" i="20"/>
  <c r="I10" i="20"/>
  <c r="N10" i="20"/>
  <c r="Q10" i="13"/>
  <c r="U10" i="13"/>
  <c r="R10" i="13"/>
  <c r="L10" i="13"/>
  <c r="M10" i="13"/>
  <c r="P10" i="13"/>
  <c r="S65" i="18"/>
  <c r="N10" i="13"/>
  <c r="T65" i="18"/>
  <c r="M7" i="20"/>
  <c r="L7" i="20"/>
  <c r="M9" i="20"/>
  <c r="S10" i="13"/>
  <c r="F7" i="20"/>
  <c r="E7" i="20"/>
  <c r="F9" i="20"/>
  <c r="D9" i="20"/>
  <c r="D8" i="20"/>
  <c r="G7" i="20"/>
  <c r="G8" i="20"/>
  <c r="H6" i="20"/>
  <c r="H8" i="20"/>
  <c r="L12" i="20"/>
  <c r="L10" i="20"/>
  <c r="E11" i="20"/>
  <c r="E10" i="20"/>
  <c r="K7" i="20"/>
  <c r="K8" i="20"/>
  <c r="J6" i="20"/>
  <c r="J8" i="20"/>
  <c r="F8" i="20"/>
  <c r="AA69" i="14"/>
  <c r="C8" i="20"/>
  <c r="B11" i="20"/>
  <c r="B10" i="20"/>
  <c r="AA29" i="13"/>
  <c r="AA112" i="13"/>
  <c r="I7" i="20"/>
  <c r="I6" i="20"/>
  <c r="O7" i="20"/>
  <c r="O6" i="20"/>
  <c r="B37" i="20"/>
  <c r="B6" i="20"/>
  <c r="N7" i="20"/>
  <c r="N6" i="20"/>
  <c r="AA82" i="13"/>
  <c r="P8" i="20"/>
  <c r="J9" i="20"/>
  <c r="G9" i="20"/>
  <c r="B7" i="20"/>
  <c r="B29" i="20"/>
  <c r="P9" i="20"/>
  <c r="P6" i="20"/>
  <c r="C9" i="20"/>
  <c r="H9" i="20"/>
  <c r="K9" i="20"/>
  <c r="E12" i="20"/>
  <c r="L11" i="20"/>
  <c r="I11" i="20"/>
  <c r="I12" i="20"/>
  <c r="N11" i="20"/>
  <c r="F11" i="20"/>
  <c r="O11" i="20"/>
  <c r="BC41" i="13" l="1"/>
  <c r="BC44" i="13"/>
  <c r="BD49" i="13"/>
  <c r="BD45" i="13"/>
  <c r="BD52" i="13"/>
  <c r="BD55" i="13"/>
  <c r="AX56" i="13"/>
  <c r="AX53" i="13"/>
  <c r="AC17" i="15"/>
  <c r="AA83" i="13"/>
  <c r="AA82" i="17"/>
  <c r="J10" i="13"/>
  <c r="P10" i="20"/>
  <c r="C10" i="20"/>
  <c r="M10" i="20"/>
  <c r="M6" i="20"/>
  <c r="G6" i="20"/>
  <c r="F6" i="20"/>
  <c r="H7" i="20"/>
  <c r="M11" i="20"/>
  <c r="L13" i="20"/>
  <c r="J7" i="20"/>
  <c r="K6" i="20"/>
  <c r="C11" i="20"/>
  <c r="H10" i="20"/>
  <c r="J12" i="20"/>
  <c r="J10" i="20"/>
  <c r="K11" i="20"/>
  <c r="K10" i="20"/>
  <c r="D11" i="20"/>
  <c r="D10" i="20"/>
  <c r="G12" i="20"/>
  <c r="G10" i="20"/>
  <c r="O10" i="13"/>
  <c r="T10" i="13"/>
  <c r="B12" i="20"/>
  <c r="O12" i="20"/>
  <c r="N12" i="20"/>
  <c r="D37" i="20"/>
  <c r="D6" i="20"/>
  <c r="C37" i="20"/>
  <c r="C6" i="20"/>
  <c r="P11" i="20"/>
  <c r="J11" i="20"/>
  <c r="P7" i="20"/>
  <c r="G11" i="20"/>
  <c r="D7" i="20"/>
  <c r="D29" i="20"/>
  <c r="C7" i="20"/>
  <c r="C29" i="20"/>
  <c r="H11" i="20"/>
  <c r="I13" i="20"/>
  <c r="K12" i="20"/>
  <c r="E13" i="20"/>
  <c r="BC45" i="13" l="1"/>
  <c r="BC49" i="13"/>
  <c r="BC55" i="13"/>
  <c r="BC52" i="13"/>
  <c r="BD50" i="13"/>
  <c r="BD56" i="13"/>
  <c r="BD53" i="13"/>
  <c r="AD17" i="15"/>
  <c r="F12" i="20"/>
  <c r="F13" i="20"/>
  <c r="D12" i="20"/>
  <c r="AA52" i="13"/>
  <c r="AA55" i="13"/>
  <c r="J13" i="20"/>
  <c r="G13" i="20"/>
  <c r="L18" i="20"/>
  <c r="O18" i="20"/>
  <c r="N18" i="20"/>
  <c r="I18" i="20"/>
  <c r="E18" i="20"/>
  <c r="L20" i="20"/>
  <c r="AA49" i="13"/>
  <c r="B39" i="20"/>
  <c r="H13" i="20"/>
  <c r="H12" i="20"/>
  <c r="B13" i="20"/>
  <c r="O13" i="20"/>
  <c r="N13" i="20"/>
  <c r="N20" i="20"/>
  <c r="O20" i="20"/>
  <c r="I20" i="20"/>
  <c r="E20" i="20"/>
  <c r="D13" i="20"/>
  <c r="K13" i="20"/>
  <c r="BC53" i="13" l="1"/>
  <c r="BC56" i="13"/>
  <c r="BC50" i="13"/>
  <c r="AE17" i="15"/>
  <c r="AF17" i="15"/>
  <c r="P12" i="20"/>
  <c r="P13" i="20"/>
  <c r="M13" i="20"/>
  <c r="G20" i="20"/>
  <c r="F20" i="20"/>
  <c r="J18" i="20"/>
  <c r="F18" i="20"/>
  <c r="C12" i="20"/>
  <c r="C13" i="20"/>
  <c r="M12" i="20"/>
  <c r="J20" i="20"/>
  <c r="AA56" i="13"/>
  <c r="L23" i="20"/>
  <c r="L21" i="20"/>
  <c r="P18" i="20"/>
  <c r="H18" i="20"/>
  <c r="G18" i="20"/>
  <c r="B40" i="20"/>
  <c r="AA53" i="13"/>
  <c r="D40" i="20"/>
  <c r="P21" i="20"/>
  <c r="H20" i="20"/>
  <c r="F21" i="20"/>
  <c r="E21" i="20"/>
  <c r="E23" i="20"/>
  <c r="I23" i="20"/>
  <c r="I21" i="20"/>
  <c r="O21" i="20"/>
  <c r="O23" i="20"/>
  <c r="G23" i="20"/>
  <c r="G21" i="20"/>
  <c r="N21" i="20"/>
  <c r="N23" i="20"/>
  <c r="F23" i="20" l="1"/>
  <c r="M18" i="20"/>
  <c r="M20" i="20"/>
  <c r="C40" i="20"/>
  <c r="J21" i="20"/>
  <c r="J23" i="20"/>
  <c r="F26" i="20"/>
  <c r="K18" i="20"/>
  <c r="D39" i="20"/>
  <c r="C39" i="20"/>
  <c r="E29" i="20"/>
  <c r="P20" i="20"/>
  <c r="P23" i="20"/>
  <c r="E26" i="20"/>
  <c r="K20" i="20"/>
  <c r="H23" i="20"/>
  <c r="H21" i="20"/>
  <c r="M21" i="20" l="1"/>
  <c r="M23" i="20"/>
  <c r="S77" i="16"/>
  <c r="S23" i="20" s="1"/>
  <c r="S74" i="16"/>
  <c r="T77" i="16"/>
  <c r="T23" i="20" s="1"/>
  <c r="T73" i="16"/>
  <c r="T21" i="20" s="1"/>
  <c r="E28" i="20"/>
  <c r="F29" i="20"/>
  <c r="F37" i="20"/>
  <c r="E37" i="20"/>
  <c r="K23" i="20"/>
  <c r="K21" i="20"/>
  <c r="R74" i="16"/>
  <c r="R73" i="16"/>
  <c r="R21" i="20" s="1"/>
  <c r="R77" i="16"/>
  <c r="R23" i="20" s="1"/>
  <c r="P2" i="10"/>
  <c r="O2" i="10"/>
  <c r="N2" i="10"/>
  <c r="M2" i="10"/>
  <c r="L2" i="10"/>
  <c r="K2" i="10"/>
  <c r="J2" i="10"/>
  <c r="I2" i="10"/>
  <c r="H2" i="10"/>
  <c r="G2" i="10"/>
  <c r="F2" i="10"/>
  <c r="E2" i="10"/>
  <c r="D2" i="10"/>
  <c r="C2" i="10"/>
  <c r="B2" i="10"/>
  <c r="Q2" i="20"/>
  <c r="R2" i="20"/>
  <c r="S2" i="20"/>
  <c r="T2" i="20"/>
  <c r="Q52" i="20"/>
  <c r="R33" i="10"/>
  <c r="R36" i="10" s="1"/>
  <c r="R43" i="10" s="1"/>
  <c r="R52" i="20"/>
  <c r="S51" i="10"/>
  <c r="S50" i="10"/>
  <c r="S47" i="10"/>
  <c r="S44" i="10"/>
  <c r="S34" i="10"/>
  <c r="S33" i="10"/>
  <c r="S52" i="20"/>
  <c r="T51" i="10"/>
  <c r="T50" i="10"/>
  <c r="T47" i="10"/>
  <c r="T44" i="10"/>
  <c r="T34" i="10"/>
  <c r="T33" i="10"/>
  <c r="T52" i="20"/>
  <c r="Q119" i="18"/>
  <c r="Q113" i="18"/>
  <c r="Q111" i="18"/>
  <c r="Q109" i="18"/>
  <c r="Q38" i="20" s="1"/>
  <c r="Q100" i="18"/>
  <c r="Q96" i="18"/>
  <c r="Q93" i="18"/>
  <c r="Q91" i="18"/>
  <c r="Q88" i="18"/>
  <c r="Q33" i="20" s="1"/>
  <c r="Q27" i="20"/>
  <c r="Q74" i="18"/>
  <c r="Q73" i="18"/>
  <c r="Q72" i="18"/>
  <c r="Q71" i="18"/>
  <c r="Q68" i="18"/>
  <c r="Q67" i="18"/>
  <c r="Q66" i="18"/>
  <c r="Q64" i="18"/>
  <c r="Q60" i="18"/>
  <c r="Q58" i="18"/>
  <c r="Q56" i="18"/>
  <c r="Q54" i="18"/>
  <c r="Q43" i="18"/>
  <c r="Q41" i="18"/>
  <c r="Q34" i="18"/>
  <c r="Q22" i="18"/>
  <c r="R119" i="18"/>
  <c r="R113" i="18"/>
  <c r="R111" i="18"/>
  <c r="R109" i="18"/>
  <c r="R38" i="20" s="1"/>
  <c r="R100" i="18"/>
  <c r="R96" i="18"/>
  <c r="R93" i="18"/>
  <c r="R91" i="18"/>
  <c r="R88" i="18"/>
  <c r="R33" i="20" s="1"/>
  <c r="R27" i="20"/>
  <c r="R74" i="18"/>
  <c r="R73" i="18"/>
  <c r="R72" i="18"/>
  <c r="R71" i="18"/>
  <c r="R68" i="18"/>
  <c r="R67" i="18"/>
  <c r="R66" i="18"/>
  <c r="R64" i="18"/>
  <c r="R60" i="18"/>
  <c r="R58" i="18"/>
  <c r="R56" i="18"/>
  <c r="R54" i="18"/>
  <c r="R43" i="18"/>
  <c r="R41" i="18"/>
  <c r="R34" i="18"/>
  <c r="R22" i="18"/>
  <c r="S119" i="18"/>
  <c r="S113" i="18"/>
  <c r="S111" i="18"/>
  <c r="S109" i="18"/>
  <c r="S38" i="20" s="1"/>
  <c r="S100" i="18"/>
  <c r="S96" i="18"/>
  <c r="S93" i="18"/>
  <c r="S91" i="18"/>
  <c r="S88" i="18"/>
  <c r="S33" i="20" s="1"/>
  <c r="S27" i="20"/>
  <c r="S74" i="18"/>
  <c r="S73" i="18"/>
  <c r="S72" i="18"/>
  <c r="S71" i="18"/>
  <c r="S68" i="18"/>
  <c r="S67" i="18"/>
  <c r="S66" i="18"/>
  <c r="S64" i="18"/>
  <c r="S60" i="18"/>
  <c r="S58" i="18"/>
  <c r="S56" i="18"/>
  <c r="S54" i="18"/>
  <c r="S43" i="18"/>
  <c r="S41" i="18"/>
  <c r="S34" i="18"/>
  <c r="S22" i="18"/>
  <c r="T119" i="18"/>
  <c r="T113" i="18"/>
  <c r="T111" i="18"/>
  <c r="T109" i="18"/>
  <c r="T38" i="20" s="1"/>
  <c r="T100" i="18"/>
  <c r="T96" i="18"/>
  <c r="T93" i="18"/>
  <c r="T91" i="18"/>
  <c r="T88" i="18"/>
  <c r="T33" i="20" s="1"/>
  <c r="T27" i="20"/>
  <c r="T74" i="18"/>
  <c r="T73" i="18"/>
  <c r="T72" i="18"/>
  <c r="T71" i="18"/>
  <c r="T68" i="18"/>
  <c r="T67" i="18"/>
  <c r="T66" i="18"/>
  <c r="T64" i="18"/>
  <c r="T60" i="18"/>
  <c r="T58" i="18"/>
  <c r="T56" i="18"/>
  <c r="T54" i="18"/>
  <c r="T43" i="18"/>
  <c r="T41" i="18"/>
  <c r="T34" i="18"/>
  <c r="T22" i="18"/>
  <c r="Q76" i="16"/>
  <c r="Q22" i="20" s="1"/>
  <c r="Q69" i="16"/>
  <c r="Q66" i="16"/>
  <c r="Q52" i="16"/>
  <c r="Q40" i="16"/>
  <c r="Q32" i="16"/>
  <c r="Q24" i="16"/>
  <c r="Q19" i="20" s="1"/>
  <c r="Q17" i="16"/>
  <c r="Q16" i="16"/>
  <c r="Q15" i="16"/>
  <c r="Q13" i="16"/>
  <c r="Q12" i="16"/>
  <c r="Q11" i="16"/>
  <c r="Q9" i="16"/>
  <c r="Q6" i="16"/>
  <c r="Q7" i="16"/>
  <c r="Q5" i="16"/>
  <c r="R76" i="16"/>
  <c r="R22" i="20" s="1"/>
  <c r="R72" i="16"/>
  <c r="R20" i="20" s="1"/>
  <c r="R69" i="16"/>
  <c r="R66" i="16"/>
  <c r="R54" i="16"/>
  <c r="R52" i="16"/>
  <c r="R40" i="16"/>
  <c r="R32" i="16"/>
  <c r="R24" i="16"/>
  <c r="R19" i="20" s="1"/>
  <c r="R21" i="16"/>
  <c r="R18" i="20" s="1"/>
  <c r="R17" i="16"/>
  <c r="R16" i="16"/>
  <c r="R15" i="16"/>
  <c r="R13" i="16"/>
  <c r="R12" i="16"/>
  <c r="R11" i="16"/>
  <c r="R9" i="16"/>
  <c r="R6" i="16"/>
  <c r="R7" i="16"/>
  <c r="R5" i="16"/>
  <c r="R4" i="16"/>
  <c r="S76" i="16"/>
  <c r="S22" i="20" s="1"/>
  <c r="S73" i="16"/>
  <c r="S21" i="20" s="1"/>
  <c r="S72" i="16"/>
  <c r="S20" i="20" s="1"/>
  <c r="S69" i="16"/>
  <c r="S66" i="16"/>
  <c r="S54" i="16"/>
  <c r="S52" i="16"/>
  <c r="S40" i="16"/>
  <c r="S32" i="16"/>
  <c r="S24" i="16"/>
  <c r="S19" i="20" s="1"/>
  <c r="S21" i="16"/>
  <c r="S18" i="20" s="1"/>
  <c r="S17" i="16"/>
  <c r="S16" i="16"/>
  <c r="S15" i="16"/>
  <c r="S13" i="16"/>
  <c r="S12" i="16"/>
  <c r="S11" i="16"/>
  <c r="S9" i="16"/>
  <c r="S6" i="16"/>
  <c r="S7" i="16"/>
  <c r="S5" i="16"/>
  <c r="S4" i="16"/>
  <c r="T76" i="16"/>
  <c r="T22" i="20" s="1"/>
  <c r="T74" i="16"/>
  <c r="T72" i="16"/>
  <c r="T20" i="20" s="1"/>
  <c r="T69" i="16"/>
  <c r="T54" i="16"/>
  <c r="T52" i="16"/>
  <c r="T40" i="16"/>
  <c r="T32" i="16"/>
  <c r="T24" i="16"/>
  <c r="T19" i="20" s="1"/>
  <c r="T21" i="16"/>
  <c r="T18" i="20" s="1"/>
  <c r="T17" i="16"/>
  <c r="T16" i="16"/>
  <c r="T15" i="16"/>
  <c r="T13" i="16"/>
  <c r="T12" i="16"/>
  <c r="T11" i="16"/>
  <c r="T9" i="16"/>
  <c r="T6" i="16"/>
  <c r="T7" i="16"/>
  <c r="T5" i="16"/>
  <c r="T4" i="16"/>
  <c r="Q15" i="15"/>
  <c r="Q10" i="15"/>
  <c r="Q5" i="20" s="1"/>
  <c r="Q6" i="15"/>
  <c r="Q5" i="15"/>
  <c r="Q4" i="15"/>
  <c r="Q3" i="15"/>
  <c r="R11" i="20"/>
  <c r="R9" i="20"/>
  <c r="R15" i="15"/>
  <c r="R14" i="15"/>
  <c r="R13" i="15"/>
  <c r="R12" i="15"/>
  <c r="R10" i="15"/>
  <c r="R5" i="20" s="1"/>
  <c r="R6" i="15"/>
  <c r="R5" i="15"/>
  <c r="R4" i="15"/>
  <c r="R3" i="15"/>
  <c r="S11" i="20"/>
  <c r="S9" i="20"/>
  <c r="S15" i="15"/>
  <c r="S14" i="15"/>
  <c r="S13" i="15"/>
  <c r="S12" i="15"/>
  <c r="S10" i="15"/>
  <c r="S5" i="20" s="1"/>
  <c r="S6" i="15"/>
  <c r="S5" i="15"/>
  <c r="S4" i="15"/>
  <c r="S3" i="15"/>
  <c r="S2" i="10"/>
  <c r="T11" i="20"/>
  <c r="T9" i="20"/>
  <c r="T15" i="15"/>
  <c r="T14" i="15"/>
  <c r="T13" i="15"/>
  <c r="T12" i="15"/>
  <c r="T10" i="15"/>
  <c r="T5" i="20" s="1"/>
  <c r="T6" i="15"/>
  <c r="T5" i="15"/>
  <c r="T4" i="15"/>
  <c r="T3" i="15"/>
  <c r="R46" i="10" l="1"/>
  <c r="R9" i="15"/>
  <c r="S9" i="15"/>
  <c r="T9" i="15"/>
  <c r="Q9" i="15"/>
  <c r="F28" i="20"/>
  <c r="E40" i="20"/>
  <c r="R18" i="15"/>
  <c r="S18" i="15"/>
  <c r="T18" i="15"/>
  <c r="T36" i="10"/>
  <c r="T43" i="10" s="1"/>
  <c r="S36" i="10"/>
  <c r="S43" i="10" s="1"/>
  <c r="R2" i="10"/>
  <c r="Q2" i="10"/>
  <c r="T2" i="10"/>
  <c r="A66" i="16"/>
  <c r="Z13" i="13"/>
  <c r="X13" i="13"/>
  <c r="W13" i="13"/>
  <c r="V13" i="13"/>
  <c r="U2" i="20"/>
  <c r="A79" i="18"/>
  <c r="A80" i="18"/>
  <c r="A81" i="18"/>
  <c r="A82" i="18"/>
  <c r="A84" i="18"/>
  <c r="U88" i="18"/>
  <c r="U33" i="20" s="1"/>
  <c r="U91" i="18"/>
  <c r="U93" i="18"/>
  <c r="U96" i="18"/>
  <c r="U100" i="18"/>
  <c r="U109" i="18"/>
  <c r="U38" i="20" s="1"/>
  <c r="U111" i="18"/>
  <c r="U113" i="18"/>
  <c r="U119" i="18"/>
  <c r="T46" i="10" l="1"/>
  <c r="S46" i="10"/>
  <c r="J26" i="20"/>
  <c r="H26" i="20"/>
  <c r="G26" i="20"/>
  <c r="I26" i="20"/>
  <c r="H28" i="20"/>
  <c r="H37" i="20"/>
  <c r="E39" i="20"/>
  <c r="F39" i="20"/>
  <c r="Z18" i="13"/>
  <c r="Z28" i="13" s="1"/>
  <c r="X18" i="13"/>
  <c r="T8" i="20"/>
  <c r="V18" i="13"/>
  <c r="V28" i="13" s="1"/>
  <c r="W18" i="13"/>
  <c r="Q51" i="20"/>
  <c r="S51" i="20"/>
  <c r="R51" i="20"/>
  <c r="T51" i="20"/>
  <c r="T4" i="20"/>
  <c r="Q4" i="20"/>
  <c r="R4" i="20"/>
  <c r="S4" i="20"/>
  <c r="V81" i="13"/>
  <c r="W81" i="13"/>
  <c r="X81" i="13"/>
  <c r="Z81" i="13"/>
  <c r="X28" i="13" l="1"/>
  <c r="H29" i="20"/>
  <c r="I37" i="20"/>
  <c r="G37" i="20"/>
  <c r="I28" i="20"/>
  <c r="G28" i="20"/>
  <c r="G29" i="20"/>
  <c r="F40" i="20"/>
  <c r="J37" i="20"/>
  <c r="T54" i="20"/>
  <c r="T53" i="20"/>
  <c r="S54" i="20"/>
  <c r="S53" i="20"/>
  <c r="R54" i="20"/>
  <c r="R53" i="20"/>
  <c r="S8" i="20"/>
  <c r="R8" i="20"/>
  <c r="U21" i="15"/>
  <c r="U56" i="18"/>
  <c r="U27" i="20"/>
  <c r="U66" i="18"/>
  <c r="U67" i="18"/>
  <c r="A67" i="18"/>
  <c r="Z76" i="14"/>
  <c r="A3" i="18"/>
  <c r="A4" i="18"/>
  <c r="A61" i="18"/>
  <c r="A63" i="18"/>
  <c r="A64" i="18"/>
  <c r="A68" i="18"/>
  <c r="A70" i="18"/>
  <c r="A71" i="18"/>
  <c r="A72" i="18"/>
  <c r="A73" i="18"/>
  <c r="A74" i="18"/>
  <c r="A76" i="16"/>
  <c r="A77" i="16"/>
  <c r="V76" i="14"/>
  <c r="W76" i="14"/>
  <c r="X76" i="14"/>
  <c r="A68" i="16"/>
  <c r="A69" i="16"/>
  <c r="A70" i="16"/>
  <c r="A72" i="16"/>
  <c r="A73" i="16"/>
  <c r="A56" i="16"/>
  <c r="A57" i="16"/>
  <c r="A63" i="16"/>
  <c r="K26" i="20" l="1"/>
  <c r="I29" i="20"/>
  <c r="H39" i="20"/>
  <c r="J29" i="20"/>
  <c r="J28" i="20"/>
  <c r="K37" i="20"/>
  <c r="T10" i="20"/>
  <c r="T7" i="20"/>
  <c r="T6" i="20"/>
  <c r="R7" i="20"/>
  <c r="R6" i="20"/>
  <c r="S7" i="20"/>
  <c r="S6" i="20"/>
  <c r="R10" i="20"/>
  <c r="S10" i="20"/>
  <c r="U76" i="16"/>
  <c r="U22" i="20" s="1"/>
  <c r="A26" i="10"/>
  <c r="A27" i="10"/>
  <c r="A33" i="10"/>
  <c r="A34" i="10"/>
  <c r="A43" i="10"/>
  <c r="A44" i="10"/>
  <c r="A46" i="10"/>
  <c r="A49" i="10"/>
  <c r="A50" i="10"/>
  <c r="A51" i="10"/>
  <c r="A9" i="15"/>
  <c r="A10" i="15"/>
  <c r="A18" i="15"/>
  <c r="A20" i="15"/>
  <c r="A21" i="15"/>
  <c r="A22" i="15"/>
  <c r="A23" i="15"/>
  <c r="A24" i="15"/>
  <c r="A26" i="15"/>
  <c r="A28" i="15"/>
  <c r="A29" i="15"/>
  <c r="A31" i="15"/>
  <c r="A32" i="15"/>
  <c r="A33" i="15"/>
  <c r="A34" i="15"/>
  <c r="A35" i="15"/>
  <c r="A37" i="15"/>
  <c r="A38" i="15"/>
  <c r="A44" i="15"/>
  <c r="A45" i="15"/>
  <c r="A47" i="15"/>
  <c r="A48" i="15"/>
  <c r="A49" i="15"/>
  <c r="A50" i="15"/>
  <c r="A52" i="15"/>
  <c r="A53" i="15"/>
  <c r="A55" i="15"/>
  <c r="A56" i="15"/>
  <c r="A58" i="15"/>
  <c r="A59" i="15"/>
  <c r="A61" i="15"/>
  <c r="A62" i="15"/>
  <c r="A67" i="15"/>
  <c r="A68" i="15"/>
  <c r="A73" i="15"/>
  <c r="A74" i="15"/>
  <c r="A80" i="15"/>
  <c r="A81" i="15"/>
  <c r="A82" i="15"/>
  <c r="A83" i="15"/>
  <c r="A85" i="15"/>
  <c r="A89" i="15"/>
  <c r="A90" i="15"/>
  <c r="A91" i="15"/>
  <c r="A93" i="15"/>
  <c r="A94" i="15"/>
  <c r="A100" i="15"/>
  <c r="A101" i="15"/>
  <c r="A102" i="15"/>
  <c r="A103" i="15"/>
  <c r="A104" i="15"/>
  <c r="U89" i="15"/>
  <c r="U85" i="15"/>
  <c r="U47" i="15"/>
  <c r="U32" i="15"/>
  <c r="U33" i="15"/>
  <c r="U48" i="15"/>
  <c r="U59" i="15"/>
  <c r="U62" i="15"/>
  <c r="U68" i="15"/>
  <c r="U23" i="15"/>
  <c r="U24" i="15"/>
  <c r="U20" i="15"/>
  <c r="U81" i="15"/>
  <c r="U103" i="15" l="1"/>
  <c r="U104" i="15" s="1"/>
  <c r="T12" i="20"/>
  <c r="T13" i="20"/>
  <c r="U26" i="15"/>
  <c r="L26" i="20"/>
  <c r="I40" i="20"/>
  <c r="H40" i="20"/>
  <c r="G39" i="20"/>
  <c r="G40" i="20"/>
  <c r="K29" i="20"/>
  <c r="K28" i="20"/>
  <c r="J39" i="20"/>
  <c r="L37" i="20"/>
  <c r="S12" i="20"/>
  <c r="S13" i="20"/>
  <c r="R12" i="20"/>
  <c r="R13" i="20"/>
  <c r="U90" i="15"/>
  <c r="Z2" i="2"/>
  <c r="Y2" i="2"/>
  <c r="X2" i="2"/>
  <c r="W2" i="2"/>
  <c r="V2" i="2"/>
  <c r="U2" i="10"/>
  <c r="N26" i="20" l="1"/>
  <c r="I39" i="20"/>
  <c r="M26" i="20"/>
  <c r="L29" i="20"/>
  <c r="L28" i="20"/>
  <c r="J40" i="20"/>
  <c r="K39" i="20"/>
  <c r="M37" i="20"/>
  <c r="U34" i="18"/>
  <c r="U52" i="16"/>
  <c r="U40" i="16"/>
  <c r="U32" i="16"/>
  <c r="U24" i="16"/>
  <c r="U17" i="16"/>
  <c r="U16" i="16"/>
  <c r="U15" i="16"/>
  <c r="U13" i="16"/>
  <c r="U12" i="16"/>
  <c r="U11" i="16"/>
  <c r="U9" i="16"/>
  <c r="U6" i="16"/>
  <c r="U7" i="16"/>
  <c r="U5" i="16"/>
  <c r="W26" i="13"/>
  <c r="W28" i="13" l="1"/>
  <c r="M29" i="20"/>
  <c r="M28" i="20"/>
  <c r="U91" i="15"/>
  <c r="K40" i="20"/>
  <c r="L39" i="20"/>
  <c r="N37" i="20"/>
  <c r="U19" i="20"/>
  <c r="U22" i="18"/>
  <c r="U41" i="18"/>
  <c r="U58" i="18"/>
  <c r="U54" i="18"/>
  <c r="Y22" i="13"/>
  <c r="Y103" i="13" s="1"/>
  <c r="Y104" i="13" s="1"/>
  <c r="X34" i="13" l="1"/>
  <c r="V34" i="13"/>
  <c r="W34" i="13"/>
  <c r="Z34" i="13"/>
  <c r="O26" i="20"/>
  <c r="N29" i="20"/>
  <c r="N28" i="20"/>
  <c r="L40" i="20"/>
  <c r="M39" i="20"/>
  <c r="O37" i="20"/>
  <c r="Y81" i="13"/>
  <c r="U58" i="15"/>
  <c r="U61" i="15"/>
  <c r="U60" i="18"/>
  <c r="U43" i="18"/>
  <c r="Y26" i="13"/>
  <c r="Y76" i="14"/>
  <c r="U15" i="15"/>
  <c r="U14" i="15"/>
  <c r="U13" i="15"/>
  <c r="U12" i="15"/>
  <c r="AA35" i="13" l="1"/>
  <c r="Z40" i="13"/>
  <c r="Z35" i="13"/>
  <c r="V40" i="13"/>
  <c r="V35" i="13"/>
  <c r="W40" i="13"/>
  <c r="W35" i="13"/>
  <c r="X40" i="13"/>
  <c r="X35" i="13"/>
  <c r="P26" i="20"/>
  <c r="O29" i="20"/>
  <c r="O28" i="20"/>
  <c r="N40" i="20"/>
  <c r="M40" i="20"/>
  <c r="P37" i="20"/>
  <c r="U31" i="15"/>
  <c r="U37" i="15"/>
  <c r="U18" i="15"/>
  <c r="Z44" i="13" l="1"/>
  <c r="AA41" i="13"/>
  <c r="X44" i="13"/>
  <c r="X41" i="13"/>
  <c r="V44" i="13"/>
  <c r="V41" i="13"/>
  <c r="W41" i="13"/>
  <c r="W44" i="13"/>
  <c r="Z41" i="13"/>
  <c r="U41" i="15" s="1"/>
  <c r="U28" i="15"/>
  <c r="O39" i="20"/>
  <c r="P29" i="20"/>
  <c r="P28" i="20"/>
  <c r="N39" i="20"/>
  <c r="Q56" i="16"/>
  <c r="X82" i="13"/>
  <c r="V82" i="13"/>
  <c r="Z82" i="13"/>
  <c r="W82" i="13"/>
  <c r="U82" i="15" l="1"/>
  <c r="U6" i="20" s="1"/>
  <c r="Z45" i="13"/>
  <c r="Z52" i="13"/>
  <c r="AA45" i="13"/>
  <c r="U8" i="20"/>
  <c r="U34" i="15"/>
  <c r="W45" i="13"/>
  <c r="W52" i="13"/>
  <c r="V45" i="13"/>
  <c r="V52" i="13"/>
  <c r="X45" i="13"/>
  <c r="X52" i="13"/>
  <c r="O40" i="20"/>
  <c r="W38" i="13"/>
  <c r="U40" i="15" l="1"/>
  <c r="U44" i="15" s="1"/>
  <c r="U10" i="20"/>
  <c r="P40" i="20"/>
  <c r="P39" i="20"/>
  <c r="U35" i="15"/>
  <c r="W49" i="13"/>
  <c r="W55" i="13"/>
  <c r="U49" i="15" l="1"/>
  <c r="U53" i="15" s="1"/>
  <c r="U55" i="15"/>
  <c r="U12" i="20"/>
  <c r="U52" i="15"/>
  <c r="W50" i="13"/>
  <c r="W21" i="14"/>
  <c r="W54" i="14" s="1"/>
  <c r="V38" i="13"/>
  <c r="X38" i="13"/>
  <c r="W56" i="13"/>
  <c r="U56" i="15" l="1"/>
  <c r="W72" i="14"/>
  <c r="W77" i="14" s="1"/>
  <c r="V49" i="13"/>
  <c r="X49" i="13"/>
  <c r="X55" i="13"/>
  <c r="V55" i="13"/>
  <c r="X50" i="13" l="1"/>
  <c r="V50" i="13"/>
  <c r="V21" i="14"/>
  <c r="V54" i="14" s="1"/>
  <c r="W73" i="14"/>
  <c r="W74" i="14"/>
  <c r="AA50" i="13"/>
  <c r="X56" i="13"/>
  <c r="X53" i="13"/>
  <c r="V56" i="13"/>
  <c r="V57" i="14" l="1"/>
  <c r="V72" i="14"/>
  <c r="V77" i="14" s="1"/>
  <c r="W56" i="14" l="1"/>
  <c r="V60" i="14"/>
  <c r="V73" i="14"/>
  <c r="V74" i="14"/>
  <c r="U44" i="10"/>
  <c r="U22" i="10"/>
  <c r="U13" i="10"/>
  <c r="U51" i="20" l="1"/>
  <c r="U6" i="15" l="1"/>
  <c r="U5" i="15"/>
  <c r="X38" i="2"/>
  <c r="X33" i="2"/>
  <c r="X56" i="2"/>
  <c r="X27" i="2"/>
  <c r="X51" i="2"/>
  <c r="X50" i="2"/>
  <c r="Z33" i="2"/>
  <c r="Z38" i="2"/>
  <c r="U38" i="10" s="1"/>
  <c r="Z27" i="2"/>
  <c r="V38" i="2"/>
  <c r="V33" i="2"/>
  <c r="V56" i="2"/>
  <c r="V27" i="2"/>
  <c r="AA27" i="2"/>
  <c r="V51" i="2"/>
  <c r="V50" i="2"/>
  <c r="W38" i="2"/>
  <c r="W33" i="2"/>
  <c r="AB27" i="2"/>
  <c r="W56" i="2"/>
  <c r="W27" i="2"/>
  <c r="AB47" i="2"/>
  <c r="W50" i="2"/>
  <c r="W51" i="2"/>
  <c r="Y57" i="2"/>
  <c r="Z57" i="2" s="1"/>
  <c r="Y44" i="2"/>
  <c r="Y13" i="13"/>
  <c r="Y26" i="2"/>
  <c r="Y12" i="2" l="1"/>
  <c r="Y21" i="2"/>
  <c r="U27" i="10"/>
  <c r="U52" i="20" s="1"/>
  <c r="Y30" i="2"/>
  <c r="V34" i="2"/>
  <c r="AA34" i="2"/>
  <c r="V47" i="2"/>
  <c r="AA47" i="2"/>
  <c r="Z47" i="2"/>
  <c r="U47" i="10" s="1"/>
  <c r="Z34" i="2"/>
  <c r="U34" i="10" s="1"/>
  <c r="U33" i="10"/>
  <c r="U36" i="10" s="1"/>
  <c r="U43" i="10" s="1"/>
  <c r="X34" i="2"/>
  <c r="W47" i="2"/>
  <c r="AB34" i="2"/>
  <c r="W34" i="2"/>
  <c r="Y33" i="2"/>
  <c r="Y34" i="2" s="1"/>
  <c r="Y38" i="2"/>
  <c r="Y56" i="2"/>
  <c r="Z56" i="2" s="1"/>
  <c r="Y27" i="2"/>
  <c r="X47" i="2"/>
  <c r="U4" i="15"/>
  <c r="Y9" i="2" l="1"/>
  <c r="Z9" i="2" s="1"/>
  <c r="U9" i="10" s="1"/>
  <c r="Y51" i="2"/>
  <c r="Y18" i="2"/>
  <c r="Z18" i="2" s="1"/>
  <c r="U18" i="10" s="1"/>
  <c r="Y50" i="2"/>
  <c r="Z21" i="2"/>
  <c r="Y55" i="2" s="1"/>
  <c r="Y31" i="2"/>
  <c r="Y4" i="13"/>
  <c r="Y46" i="2"/>
  <c r="Y24" i="2"/>
  <c r="Z24" i="2" s="1"/>
  <c r="U24" i="10" s="1"/>
  <c r="Z12" i="2"/>
  <c r="Y54" i="2" s="1"/>
  <c r="U53" i="20"/>
  <c r="U46" i="10"/>
  <c r="U54" i="20" s="1"/>
  <c r="Z56" i="14"/>
  <c r="Y47" i="2" l="1"/>
  <c r="X54" i="2"/>
  <c r="W54" i="2"/>
  <c r="V54" i="2"/>
  <c r="U12" i="10"/>
  <c r="Z50" i="2"/>
  <c r="U50" i="10" s="1"/>
  <c r="V55" i="2"/>
  <c r="X55" i="2"/>
  <c r="W55" i="2"/>
  <c r="U21" i="10"/>
  <c r="Z51" i="2"/>
  <c r="U51" i="10" s="1"/>
  <c r="W57" i="14"/>
  <c r="U56" i="16"/>
  <c r="Z54" i="2" l="1"/>
  <c r="Z55" i="2"/>
  <c r="X56" i="14"/>
  <c r="W60" i="14"/>
  <c r="AG18" i="2" l="1"/>
  <c r="AL19" i="2" s="1"/>
  <c r="Z9" i="13"/>
  <c r="AG19" i="2" l="1"/>
  <c r="AJ18" i="2"/>
  <c r="AO19" i="2" s="1"/>
  <c r="Z93" i="13"/>
  <c r="Z94" i="13" s="1"/>
  <c r="Z73" i="17"/>
  <c r="Z112" i="13"/>
  <c r="Z65" i="17"/>
  <c r="U65" i="18" s="1"/>
  <c r="Z64" i="17"/>
  <c r="Z10" i="13"/>
  <c r="U3" i="15"/>
  <c r="U9" i="15" s="1"/>
  <c r="U93" i="15" l="1"/>
  <c r="U94" i="15" s="1"/>
  <c r="U10" i="15"/>
  <c r="U5" i="20" s="1"/>
  <c r="U83" i="15"/>
  <c r="U7" i="20" s="1"/>
  <c r="Z68" i="17"/>
  <c r="U68" i="18" s="1"/>
  <c r="U64" i="18"/>
  <c r="Z29" i="13"/>
  <c r="Z74" i="17"/>
  <c r="U74" i="18" s="1"/>
  <c r="Z69" i="14"/>
  <c r="U69" i="16" s="1"/>
  <c r="Z83" i="13"/>
  <c r="U73" i="18"/>
  <c r="Z71" i="17"/>
  <c r="U71" i="18" s="1"/>
  <c r="Y18" i="13" l="1"/>
  <c r="Y28" i="13" s="1"/>
  <c r="Y34" i="13" s="1"/>
  <c r="U4" i="20"/>
  <c r="Y40" i="13" l="1"/>
  <c r="Y35" i="13"/>
  <c r="V9" i="13"/>
  <c r="Y44" i="13" l="1"/>
  <c r="Y41" i="13"/>
  <c r="V112" i="13"/>
  <c r="X9" i="13"/>
  <c r="W9" i="13"/>
  <c r="V10" i="13"/>
  <c r="AA10" i="13"/>
  <c r="V69" i="14"/>
  <c r="V83" i="13"/>
  <c r="V29" i="13"/>
  <c r="X93" i="13" l="1"/>
  <c r="Y45" i="13"/>
  <c r="Y52" i="13"/>
  <c r="W112" i="13"/>
  <c r="X112" i="13"/>
  <c r="AB10" i="13"/>
  <c r="X10" i="13"/>
  <c r="X29" i="13"/>
  <c r="W69" i="14"/>
  <c r="W29" i="13"/>
  <c r="W10" i="13"/>
  <c r="X69" i="14"/>
  <c r="Y9" i="13"/>
  <c r="W83" i="13"/>
  <c r="X83" i="13"/>
  <c r="Y82" i="13" s="1"/>
  <c r="X94" i="13" l="1"/>
  <c r="Y73" i="17"/>
  <c r="Y112" i="13"/>
  <c r="Y65" i="17"/>
  <c r="Y64" i="17"/>
  <c r="Y68" i="17"/>
  <c r="Y83" i="13"/>
  <c r="Y74" i="17"/>
  <c r="Y69" i="14"/>
  <c r="Y10" i="13"/>
  <c r="Y71" i="17"/>
  <c r="W53" i="13"/>
  <c r="V53" i="13" l="1"/>
  <c r="U67" i="15" l="1"/>
  <c r="Y29" i="13"/>
  <c r="U29" i="15"/>
  <c r="U9" i="20" s="1"/>
  <c r="Z38" i="13" l="1"/>
  <c r="Y38" i="13"/>
  <c r="Z49" i="13" l="1"/>
  <c r="U38" i="15"/>
  <c r="Z55" i="13"/>
  <c r="U11" i="20" l="1"/>
  <c r="Z50" i="13"/>
  <c r="U45" i="15"/>
  <c r="U13" i="20"/>
  <c r="Y49" i="13"/>
  <c r="Y55" i="13"/>
  <c r="Z53" i="13"/>
  <c r="Z56" i="13"/>
  <c r="Y50" i="13" l="1"/>
  <c r="U50" i="15"/>
  <c r="Y53" i="13"/>
  <c r="Y56" i="13"/>
  <c r="U85" i="18" l="1"/>
  <c r="Y81" i="17" l="1"/>
  <c r="Y82" i="17" s="1"/>
  <c r="U106" i="18"/>
  <c r="U5" i="18"/>
  <c r="Z81" i="17"/>
  <c r="U81" i="18" s="1"/>
  <c r="U28" i="20" s="1"/>
  <c r="U26" i="20" l="1"/>
  <c r="Z82" i="17"/>
  <c r="U82" i="18" s="1"/>
  <c r="U29" i="20" l="1"/>
  <c r="U107" i="18"/>
  <c r="U37" i="20" s="1"/>
  <c r="U112" i="18"/>
  <c r="U110" i="18"/>
  <c r="U108" i="18" l="1"/>
  <c r="U120" i="18"/>
  <c r="U114" i="18"/>
  <c r="U115" i="18" l="1"/>
  <c r="U117" i="18" l="1"/>
  <c r="U39" i="20" s="1"/>
  <c r="U116" i="18"/>
  <c r="U118" i="18"/>
  <c r="U40" i="20" s="1"/>
  <c r="AA93" i="13" l="1"/>
  <c r="AA94" i="13" l="1"/>
  <c r="W20" i="18" l="1"/>
  <c r="V6" i="18" l="1"/>
  <c r="W6" i="18" l="1"/>
  <c r="W101" i="15" l="1"/>
  <c r="V101" i="15"/>
  <c r="V103" i="15" l="1"/>
  <c r="V104" i="15" s="1"/>
  <c r="W103" i="15"/>
  <c r="W104" i="15" s="1"/>
  <c r="Q12" i="15" l="1"/>
  <c r="D38" i="2" l="1"/>
  <c r="I37" i="2"/>
  <c r="E38" i="2"/>
  <c r="J37" i="2"/>
  <c r="Q37" i="10"/>
  <c r="E33" i="2"/>
  <c r="J34" i="2" s="1"/>
  <c r="K37" i="2"/>
  <c r="R37" i="10" s="1"/>
  <c r="D33" i="2"/>
  <c r="I34" i="2" s="1"/>
  <c r="F33" i="2"/>
  <c r="F34" i="2" s="1"/>
  <c r="F38" i="2"/>
  <c r="Q38" i="10" s="1"/>
  <c r="D13" i="13"/>
  <c r="D18" i="13" s="1"/>
  <c r="Q33" i="10" l="1"/>
  <c r="Q36" i="10" s="1"/>
  <c r="Q43" i="10" s="1"/>
  <c r="Q46" i="10" s="1"/>
  <c r="Q54" i="20" s="1"/>
  <c r="F13" i="13"/>
  <c r="Q13" i="15" s="1"/>
  <c r="C57" i="2"/>
  <c r="K44" i="2"/>
  <c r="R44" i="10" s="1"/>
  <c r="Q44" i="10"/>
  <c r="B57" i="2"/>
  <c r="I44" i="2"/>
  <c r="D57" i="2"/>
  <c r="I47" i="2"/>
  <c r="J47" i="2"/>
  <c r="J44" i="2"/>
  <c r="E57" i="2"/>
  <c r="E13" i="13"/>
  <c r="E18" i="13" s="1"/>
  <c r="Q34" i="10"/>
  <c r="K34" i="2"/>
  <c r="R34" i="10" s="1"/>
  <c r="Q53" i="20" l="1"/>
  <c r="F57" i="2"/>
  <c r="K47" i="2"/>
  <c r="R47" i="10" s="1"/>
  <c r="Q47" i="10"/>
  <c r="Q14" i="15" l="1"/>
  <c r="Q18" i="15" s="1"/>
  <c r="F18" i="13"/>
  <c r="Q9" i="20" l="1"/>
  <c r="Q8" i="20"/>
  <c r="Q11" i="20" l="1"/>
  <c r="Q6" i="20"/>
  <c r="Q7" i="20"/>
  <c r="Q10" i="20"/>
  <c r="Q12" i="20" l="1"/>
  <c r="Q13" i="20" l="1"/>
  <c r="Q4" i="16" l="1"/>
  <c r="Q21" i="16" l="1"/>
  <c r="Q18" i="20" s="1"/>
  <c r="Q54" i="16" l="1"/>
  <c r="Q74" i="16"/>
  <c r="Q72" i="16"/>
  <c r="Q20" i="20" s="1"/>
  <c r="Q73" i="16"/>
  <c r="Q21" i="20" s="1"/>
  <c r="Q77" i="16"/>
  <c r="Q23" i="20" s="1"/>
  <c r="Q57" i="16" l="1"/>
  <c r="Q60" i="16" l="1"/>
  <c r="R56" i="16" l="1"/>
  <c r="Q85" i="18"/>
  <c r="Q5" i="18"/>
  <c r="Q26" i="20" s="1"/>
  <c r="Q81" i="18" l="1"/>
  <c r="Q28" i="20" s="1"/>
  <c r="Q82" i="18"/>
  <c r="Q29" i="20" s="1"/>
  <c r="R57" i="16"/>
  <c r="Q106" i="18"/>
  <c r="Q12" i="18"/>
  <c r="Q61" i="16"/>
  <c r="Q24" i="18" l="1"/>
  <c r="Q61" i="18" s="1"/>
  <c r="Q110" i="18"/>
  <c r="Q107" i="18"/>
  <c r="Q37" i="20" s="1"/>
  <c r="R60" i="16"/>
  <c r="Q112" i="18" l="1"/>
  <c r="R85" i="18"/>
  <c r="R5" i="18"/>
  <c r="R26" i="20" s="1"/>
  <c r="Q108" i="18"/>
  <c r="Q120" i="18"/>
  <c r="S56" i="16"/>
  <c r="R12" i="18" l="1"/>
  <c r="R81" i="18"/>
  <c r="R28" i="20" s="1"/>
  <c r="R82" i="18"/>
  <c r="R29" i="20" s="1"/>
  <c r="Q114" i="18"/>
  <c r="S57" i="16"/>
  <c r="R106" i="18"/>
  <c r="R61" i="16"/>
  <c r="S60" i="16" l="1"/>
  <c r="R110" i="18"/>
  <c r="R107" i="18"/>
  <c r="R37" i="20" s="1"/>
  <c r="R24" i="18"/>
  <c r="R61" i="18" s="1"/>
  <c r="Q115" i="18"/>
  <c r="R112" i="18" l="1"/>
  <c r="R120" i="18"/>
  <c r="R108" i="18"/>
  <c r="Q116" i="18"/>
  <c r="Q117" i="18"/>
  <c r="Q39" i="20" s="1"/>
  <c r="Q118" i="18"/>
  <c r="Q40" i="20" s="1"/>
  <c r="S85" i="18"/>
  <c r="S5" i="18"/>
  <c r="S26" i="20" s="1"/>
  <c r="T56" i="16"/>
  <c r="S61" i="16" l="1"/>
  <c r="R114" i="18"/>
  <c r="S106" i="18"/>
  <c r="S82" i="18"/>
  <c r="S29" i="20" s="1"/>
  <c r="S81" i="18"/>
  <c r="S28" i="20" s="1"/>
  <c r="T57" i="16"/>
  <c r="S12" i="18"/>
  <c r="S24" i="18" l="1"/>
  <c r="S61" i="18" s="1"/>
  <c r="R115" i="18"/>
  <c r="T60" i="16"/>
  <c r="S110" i="18"/>
  <c r="S107" i="18"/>
  <c r="S37" i="20" s="1"/>
  <c r="R116" i="18" l="1"/>
  <c r="R118" i="18"/>
  <c r="R40" i="20" s="1"/>
  <c r="R117" i="18"/>
  <c r="R39" i="20" s="1"/>
  <c r="S112" i="18"/>
  <c r="T5" i="18"/>
  <c r="T26" i="20" s="1"/>
  <c r="T85" i="18"/>
  <c r="S120" i="18"/>
  <c r="S108" i="18"/>
  <c r="T61" i="16" l="1"/>
  <c r="T81" i="18"/>
  <c r="T28" i="20" s="1"/>
  <c r="T82" i="18"/>
  <c r="T29" i="20" s="1"/>
  <c r="T106" i="18"/>
  <c r="S114" i="18"/>
  <c r="T12" i="18"/>
  <c r="S115" i="18" l="1"/>
  <c r="T110" i="18"/>
  <c r="T107" i="18"/>
  <c r="T37" i="20" s="1"/>
  <c r="T24" i="18"/>
  <c r="T61" i="18" s="1"/>
  <c r="T108" i="18" l="1"/>
  <c r="T120" i="18"/>
  <c r="S116" i="18"/>
  <c r="S117" i="18"/>
  <c r="S39" i="20" s="1"/>
  <c r="S118" i="18"/>
  <c r="S40" i="20" s="1"/>
  <c r="T112" i="18"/>
  <c r="T114" i="18" l="1"/>
  <c r="T115" i="18" l="1"/>
  <c r="T116" i="18" l="1"/>
  <c r="T117" i="18"/>
  <c r="T39" i="20" s="1"/>
  <c r="T118" i="18"/>
  <c r="T40" i="20" s="1"/>
  <c r="V14" i="15" l="1"/>
  <c r="V15" i="15" l="1"/>
  <c r="AB199" i="46" l="1"/>
  <c r="AB34" i="13"/>
  <c r="AB192" i="46"/>
  <c r="AB191" i="46" s="1"/>
  <c r="AB38" i="13" l="1"/>
  <c r="AB40" i="13"/>
  <c r="AB44" i="13" s="1"/>
  <c r="AB35" i="13"/>
  <c r="AB52" i="13" l="1"/>
  <c r="AB49" i="13"/>
  <c r="AB41" i="13"/>
  <c r="AB45" i="13" l="1"/>
  <c r="AB55" i="13"/>
  <c r="AB50" i="13" l="1"/>
  <c r="AB53" i="13"/>
  <c r="AB56" i="13"/>
  <c r="V53" i="16" l="1"/>
  <c r="AC81" i="13"/>
  <c r="AA65" i="14" l="1"/>
  <c r="V21" i="18" l="1"/>
  <c r="W21" i="18" l="1"/>
  <c r="CF21" i="17" l="1"/>
  <c r="Q86" i="18"/>
  <c r="R86" i="18"/>
  <c r="S86" i="18"/>
  <c r="T86" i="18"/>
  <c r="Q87" i="18"/>
  <c r="Q32" i="20" s="1"/>
  <c r="R87" i="18"/>
  <c r="R32" i="20" s="1"/>
  <c r="S87" i="18"/>
  <c r="S32" i="20" s="1"/>
  <c r="T87" i="18"/>
  <c r="T32" i="20" s="1"/>
  <c r="Q89" i="18"/>
  <c r="R89" i="18"/>
  <c r="S89" i="18"/>
  <c r="T89" i="18"/>
  <c r="Q90" i="18"/>
  <c r="R90" i="18"/>
  <c r="S90" i="18"/>
  <c r="T90" i="18"/>
  <c r="Q94" i="18"/>
  <c r="R94" i="18"/>
  <c r="S94" i="18"/>
  <c r="T94" i="18"/>
  <c r="Q95" i="18"/>
  <c r="R95" i="18"/>
  <c r="S95" i="18"/>
  <c r="T95" i="18"/>
  <c r="Q97" i="18"/>
  <c r="R97" i="18"/>
  <c r="S97" i="18"/>
  <c r="T97" i="18"/>
  <c r="Q98" i="18"/>
  <c r="R98" i="18"/>
  <c r="S98" i="18"/>
  <c r="T98" i="18"/>
  <c r="Q99" i="18"/>
  <c r="R99" i="18"/>
  <c r="S99" i="18"/>
  <c r="T99" i="18"/>
  <c r="Q101" i="18"/>
  <c r="R101" i="18"/>
  <c r="S101" i="18"/>
  <c r="T101" i="18"/>
  <c r="Q102" i="18"/>
  <c r="Q34" i="20" s="1"/>
  <c r="R102" i="18"/>
  <c r="R34" i="20" s="1"/>
  <c r="S102" i="18"/>
  <c r="S34" i="20" s="1"/>
  <c r="T102" i="18"/>
  <c r="T34" i="20" s="1"/>
  <c r="Q103" i="18"/>
  <c r="Q35" i="20" s="1"/>
  <c r="R103" i="18"/>
  <c r="R35" i="20" s="1"/>
  <c r="S103" i="18"/>
  <c r="S35" i="20" s="1"/>
  <c r="T103" i="18"/>
  <c r="T35" i="20" s="1"/>
  <c r="X21" i="18" l="1"/>
  <c r="B32" i="20"/>
  <c r="C32" i="20"/>
  <c r="D32" i="20"/>
  <c r="E32" i="20"/>
  <c r="F32" i="20"/>
  <c r="G32" i="20"/>
  <c r="H32" i="20"/>
  <c r="I32" i="20"/>
  <c r="J32" i="20"/>
  <c r="K32" i="20"/>
  <c r="L32" i="20"/>
  <c r="M32" i="20"/>
  <c r="N32" i="20"/>
  <c r="O32" i="20"/>
  <c r="P32" i="20"/>
  <c r="B34" i="20"/>
  <c r="C34" i="20"/>
  <c r="D34" i="20"/>
  <c r="E34" i="20"/>
  <c r="F34" i="20"/>
  <c r="G34" i="20"/>
  <c r="H34" i="20"/>
  <c r="I34" i="20"/>
  <c r="J34" i="20"/>
  <c r="K34" i="20"/>
  <c r="L34" i="20"/>
  <c r="M34" i="20"/>
  <c r="N34" i="20"/>
  <c r="O34" i="20"/>
  <c r="P34" i="20"/>
  <c r="B35" i="20"/>
  <c r="C35" i="20"/>
  <c r="D35" i="20"/>
  <c r="E35" i="20"/>
  <c r="F35" i="20"/>
  <c r="G35" i="20"/>
  <c r="H35" i="20"/>
  <c r="I35" i="20"/>
  <c r="J35" i="20"/>
  <c r="K35" i="20"/>
  <c r="L35" i="20"/>
  <c r="M35" i="20"/>
  <c r="N35" i="20"/>
  <c r="O35" i="20"/>
  <c r="P35" i="20"/>
  <c r="Y21" i="18" l="1"/>
  <c r="X21" i="14"/>
  <c r="Z21" i="14"/>
  <c r="U4" i="16"/>
  <c r="Z21" i="18" l="1"/>
  <c r="Y4" i="14"/>
  <c r="Y21" i="14" s="1"/>
  <c r="Z54" i="14"/>
  <c r="U21" i="16"/>
  <c r="U18" i="20" s="1"/>
  <c r="Z72" i="14"/>
  <c r="X72" i="14"/>
  <c r="X54" i="14"/>
  <c r="X57" i="14" s="1"/>
  <c r="AA21" i="18" l="1"/>
  <c r="BG21" i="17"/>
  <c r="BH21" i="17" s="1"/>
  <c r="BI21" i="17" s="1"/>
  <c r="AB21" i="18" s="1"/>
  <c r="AC21" i="18" s="1"/>
  <c r="AD21" i="18" s="1"/>
  <c r="AE21" i="18" s="1"/>
  <c r="AF21" i="18" s="1"/>
  <c r="Y72" i="14"/>
  <c r="Y54" i="14"/>
  <c r="Z77" i="14"/>
  <c r="U77" i="16" s="1"/>
  <c r="U23" i="20" s="1"/>
  <c r="Z73" i="14"/>
  <c r="U73" i="16" s="1"/>
  <c r="U21" i="20" s="1"/>
  <c r="U72" i="16"/>
  <c r="Z74" i="14"/>
  <c r="U74" i="16" s="1"/>
  <c r="X73" i="14"/>
  <c r="X74" i="14"/>
  <c r="X77" i="14"/>
  <c r="X60" i="14"/>
  <c r="Y56" i="14"/>
  <c r="Z57" i="14"/>
  <c r="AA56" i="14" s="1"/>
  <c r="AE56" i="14" s="1"/>
  <c r="AE57" i="14" s="1"/>
  <c r="U54" i="16"/>
  <c r="AF56" i="14" l="1"/>
  <c r="AE60" i="14"/>
  <c r="Y77" i="14"/>
  <c r="Y73" i="14"/>
  <c r="Y74" i="14"/>
  <c r="Y57" i="14"/>
  <c r="U20" i="20"/>
  <c r="U57" i="16"/>
  <c r="AF57" i="14" l="1"/>
  <c r="AF60" i="14" s="1"/>
  <c r="AJ56" i="14"/>
  <c r="AJ57" i="14" s="1"/>
  <c r="V56" i="16"/>
  <c r="AK56" i="14" l="1"/>
  <c r="AJ60" i="14"/>
  <c r="AF194" i="46"/>
  <c r="AG197" i="46" s="1"/>
  <c r="AF61" i="14"/>
  <c r="AK57" i="14" l="1"/>
  <c r="AK60" i="14" s="1"/>
  <c r="AK194" i="46" s="1"/>
  <c r="AL197" i="46" s="1"/>
  <c r="AO56" i="14"/>
  <c r="AO57" i="14" s="1"/>
  <c r="AB12" i="17"/>
  <c r="AB24" i="17" s="1"/>
  <c r="AB61" i="17" s="1"/>
  <c r="AB81" i="17"/>
  <c r="AL56" i="14" l="1"/>
  <c r="AL57" i="14" s="1"/>
  <c r="AL60" i="14" s="1"/>
  <c r="AL194" i="46" s="1"/>
  <c r="AM197" i="46" s="1"/>
  <c r="AO60" i="14"/>
  <c r="AO194" i="46" s="1"/>
  <c r="AP197" i="46" s="1"/>
  <c r="AP56" i="14"/>
  <c r="AB82" i="17"/>
  <c r="AM56" i="14" l="1"/>
  <c r="AM57" i="14" s="1"/>
  <c r="AM60" i="14" s="1"/>
  <c r="AM194" i="46" s="1"/>
  <c r="AN197" i="46" s="1"/>
  <c r="AP57" i="14"/>
  <c r="AP60" i="14" s="1"/>
  <c r="AP194" i="46" s="1"/>
  <c r="AT56" i="14"/>
  <c r="AT57" i="14" s="1"/>
  <c r="AU56" i="14" s="1"/>
  <c r="AY56" i="14" s="1"/>
  <c r="AY57" i="14" s="1"/>
  <c r="AY60" i="14" l="1"/>
  <c r="AY61" i="14" s="1"/>
  <c r="AZ56" i="14"/>
  <c r="AN56" i="14"/>
  <c r="AN57" i="14" s="1"/>
  <c r="AN60" i="14" s="1"/>
  <c r="AN194" i="46" s="1"/>
  <c r="AT60" i="14"/>
  <c r="AT61" i="14" s="1"/>
  <c r="AU57" i="14"/>
  <c r="AQ56" i="14"/>
  <c r="AQ57" i="14" s="1"/>
  <c r="AQ60" i="14" s="1"/>
  <c r="AQ194" i="46" s="1"/>
  <c r="W90" i="13"/>
  <c r="W93" i="13"/>
  <c r="W94" i="13" s="1"/>
  <c r="AZ57" i="14" l="1"/>
  <c r="AZ60" i="14" s="1"/>
  <c r="AZ194" i="46" s="1"/>
  <c r="BA196" i="46" s="1"/>
  <c r="BA192" i="46" s="1"/>
  <c r="BA191" i="46" s="1"/>
  <c r="BD56" i="14"/>
  <c r="BD57" i="14" s="1"/>
  <c r="AU60" i="14"/>
  <c r="AU61" i="14" s="1"/>
  <c r="AV56" i="14"/>
  <c r="AV57" i="14" s="1"/>
  <c r="AT194" i="46"/>
  <c r="AR56" i="14"/>
  <c r="AR57" i="14" s="1"/>
  <c r="AR60" i="14" s="1"/>
  <c r="AR194" i="46" s="1"/>
  <c r="W91" i="13"/>
  <c r="AB91" i="13"/>
  <c r="Y85" i="13"/>
  <c r="V90" i="13"/>
  <c r="V93" i="13"/>
  <c r="V94" i="13" s="1"/>
  <c r="BD60" i="14" l="1"/>
  <c r="BD194" i="46" s="1"/>
  <c r="BE196" i="46" s="1"/>
  <c r="BE192" i="46" s="1"/>
  <c r="BE191" i="46" s="1"/>
  <c r="BE56" i="14"/>
  <c r="BE57" i="14" s="1"/>
  <c r="BE60" i="14" s="1"/>
  <c r="BE194" i="46" s="1"/>
  <c r="BF196" i="46" s="1"/>
  <c r="BF192" i="46" s="1"/>
  <c r="BF191" i="46" s="1"/>
  <c r="BA56" i="14"/>
  <c r="BA57" i="14" s="1"/>
  <c r="BA60" i="14" s="1"/>
  <c r="AU194" i="46"/>
  <c r="AV60" i="14"/>
  <c r="AV61" i="14" s="1"/>
  <c r="AW56" i="14"/>
  <c r="AW57" i="14" s="1"/>
  <c r="AS56" i="14"/>
  <c r="AS57" i="14" s="1"/>
  <c r="AS60" i="14" s="1"/>
  <c r="AS61" i="14" s="1"/>
  <c r="Y77" i="17"/>
  <c r="Y66" i="17"/>
  <c r="Y67" i="17"/>
  <c r="Y90" i="13"/>
  <c r="Y93" i="13"/>
  <c r="V91" i="13"/>
  <c r="AA91" i="13"/>
  <c r="BI191" i="46" l="1"/>
  <c r="BB56" i="14"/>
  <c r="BB57" i="14" s="1"/>
  <c r="BB60" i="14" s="1"/>
  <c r="BB194" i="46" s="1"/>
  <c r="AB191" i="45"/>
  <c r="AB192" i="45" s="1"/>
  <c r="BI192" i="46"/>
  <c r="AW60" i="14"/>
  <c r="AX56" i="14"/>
  <c r="AX57" i="14" s="1"/>
  <c r="AX60" i="14" s="1"/>
  <c r="AX61" i="14" s="1"/>
  <c r="AS194" i="46"/>
  <c r="AW61" i="14"/>
  <c r="AW194" i="46"/>
  <c r="Y94" i="13"/>
  <c r="Y91" i="13"/>
  <c r="BC56" i="14" l="1"/>
  <c r="BC57" i="14" s="1"/>
  <c r="BC60" i="14" s="1"/>
  <c r="BC194" i="46" s="1"/>
  <c r="AC9" i="2" l="1"/>
  <c r="AH10" i="2" s="1"/>
  <c r="AC10" i="2" l="1"/>
  <c r="AG9" i="2"/>
  <c r="AL10" i="2" s="1"/>
  <c r="AG10" i="2" l="1"/>
  <c r="AJ9" i="2"/>
  <c r="AO10" i="2" s="1"/>
  <c r="AC30" i="2"/>
  <c r="AC46" i="2" l="1"/>
  <c r="AH47" i="2" s="1"/>
  <c r="AH31" i="2"/>
  <c r="AC31" i="2"/>
  <c r="AC4" i="13"/>
  <c r="AC47" i="2" l="1"/>
  <c r="AD44" i="2"/>
  <c r="AD13" i="13"/>
  <c r="AE43" i="2"/>
  <c r="AC13" i="13"/>
  <c r="AC57" i="2" l="1"/>
  <c r="AJ44" i="2"/>
  <c r="AD37" i="2"/>
  <c r="AE36" i="2"/>
  <c r="AC33" i="2"/>
  <c r="AE44" i="2"/>
  <c r="V44" i="10" s="1"/>
  <c r="AA57" i="2"/>
  <c r="AB57" i="2"/>
  <c r="AD57" i="2"/>
  <c r="AE13" i="13"/>
  <c r="AC34" i="2" l="1"/>
  <c r="AH34" i="2"/>
  <c r="AE57" i="2"/>
  <c r="V13" i="15"/>
  <c r="AE37" i="2"/>
  <c r="V37" i="10" s="1"/>
  <c r="AG30" i="2" l="1"/>
  <c r="AG46" i="2" l="1"/>
  <c r="AG51" i="2"/>
  <c r="AG50" i="2"/>
  <c r="AG31" i="2"/>
  <c r="AG4" i="13"/>
  <c r="AG27" i="2"/>
  <c r="AF4" i="13"/>
  <c r="W24" i="10"/>
  <c r="AG47" i="2" l="1"/>
  <c r="AG13" i="13"/>
  <c r="AF13" i="13"/>
  <c r="AG33" i="2" l="1"/>
  <c r="AG34" i="2" l="1"/>
  <c r="AF9" i="13" l="1"/>
  <c r="AF10" i="13" l="1"/>
  <c r="AF97" i="13"/>
  <c r="AF74" i="17"/>
  <c r="AF65" i="17"/>
  <c r="AF72" i="17"/>
  <c r="AF73" i="17"/>
  <c r="AF64" i="17"/>
  <c r="AF69" i="14"/>
  <c r="AF71" i="17"/>
  <c r="AF68" i="17"/>
  <c r="AF93" i="13"/>
  <c r="AF94" i="13" s="1"/>
  <c r="AF98" i="13"/>
  <c r="AF18" i="13"/>
  <c r="AD18" i="13"/>
  <c r="AF28" i="13" l="1"/>
  <c r="V11" i="18"/>
  <c r="AD28" i="13"/>
  <c r="V31" i="18"/>
  <c r="V7" i="18"/>
  <c r="V8" i="18"/>
  <c r="AF82" i="13" l="1"/>
  <c r="AF82" i="17" s="1"/>
  <c r="AF112" i="13"/>
  <c r="AF29" i="13"/>
  <c r="AF83" i="13" l="1"/>
  <c r="V29" i="18"/>
  <c r="V9" i="18"/>
  <c r="V30" i="18"/>
  <c r="V34" i="18" l="1"/>
  <c r="V43" i="18" l="1"/>
  <c r="W41" i="16" l="1"/>
  <c r="AF113" i="13"/>
  <c r="W112" i="15" l="1"/>
  <c r="W73" i="15"/>
  <c r="AJ113" i="13"/>
  <c r="CF50" i="17" l="1"/>
  <c r="W50" i="18"/>
  <c r="X50" i="18" l="1"/>
  <c r="Z112" i="15"/>
  <c r="AA112" i="15"/>
  <c r="Y50" i="18" l="1"/>
  <c r="Z50" i="18" l="1"/>
  <c r="U86" i="18"/>
  <c r="U87" i="18"/>
  <c r="U32" i="20" s="1"/>
  <c r="U89" i="18"/>
  <c r="U90" i="18"/>
  <c r="U94" i="18"/>
  <c r="U95" i="18"/>
  <c r="U97" i="18"/>
  <c r="U98" i="18"/>
  <c r="U99" i="18"/>
  <c r="U101" i="18"/>
  <c r="U102" i="18"/>
  <c r="U34" i="20" s="1"/>
  <c r="U103" i="18"/>
  <c r="U35" i="20" s="1"/>
  <c r="AA50" i="18" l="1"/>
  <c r="BG50" i="17"/>
  <c r="BH50" i="17" s="1"/>
  <c r="BI50" i="17" s="1"/>
  <c r="AB50" i="18" s="1"/>
  <c r="AC50" i="18" s="1"/>
  <c r="AD50" i="18" s="1"/>
  <c r="AE50" i="18" s="1"/>
  <c r="AF50" i="18" s="1"/>
  <c r="AC18" i="13" l="1"/>
  <c r="AC28" i="13" l="1"/>
  <c r="V16" i="16"/>
  <c r="AH69" i="18" s="1"/>
  <c r="AE18" i="13"/>
  <c r="AE28" i="13" s="1"/>
  <c r="V12" i="15"/>
  <c r="V24" i="16"/>
  <c r="V70" i="16"/>
  <c r="V12" i="16"/>
  <c r="AH65" i="18" s="1"/>
  <c r="V11" i="16"/>
  <c r="AH64" i="18" s="1"/>
  <c r="V14" i="16"/>
  <c r="AH67" i="18" s="1"/>
  <c r="AC34" i="13" l="1"/>
  <c r="AC40" i="13" s="1"/>
  <c r="AH41" i="13" s="1"/>
  <c r="AC82" i="13"/>
  <c r="V18" i="15"/>
  <c r="V19" i="20"/>
  <c r="AH35" i="13" l="1"/>
  <c r="AC38" i="13"/>
  <c r="AC35" i="13"/>
  <c r="V28" i="15"/>
  <c r="AC44" i="13"/>
  <c r="AC41" i="13"/>
  <c r="AC90" i="13"/>
  <c r="AH91" i="13" s="1"/>
  <c r="V15" i="16"/>
  <c r="AH68" i="18" s="1"/>
  <c r="AD81" i="13"/>
  <c r="V13" i="16"/>
  <c r="AH66" i="18" s="1"/>
  <c r="V8" i="20" l="1"/>
  <c r="AH45" i="13"/>
  <c r="AC45" i="13"/>
  <c r="AC91" i="13"/>
  <c r="V17" i="18"/>
  <c r="V17" i="16"/>
  <c r="V5" i="16"/>
  <c r="AE81" i="13"/>
  <c r="AE82" i="13" s="1"/>
  <c r="V81" i="15" l="1"/>
  <c r="V82" i="15" s="1"/>
  <c r="V6" i="20" s="1"/>
  <c r="AC52" i="13"/>
  <c r="AC49" i="13"/>
  <c r="AC55" i="13"/>
  <c r="AG81" i="13"/>
  <c r="V22" i="18"/>
  <c r="AD82" i="13"/>
  <c r="AH50" i="13" l="1"/>
  <c r="AC53" i="13"/>
  <c r="AC56" i="13"/>
  <c r="AC50" i="13"/>
  <c r="AC81" i="17" l="1"/>
  <c r="AC82" i="17" l="1"/>
  <c r="AC12" i="17"/>
  <c r="AC24" i="17" s="1"/>
  <c r="AC61" i="17" s="1"/>
  <c r="AE31" i="13" l="1"/>
  <c r="AD34" i="13"/>
  <c r="AD38" i="13" l="1"/>
  <c r="AD35" i="13"/>
  <c r="V31" i="15"/>
  <c r="AE34" i="13"/>
  <c r="AE37" i="13" l="1"/>
  <c r="V37" i="15" s="1"/>
  <c r="AD40" i="13"/>
  <c r="AD44" i="13" s="1"/>
  <c r="AE35" i="13"/>
  <c r="V35" i="15" s="1"/>
  <c r="V34" i="15"/>
  <c r="AE40" i="13" l="1"/>
  <c r="AE41" i="13" s="1"/>
  <c r="V41" i="15" s="1"/>
  <c r="AE38" i="13"/>
  <c r="V38" i="15" s="1"/>
  <c r="AD45" i="13"/>
  <c r="AD55" i="13"/>
  <c r="AD49" i="13"/>
  <c r="AD56" i="13" s="1"/>
  <c r="AD52" i="13"/>
  <c r="AD41" i="13"/>
  <c r="V10" i="20"/>
  <c r="V40" i="15"/>
  <c r="V44" i="15" s="1"/>
  <c r="AE44" i="13" l="1"/>
  <c r="AE55" i="13" s="1"/>
  <c r="V11" i="20"/>
  <c r="AD50" i="13"/>
  <c r="AD53" i="13"/>
  <c r="V49" i="15"/>
  <c r="V12" i="20"/>
  <c r="V55" i="15"/>
  <c r="AE45" i="13" l="1"/>
  <c r="V45" i="15" s="1"/>
  <c r="AE52" i="13"/>
  <c r="V52" i="15" s="1"/>
  <c r="V13" i="20" s="1"/>
  <c r="AE49" i="13"/>
  <c r="AE53" i="13" s="1"/>
  <c r="V53" i="15"/>
  <c r="V56" i="15"/>
  <c r="V51" i="18"/>
  <c r="AE56" i="13" l="1"/>
  <c r="AE50" i="13"/>
  <c r="V50" i="15" s="1"/>
  <c r="V4" i="16"/>
  <c r="V54" i="18"/>
  <c r="AD81" i="17" l="1"/>
  <c r="V58" i="18"/>
  <c r="AD82" i="17" l="1"/>
  <c r="V60" i="18"/>
  <c r="V5" i="18" l="1"/>
  <c r="AE81" i="17"/>
  <c r="V12" i="18" l="1"/>
  <c r="V26" i="20"/>
  <c r="V81" i="18"/>
  <c r="V28" i="20" s="1"/>
  <c r="AE82" i="17"/>
  <c r="V82" i="18" s="1"/>
  <c r="V24" i="18" l="1"/>
  <c r="V61" i="18" s="1"/>
  <c r="V29" i="20"/>
  <c r="V37" i="20"/>
  <c r="V39" i="20" l="1"/>
  <c r="V40" i="20"/>
  <c r="V34" i="20" l="1"/>
  <c r="V35" i="20"/>
  <c r="V32" i="20"/>
  <c r="AA21" i="14" l="1"/>
  <c r="AA72" i="14" s="1"/>
  <c r="AA74" i="14" s="1"/>
  <c r="AB9" i="14"/>
  <c r="V9" i="16"/>
  <c r="AB21" i="14" l="1"/>
  <c r="AB72" i="14" s="1"/>
  <c r="AB73" i="14" s="1"/>
  <c r="AC9" i="14"/>
  <c r="AC21" i="14" s="1"/>
  <c r="V21" i="16"/>
  <c r="AA77" i="14"/>
  <c r="AA73" i="14"/>
  <c r="AB77" i="14" l="1"/>
  <c r="AB74" i="14"/>
  <c r="AC72" i="14"/>
  <c r="AD9" i="14"/>
  <c r="AD21" i="14" s="1"/>
  <c r="V18" i="20"/>
  <c r="V77" i="16"/>
  <c r="V23" i="20" s="1"/>
  <c r="V73" i="16"/>
  <c r="V72" i="16"/>
  <c r="V74" i="16"/>
  <c r="AC74" i="14" l="1"/>
  <c r="AC73" i="14"/>
  <c r="AC77" i="14"/>
  <c r="AD72" i="14"/>
  <c r="V20" i="20"/>
  <c r="V21" i="20"/>
  <c r="AD77" i="14" l="1"/>
  <c r="AD73" i="14"/>
  <c r="AD74" i="14"/>
  <c r="AA32" i="14"/>
  <c r="AB26" i="14"/>
  <c r="V26" i="16"/>
  <c r="AB32" i="14" l="1"/>
  <c r="AC26" i="14"/>
  <c r="AC32" i="14" s="1"/>
  <c r="V32" i="16"/>
  <c r="AA44" i="14"/>
  <c r="AA54" i="14" s="1"/>
  <c r="AA57" i="14" s="1"/>
  <c r="AB36" i="14"/>
  <c r="V36" i="16"/>
  <c r="AD32" i="14" l="1"/>
  <c r="AD26" i="14"/>
  <c r="AB44" i="14"/>
  <c r="AB54" i="14" s="1"/>
  <c r="AC36" i="14"/>
  <c r="AC44" i="14" s="1"/>
  <c r="AC54" i="14" s="1"/>
  <c r="AB56" i="14"/>
  <c r="AA60" i="14"/>
  <c r="AD36" i="14" l="1"/>
  <c r="AD44" i="14" s="1"/>
  <c r="AD54" i="14" s="1"/>
  <c r="AB57" i="14"/>
  <c r="AB60" i="14" s="1"/>
  <c r="AA194" i="46"/>
  <c r="AB197" i="46" s="1"/>
  <c r="AA61" i="14"/>
  <c r="V44" i="16"/>
  <c r="AC56" i="14" l="1"/>
  <c r="AC57" i="14" s="1"/>
  <c r="AD56" i="14" s="1"/>
  <c r="AD57" i="14" s="1"/>
  <c r="AD60" i="14" s="1"/>
  <c r="V54" i="16"/>
  <c r="AB61" i="14"/>
  <c r="AB194" i="46"/>
  <c r="AC197" i="46" s="1"/>
  <c r="AD197" i="46" s="1"/>
  <c r="AC60" i="14" l="1"/>
  <c r="AC194" i="46" s="1"/>
  <c r="AD196" i="46" s="1"/>
  <c r="AD192" i="46" s="1"/>
  <c r="AD191" i="46" s="1"/>
  <c r="AE191" i="46" s="1"/>
  <c r="AD194" i="46"/>
  <c r="AD61" i="14"/>
  <c r="V57" i="16"/>
  <c r="W56" i="16"/>
  <c r="AC61" i="14" l="1"/>
  <c r="V191" i="45"/>
  <c r="AE192" i="46"/>
  <c r="V192" i="45" s="1"/>
  <c r="AE196" i="46"/>
  <c r="AE61" i="14"/>
  <c r="V60" i="16"/>
  <c r="V61" i="16" s="1"/>
  <c r="AE194" i="46"/>
  <c r="V196" i="45" l="1"/>
  <c r="AE197" i="46"/>
  <c r="AE199" i="46"/>
  <c r="V199" i="45" s="1"/>
  <c r="V194" i="45"/>
  <c r="AF34" i="13" l="1"/>
  <c r="AK35" i="13" l="1"/>
  <c r="AF38" i="13"/>
  <c r="AF35" i="13"/>
  <c r="W47" i="15" l="1"/>
  <c r="AF40" i="13"/>
  <c r="AF44" i="13" l="1"/>
  <c r="AF45" i="13" s="1"/>
  <c r="AK41" i="13"/>
  <c r="AF41" i="13"/>
  <c r="AF49" i="13" l="1"/>
  <c r="AK50" i="13" s="1"/>
  <c r="AK45" i="13"/>
  <c r="AF50" i="13" l="1"/>
  <c r="U58" i="16"/>
  <c r="Z60" i="14"/>
  <c r="Z61" i="14" s="1"/>
  <c r="Y60" i="14"/>
  <c r="Z11" i="17"/>
  <c r="U60" i="16" l="1"/>
  <c r="U61" i="16" s="1"/>
  <c r="Y11" i="17"/>
  <c r="Y72" i="17" s="1"/>
  <c r="Z72" i="17"/>
  <c r="U72" i="18" s="1"/>
  <c r="U11" i="18"/>
  <c r="U6" i="18"/>
  <c r="Y6" i="17"/>
  <c r="Z12" i="17"/>
  <c r="U12" i="18" l="1"/>
  <c r="Y12" i="17"/>
  <c r="Z24" i="17"/>
  <c r="Z61" i="17" l="1"/>
  <c r="Y24" i="17"/>
  <c r="Y61" i="17" s="1"/>
  <c r="U24" i="18"/>
  <c r="U61" i="18" s="1"/>
  <c r="V3" i="15" l="1"/>
  <c r="W3" i="15" l="1"/>
  <c r="W12" i="15" l="1"/>
  <c r="AC54" i="2" l="1"/>
  <c r="V12" i="10"/>
  <c r="AB54" i="2"/>
  <c r="AE13" i="2"/>
  <c r="V13" i="10" s="1"/>
  <c r="AA54" i="2"/>
  <c r="AD12" i="2"/>
  <c r="AI13" i="2" l="1"/>
  <c r="AD13" i="2"/>
  <c r="AD54" i="2"/>
  <c r="AE54" i="2" s="1"/>
  <c r="AD9" i="2"/>
  <c r="AI10" i="2" s="1"/>
  <c r="AD10" i="2" l="1"/>
  <c r="AE9" i="2"/>
  <c r="AJ10" i="2" s="1"/>
  <c r="AF54" i="2" l="1"/>
  <c r="AH54" i="2"/>
  <c r="W13" i="10"/>
  <c r="AG54" i="2"/>
  <c r="W12" i="10"/>
  <c r="V9" i="10"/>
  <c r="AE10" i="2"/>
  <c r="V10" i="10" s="1"/>
  <c r="AJ54" i="2" l="1"/>
  <c r="W9" i="10"/>
  <c r="W10" i="10"/>
  <c r="AC12" i="10" l="1"/>
  <c r="AD12" i="10" s="1"/>
  <c r="AE12" i="10" s="1"/>
  <c r="AF12" i="10" s="1"/>
  <c r="AC55" i="2" l="1"/>
  <c r="AB55" i="2"/>
  <c r="V21" i="10"/>
  <c r="AE22" i="2"/>
  <c r="V22" i="10" s="1"/>
  <c r="AA55" i="2"/>
  <c r="AD21" i="2"/>
  <c r="AI22" i="2" l="1"/>
  <c r="AI26" i="2"/>
  <c r="AD22" i="2"/>
  <c r="AD55" i="2"/>
  <c r="AE55" i="2" s="1"/>
  <c r="AD18" i="2"/>
  <c r="AI19" i="2" s="1"/>
  <c r="AN27" i="2" l="1"/>
  <c r="AJ26" i="2"/>
  <c r="AI51" i="2"/>
  <c r="AI50" i="2"/>
  <c r="AF55" i="2"/>
  <c r="AH55" i="2"/>
  <c r="AG55" i="2"/>
  <c r="W22" i="10"/>
  <c r="W21" i="10"/>
  <c r="AI55" i="2"/>
  <c r="AD19" i="2"/>
  <c r="AE18" i="2"/>
  <c r="AJ19" i="2" s="1"/>
  <c r="AI30" i="2"/>
  <c r="AI46" i="2" l="1"/>
  <c r="AN47" i="2" s="1"/>
  <c r="AN31" i="2"/>
  <c r="AJ51" i="2"/>
  <c r="W51" i="10" s="1"/>
  <c r="AJ50" i="2"/>
  <c r="W50" i="10" s="1"/>
  <c r="AH56" i="2"/>
  <c r="AI56" i="2"/>
  <c r="AF56" i="2"/>
  <c r="V18" i="10"/>
  <c r="AE19" i="2"/>
  <c r="V19" i="10" s="1"/>
  <c r="AJ55" i="2"/>
  <c r="W19" i="10"/>
  <c r="W18" i="10"/>
  <c r="AG56" i="2"/>
  <c r="AJ30" i="2"/>
  <c r="W26" i="10"/>
  <c r="AI4" i="13"/>
  <c r="AJ46" i="2" l="1"/>
  <c r="AJ56" i="2"/>
  <c r="AI13" i="13"/>
  <c r="W30" i="10"/>
  <c r="AJ4" i="13"/>
  <c r="W51" i="20"/>
  <c r="AF57" i="2" l="1"/>
  <c r="AH57" i="2"/>
  <c r="AI57" i="2"/>
  <c r="W4" i="15"/>
  <c r="AG57" i="2"/>
  <c r="W44" i="10"/>
  <c r="AJ13" i="13"/>
  <c r="AI38" i="2"/>
  <c r="AI37" i="2"/>
  <c r="AI33" i="2"/>
  <c r="AN34" i="2" s="1"/>
  <c r="AJ57" i="2" l="1"/>
  <c r="AJ38" i="2"/>
  <c r="W38" i="10" s="1"/>
  <c r="AJ37" i="2"/>
  <c r="W37" i="10" s="1"/>
  <c r="AJ33" i="2"/>
  <c r="W13" i="15"/>
  <c r="W33" i="10" l="1"/>
  <c r="W36" i="10" s="1"/>
  <c r="W43" i="10" s="1"/>
  <c r="W53" i="20" l="1"/>
  <c r="W46" i="10"/>
  <c r="W54" i="20" l="1"/>
  <c r="V24" i="10" l="1"/>
  <c r="AD24" i="2"/>
  <c r="AD26" i="2" s="1"/>
  <c r="AD30" i="2" l="1"/>
  <c r="AD27" i="2"/>
  <c r="AE26" i="2"/>
  <c r="AD56" i="2" s="1"/>
  <c r="AD33" i="2"/>
  <c r="AD38" i="2"/>
  <c r="AD50" i="2"/>
  <c r="AD51" i="2"/>
  <c r="AI27" i="2"/>
  <c r="AD34" i="2" l="1"/>
  <c r="AI34" i="2"/>
  <c r="AD46" i="2"/>
  <c r="AD31" i="2"/>
  <c r="AD4" i="13"/>
  <c r="AI31" i="2"/>
  <c r="AE27" i="2"/>
  <c r="V27" i="10" s="1"/>
  <c r="V52" i="20" s="1"/>
  <c r="V26" i="10"/>
  <c r="V51" i="20" s="1"/>
  <c r="AB56" i="2"/>
  <c r="AA56" i="2"/>
  <c r="AE30" i="2"/>
  <c r="AC56" i="2"/>
  <c r="AE38" i="2"/>
  <c r="V38" i="10" s="1"/>
  <c r="AE33" i="2"/>
  <c r="AE50" i="2"/>
  <c r="V50" i="10" s="1"/>
  <c r="AE51" i="2"/>
  <c r="V51" i="10" s="1"/>
  <c r="AJ27" i="2"/>
  <c r="W27" i="10" s="1"/>
  <c r="W52" i="20" s="1"/>
  <c r="AE56" i="2" l="1"/>
  <c r="AE34" i="2"/>
  <c r="V34" i="10" s="1"/>
  <c r="V33" i="10"/>
  <c r="V36" i="10" s="1"/>
  <c r="V43" i="10" s="1"/>
  <c r="AJ34" i="2"/>
  <c r="W34" i="10" s="1"/>
  <c r="AD47" i="2"/>
  <c r="AI47" i="2"/>
  <c r="V30" i="10"/>
  <c r="AE4" i="13"/>
  <c r="V4" i="15" s="1"/>
  <c r="AE31" i="2"/>
  <c r="V31" i="10" s="1"/>
  <c r="AE46" i="2"/>
  <c r="AJ31" i="2"/>
  <c r="W31" i="10" s="1"/>
  <c r="AE47" i="2" l="1"/>
  <c r="V47" i="10" s="1"/>
  <c r="AJ47" i="2"/>
  <c r="W47" i="10" s="1"/>
  <c r="V53" i="20"/>
  <c r="V46" i="10"/>
  <c r="V54" i="20" l="1"/>
  <c r="W5" i="15" l="1"/>
  <c r="AD9" i="13" l="1"/>
  <c r="AD98" i="13" l="1"/>
  <c r="AD97" i="13"/>
  <c r="AD112" i="13"/>
  <c r="AD65" i="17"/>
  <c r="AD68" i="17"/>
  <c r="AD64" i="17"/>
  <c r="AD83" i="13"/>
  <c r="AD74" i="17"/>
  <c r="AD69" i="14"/>
  <c r="AD72" i="17"/>
  <c r="AD10" i="13"/>
  <c r="AD73" i="17"/>
  <c r="AD71" i="17"/>
  <c r="AD29" i="13"/>
  <c r="AE87" i="13"/>
  <c r="AE86" i="13"/>
  <c r="V86" i="15" l="1"/>
  <c r="V5" i="15"/>
  <c r="V87" i="15"/>
  <c r="V6" i="15" l="1"/>
  <c r="AI9" i="13"/>
  <c r="AI10" i="13" s="1"/>
  <c r="AC9" i="13"/>
  <c r="AE9" i="13" l="1"/>
  <c r="AE64" i="17" s="1"/>
  <c r="V64" i="18" s="1"/>
  <c r="AI65" i="17"/>
  <c r="AI68" i="17"/>
  <c r="AI73" i="17"/>
  <c r="AI74" i="17"/>
  <c r="AI71" i="17"/>
  <c r="AI64" i="17"/>
  <c r="AI72" i="17"/>
  <c r="AI69" i="14"/>
  <c r="AI98" i="13"/>
  <c r="AI93" i="13"/>
  <c r="AI94" i="13" s="1"/>
  <c r="AI97" i="13"/>
  <c r="CF8" i="17"/>
  <c r="CF7" i="17"/>
  <c r="CF11" i="17"/>
  <c r="V9" i="15"/>
  <c r="AH10" i="13"/>
  <c r="AC98" i="13"/>
  <c r="AC97" i="13"/>
  <c r="AC73" i="17"/>
  <c r="AC65" i="17"/>
  <c r="AC93" i="13"/>
  <c r="AC69" i="14"/>
  <c r="AC112" i="13"/>
  <c r="AC68" i="17"/>
  <c r="AC71" i="17"/>
  <c r="AC83" i="13"/>
  <c r="AC72" i="17"/>
  <c r="AC10" i="13"/>
  <c r="AC74" i="17"/>
  <c r="AC64" i="17"/>
  <c r="AC29" i="13"/>
  <c r="W8" i="18"/>
  <c r="W7" i="18"/>
  <c r="W11" i="18"/>
  <c r="AE68" i="17" l="1"/>
  <c r="V68" i="18" s="1"/>
  <c r="AE29" i="13"/>
  <c r="V29" i="15" s="1"/>
  <c r="V9" i="20" s="1"/>
  <c r="AE65" i="17"/>
  <c r="V65" i="18" s="1"/>
  <c r="AE83" i="13"/>
  <c r="AE71" i="17"/>
  <c r="V71" i="18" s="1"/>
  <c r="AE74" i="17"/>
  <c r="V74" i="18" s="1"/>
  <c r="AE97" i="13"/>
  <c r="V97" i="15" s="1"/>
  <c r="AE69" i="14"/>
  <c r="V69" i="16" s="1"/>
  <c r="AE112" i="13"/>
  <c r="AE98" i="13"/>
  <c r="V98" i="15" s="1"/>
  <c r="AE73" i="17"/>
  <c r="V73" i="18" s="1"/>
  <c r="AE10" i="13"/>
  <c r="V10" i="15" s="1"/>
  <c r="V5" i="20" s="1"/>
  <c r="AE72" i="17"/>
  <c r="V72" i="18" s="1"/>
  <c r="CF31" i="17"/>
  <c r="V4" i="20"/>
  <c r="V83" i="15"/>
  <c r="V7" i="20" s="1"/>
  <c r="CF30" i="17"/>
  <c r="W31" i="18"/>
  <c r="AC94" i="13"/>
  <c r="CF29" i="17" l="1"/>
  <c r="CF9" i="17"/>
  <c r="W29" i="18"/>
  <c r="W9" i="18"/>
  <c r="W30" i="18"/>
  <c r="W34" i="18" l="1"/>
  <c r="AD66" i="17" l="1"/>
  <c r="AD67" i="17"/>
  <c r="AD77" i="17"/>
  <c r="AE85" i="13"/>
  <c r="V85" i="15" s="1"/>
  <c r="AD93" i="13"/>
  <c r="AE93" i="13" l="1"/>
  <c r="AE94" i="13" s="1"/>
  <c r="AE89" i="13"/>
  <c r="AD90" i="13"/>
  <c r="AI91" i="13" s="1"/>
  <c r="V93" i="15"/>
  <c r="V94" i="15" s="1"/>
  <c r="AD94" i="13"/>
  <c r="AE67" i="17"/>
  <c r="V67" i="18" s="1"/>
  <c r="AE77" i="17"/>
  <c r="V77" i="18" s="1"/>
  <c r="AE66" i="17"/>
  <c r="V66" i="18" s="1"/>
  <c r="AD91" i="13" l="1"/>
  <c r="V89" i="15"/>
  <c r="V90" i="15" s="1"/>
  <c r="AE90" i="13"/>
  <c r="AJ91" i="13" s="1"/>
  <c r="AE91" i="13" l="1"/>
  <c r="V91" i="15" s="1"/>
  <c r="V67" i="15" l="1"/>
  <c r="AD68" i="13"/>
  <c r="AD71" i="13"/>
  <c r="AE70" i="13" l="1"/>
  <c r="AF56" i="13"/>
  <c r="AE68" i="13"/>
  <c r="V68" i="15" s="1"/>
  <c r="AF55" i="13"/>
  <c r="V70" i="15" l="1"/>
  <c r="AJ71" i="13"/>
  <c r="AE71" i="13"/>
  <c r="AF53" i="13"/>
  <c r="AF52" i="13" l="1"/>
  <c r="W67" i="15" l="1"/>
  <c r="W68" i="15"/>
  <c r="W62" i="15" l="1"/>
  <c r="W70" i="15"/>
  <c r="X71" i="15" s="1"/>
  <c r="W58" i="15"/>
  <c r="W59" i="15"/>
  <c r="W61" i="15" l="1"/>
  <c r="W65" i="15"/>
  <c r="W71" i="15"/>
  <c r="W64" i="15" l="1"/>
  <c r="W14" i="20" s="1"/>
  <c r="AC59" i="15" l="1"/>
  <c r="X14" i="20" l="1"/>
  <c r="AC61" i="15" l="1"/>
  <c r="Y138" i="15"/>
  <c r="Y135" i="15"/>
  <c r="Y14" i="20"/>
  <c r="AD61" i="15" l="1"/>
  <c r="AE61" i="15" s="1"/>
  <c r="AF61" i="15" s="1"/>
  <c r="Z14" i="20"/>
  <c r="AC62" i="15"/>
  <c r="AF62" i="15" l="1"/>
  <c r="AE62" i="15"/>
  <c r="AD62" i="15"/>
  <c r="AA14" i="20"/>
  <c r="AG56" i="14"/>
  <c r="AC64" i="15" l="1"/>
  <c r="AB14" i="20"/>
  <c r="AF80" i="14"/>
  <c r="AF77" i="13"/>
  <c r="AC65" i="15" l="1"/>
  <c r="AD64" i="15"/>
  <c r="AF78" i="13"/>
  <c r="W79" i="16"/>
  <c r="AE64" i="15" l="1"/>
  <c r="AF64" i="15" s="1"/>
  <c r="AF65" i="15" s="1"/>
  <c r="AD65" i="15"/>
  <c r="W77" i="15"/>
  <c r="AE65" i="15" l="1"/>
  <c r="W40" i="16"/>
  <c r="W76" i="16" l="1"/>
  <c r="W22" i="20" s="1"/>
  <c r="X22" i="20" l="1"/>
  <c r="Y22" i="20" l="1"/>
  <c r="AB22" i="20" l="1"/>
  <c r="AC79" i="16"/>
  <c r="Z22" i="20"/>
  <c r="AD79" i="16" l="1"/>
  <c r="AD40" i="16" s="1"/>
  <c r="AC40" i="16"/>
  <c r="AC77" i="15"/>
  <c r="AA22" i="20"/>
  <c r="AD77" i="15" l="1"/>
  <c r="AE79" i="16"/>
  <c r="AF79" i="16" s="1"/>
  <c r="AE77" i="15"/>
  <c r="AE40" i="16"/>
  <c r="AC76" i="16"/>
  <c r="AD76" i="16"/>
  <c r="AD77" i="13"/>
  <c r="AD78" i="13"/>
  <c r="AE79" i="14"/>
  <c r="AF77" i="15" l="1"/>
  <c r="AF40" i="16"/>
  <c r="AE76" i="16"/>
  <c r="AE44" i="16"/>
  <c r="AE80" i="14"/>
  <c r="AJ80" i="14"/>
  <c r="V79" i="16"/>
  <c r="AE77" i="13"/>
  <c r="V77" i="15" s="1"/>
  <c r="AF44" i="16" l="1"/>
  <c r="AF76" i="16"/>
  <c r="AJ78" i="13"/>
  <c r="W78" i="15" s="1"/>
  <c r="V80" i="16"/>
  <c r="W80" i="16"/>
  <c r="AE78" i="13"/>
  <c r="V78" i="15" s="1"/>
  <c r="AE64" i="14"/>
  <c r="V64" i="16" s="1"/>
  <c r="AD65" i="14"/>
  <c r="AE65" i="14" l="1"/>
  <c r="V65" i="16" s="1"/>
  <c r="AG9" i="13" l="1"/>
  <c r="AG18" i="13"/>
  <c r="AG73" i="17" l="1"/>
  <c r="AG72" i="17"/>
  <c r="AG68" i="17"/>
  <c r="AG98" i="13"/>
  <c r="AG69" i="14"/>
  <c r="AG10" i="13"/>
  <c r="AG74" i="17"/>
  <c r="AG93" i="13"/>
  <c r="AG94" i="13" s="1"/>
  <c r="AG97" i="13"/>
  <c r="AG64" i="17"/>
  <c r="AG65" i="17"/>
  <c r="AG71" i="17"/>
  <c r="AG28" i="13"/>
  <c r="W86" i="15"/>
  <c r="W15" i="15"/>
  <c r="AJ9" i="13"/>
  <c r="W6" i="15"/>
  <c r="W16" i="16"/>
  <c r="W87" i="15"/>
  <c r="AJ64" i="17" l="1"/>
  <c r="W64" i="18" s="1"/>
  <c r="AJ69" i="14"/>
  <c r="W69" i="16" s="1"/>
  <c r="AJ74" i="17"/>
  <c r="AJ71" i="17"/>
  <c r="W71" i="18" s="1"/>
  <c r="AJ68" i="17"/>
  <c r="W68" i="18" s="1"/>
  <c r="AJ65" i="17"/>
  <c r="W65" i="18" s="1"/>
  <c r="AJ72" i="17"/>
  <c r="W72" i="18" s="1"/>
  <c r="AJ73" i="17"/>
  <c r="W73" i="18" s="1"/>
  <c r="AJ93" i="13"/>
  <c r="AJ94" i="13" s="1"/>
  <c r="AJ97" i="13"/>
  <c r="W97" i="15" s="1"/>
  <c r="AJ98" i="13"/>
  <c r="W98" i="15" s="1"/>
  <c r="W14" i="16"/>
  <c r="AG112" i="13"/>
  <c r="AG29" i="13"/>
  <c r="AG82" i="13"/>
  <c r="AG34" i="13"/>
  <c r="AL35" i="13" s="1"/>
  <c r="W70" i="16"/>
  <c r="W24" i="16"/>
  <c r="AJ10" i="13"/>
  <c r="W10" i="15" s="1"/>
  <c r="W5" i="20" s="1"/>
  <c r="W11" i="16"/>
  <c r="W9" i="15"/>
  <c r="W67" i="18"/>
  <c r="W66" i="18"/>
  <c r="W77" i="18"/>
  <c r="W85" i="15"/>
  <c r="W15" i="16"/>
  <c r="W12" i="16"/>
  <c r="AG38" i="13" l="1"/>
  <c r="AG82" i="17"/>
  <c r="AG35" i="13"/>
  <c r="AG40" i="13"/>
  <c r="AL41" i="13" s="1"/>
  <c r="W32" i="16"/>
  <c r="W4" i="20"/>
  <c r="W93" i="15"/>
  <c r="AG83" i="13"/>
  <c r="W19" i="20"/>
  <c r="AG90" i="13"/>
  <c r="AL91" i="13" s="1"/>
  <c r="W13" i="16"/>
  <c r="W65" i="16" l="1"/>
  <c r="W17" i="16"/>
  <c r="AG41" i="13"/>
  <c r="AG44" i="13"/>
  <c r="AL45" i="13" s="1"/>
  <c r="AG91" i="13"/>
  <c r="W94" i="15"/>
  <c r="AG49" i="13" l="1"/>
  <c r="AL50" i="13" s="1"/>
  <c r="W64" i="16"/>
  <c r="W82" i="16"/>
  <c r="W8" i="16"/>
  <c r="W5" i="16"/>
  <c r="AG55" i="13"/>
  <c r="AG45" i="13"/>
  <c r="AG52" i="13"/>
  <c r="W138" i="15" l="1"/>
  <c r="W17" i="18"/>
  <c r="W81" i="15"/>
  <c r="AG50" i="13"/>
  <c r="AG56" i="13"/>
  <c r="AG53" i="13"/>
  <c r="CF17" i="17" l="1"/>
  <c r="AG57" i="14"/>
  <c r="AH56" i="14" s="1"/>
  <c r="AH57" i="14" s="1"/>
  <c r="W22" i="18"/>
  <c r="AH60" i="14" l="1"/>
  <c r="AH61" i="14" s="1"/>
  <c r="AI56" i="14"/>
  <c r="AG60" i="14"/>
  <c r="AG194" i="46" s="1"/>
  <c r="AH197" i="46" s="1"/>
  <c r="AH194" i="46" l="1"/>
  <c r="AI197" i="46" s="1"/>
  <c r="AI57" i="14"/>
  <c r="AI60" i="14" s="1"/>
  <c r="AI194" i="46" s="1"/>
  <c r="CF39" i="17"/>
  <c r="W39" i="18"/>
  <c r="W74" i="18"/>
  <c r="X65" i="16" l="1"/>
  <c r="AG61" i="14"/>
  <c r="X39" i="18" l="1"/>
  <c r="AJ196" i="46" l="1"/>
  <c r="W196" i="45" l="1"/>
  <c r="AJ197" i="46"/>
  <c r="W197" i="45" s="1"/>
  <c r="Y39" i="18" l="1"/>
  <c r="Y10" i="10" l="1"/>
  <c r="CF20" i="17"/>
  <c r="X10" i="10" l="1"/>
  <c r="X9" i="10"/>
  <c r="Z39" i="18" l="1"/>
  <c r="AM81" i="13"/>
  <c r="AM82" i="13" l="1"/>
  <c r="AI60" i="46"/>
  <c r="AJ60" i="46" s="1"/>
  <c r="AK60" i="46" s="1"/>
  <c r="AK61" i="46" s="1"/>
  <c r="AG61" i="46"/>
  <c r="AH61" i="46"/>
  <c r="AI65" i="46"/>
  <c r="AG67" i="46"/>
  <c r="AG68" i="46"/>
  <c r="AH69" i="46"/>
  <c r="AG190" i="46"/>
  <c r="AG191" i="46" s="1"/>
  <c r="AH190" i="46"/>
  <c r="AH191" i="46" s="1"/>
  <c r="Y20" i="18" l="1"/>
  <c r="AI190" i="46"/>
  <c r="AI191" i="46" s="1"/>
  <c r="AJ191" i="46" s="1"/>
  <c r="W191" i="45" s="1"/>
  <c r="AM83" i="13"/>
  <c r="AM82" i="17"/>
  <c r="AL60" i="46"/>
  <c r="AM60" i="46" s="1"/>
  <c r="AK67" i="46"/>
  <c r="AK68" i="46"/>
  <c r="AK190" i="46"/>
  <c r="AK191" i="46" s="1"/>
  <c r="W60" i="45"/>
  <c r="AJ68" i="46"/>
  <c r="W68" i="45" s="1"/>
  <c r="AJ67" i="46"/>
  <c r="W67" i="45" s="1"/>
  <c r="AI61" i="46"/>
  <c r="AJ61" i="46" s="1"/>
  <c r="AI67" i="46"/>
  <c r="AI68" i="46"/>
  <c r="AG69" i="46"/>
  <c r="X20" i="18"/>
  <c r="W37" i="16"/>
  <c r="Z20" i="18" l="1"/>
  <c r="AJ190" i="46"/>
  <c r="W190" i="45" s="1"/>
  <c r="AL68" i="46"/>
  <c r="AM61" i="46"/>
  <c r="AM67" i="46"/>
  <c r="AL67" i="46"/>
  <c r="AI69" i="46"/>
  <c r="AL190" i="46"/>
  <c r="AL191" i="46" s="1"/>
  <c r="AL61" i="46"/>
  <c r="W69" i="45"/>
  <c r="AK69" i="46"/>
  <c r="AJ62" i="46"/>
  <c r="AJ65" i="46" s="1"/>
  <c r="AK65" i="46"/>
  <c r="CF37" i="17" s="1"/>
  <c r="AJ69" i="46"/>
  <c r="W61" i="45"/>
  <c r="AL65" i="46"/>
  <c r="W37" i="18"/>
  <c r="AN60" i="46"/>
  <c r="AN61" i="46" s="1"/>
  <c r="AO61" i="46" s="1"/>
  <c r="AM68" i="46"/>
  <c r="AM190" i="46"/>
  <c r="AM191" i="46" s="1"/>
  <c r="W31" i="15"/>
  <c r="W35" i="16"/>
  <c r="AA39" i="18" l="1"/>
  <c r="AA20" i="18"/>
  <c r="BG20" i="17"/>
  <c r="BH20" i="17" s="1"/>
  <c r="BI20" i="17" s="1"/>
  <c r="AB20" i="18" s="1"/>
  <c r="AJ192" i="46"/>
  <c r="AJ199" i="46" s="1"/>
  <c r="W199" i="45" s="1"/>
  <c r="AL69" i="46"/>
  <c r="X61" i="45"/>
  <c r="AM65" i="46"/>
  <c r="W62" i="45"/>
  <c r="W65" i="45" s="1"/>
  <c r="AM69" i="46"/>
  <c r="W44" i="16"/>
  <c r="W80" i="18"/>
  <c r="W27" i="20" s="1"/>
  <c r="AN190" i="46"/>
  <c r="AN191" i="46" s="1"/>
  <c r="AO191" i="46" s="1"/>
  <c r="AN67" i="46"/>
  <c r="X35" i="16" s="1"/>
  <c r="AO60" i="46"/>
  <c r="AN68" i="46"/>
  <c r="W41" i="18"/>
  <c r="AC20" i="18" l="1"/>
  <c r="AD20" i="18" s="1"/>
  <c r="AE20" i="18" s="1"/>
  <c r="AF20" i="18" s="1"/>
  <c r="BG39" i="17"/>
  <c r="W192" i="45"/>
  <c r="AT68" i="46" a="1"/>
  <c r="AT68" i="46" s="1"/>
  <c r="AT67" i="46"/>
  <c r="AP60" i="46"/>
  <c r="AO67" i="46"/>
  <c r="AO62" i="46"/>
  <c r="AO65" i="46" s="1"/>
  <c r="X191" i="45"/>
  <c r="AQ60" i="46"/>
  <c r="X60" i="45"/>
  <c r="AN69" i="46"/>
  <c r="AO68" i="46"/>
  <c r="X37" i="16"/>
  <c r="W43" i="18"/>
  <c r="AO190" i="46"/>
  <c r="AO192" i="46" s="1"/>
  <c r="AO199" i="46" s="1"/>
  <c r="X199" i="45" s="1"/>
  <c r="BH39" i="17" l="1"/>
  <c r="BI39" i="17" s="1"/>
  <c r="BG74" i="17"/>
  <c r="AQ67" i="46"/>
  <c r="AQ68" i="46" a="1"/>
  <c r="AQ68" i="46" s="1"/>
  <c r="AP190" i="46"/>
  <c r="AP191" i="46" s="1"/>
  <c r="AP68" i="46" a="1"/>
  <c r="AP68" i="46" s="1"/>
  <c r="AP67" i="46"/>
  <c r="AQ61" i="46"/>
  <c r="AP61" i="46"/>
  <c r="AR60" i="46"/>
  <c r="AQ190" i="46"/>
  <c r="X190" i="45"/>
  <c r="X192" i="45" s="1"/>
  <c r="X67" i="45"/>
  <c r="X68" i="45"/>
  <c r="X62" i="45"/>
  <c r="X65" i="45" s="1"/>
  <c r="AO69" i="46"/>
  <c r="X37" i="18"/>
  <c r="X44" i="16"/>
  <c r="BI74" i="17" l="1"/>
  <c r="AB74" i="18" s="1"/>
  <c r="AB39" i="18"/>
  <c r="AC39" i="18" s="1"/>
  <c r="AD39" i="18" s="1"/>
  <c r="AE39" i="18" s="1"/>
  <c r="AF39" i="18" s="1"/>
  <c r="AP69" i="46"/>
  <c r="AR67" i="46"/>
  <c r="AR68" i="46" a="1"/>
  <c r="AR68" i="46" s="1"/>
  <c r="AS67" i="46"/>
  <c r="AS68" i="46" a="1"/>
  <c r="AS68" i="46" s="1"/>
  <c r="AQ69" i="46"/>
  <c r="AR61" i="46"/>
  <c r="AR65" i="46"/>
  <c r="AR190" i="46"/>
  <c r="X69" i="45"/>
  <c r="X80" i="18"/>
  <c r="X27" i="20" s="1"/>
  <c r="X41" i="18"/>
  <c r="AR69" i="46" l="1"/>
  <c r="AS69" i="46"/>
  <c r="Y53" i="18"/>
  <c r="Y35" i="16"/>
  <c r="AS190" i="46"/>
  <c r="AU60" i="46" l="1"/>
  <c r="AU61" i="46" s="1"/>
  <c r="AT190" i="46"/>
  <c r="Y60" i="45"/>
  <c r="AU67" i="46" l="1"/>
  <c r="AU68" i="46" a="1"/>
  <c r="AU68" i="46" s="1"/>
  <c r="AV68" i="46" a="1"/>
  <c r="AV68" i="46" s="1"/>
  <c r="AV67" i="46"/>
  <c r="Y68" i="45" a="1"/>
  <c r="Y68" i="45" s="1"/>
  <c r="Y67" i="45"/>
  <c r="AT69" i="46"/>
  <c r="AU190" i="46"/>
  <c r="AV190" i="46"/>
  <c r="Y190" i="45"/>
  <c r="AV69" i="46" l="1"/>
  <c r="AU69" i="46"/>
  <c r="AW190" i="46"/>
  <c r="Y80" i="18"/>
  <c r="Y27" i="20" s="1"/>
  <c r="Y69" i="45"/>
  <c r="Z53" i="18" l="1"/>
  <c r="AY60" i="46"/>
  <c r="AX190" i="46"/>
  <c r="Z35" i="16"/>
  <c r="Y41" i="18"/>
  <c r="Y37" i="18"/>
  <c r="AZ190" i="46" l="1"/>
  <c r="AZ68" i="46" a="1"/>
  <c r="AZ68" i="46" s="1"/>
  <c r="AZ67" i="46"/>
  <c r="BD68" i="46" a="1"/>
  <c r="BD68" i="46" s="1"/>
  <c r="BD67" i="46"/>
  <c r="AY68" i="46" a="1"/>
  <c r="AY68" i="46" s="1"/>
  <c r="AY67" i="46"/>
  <c r="Z60" i="45"/>
  <c r="AY190" i="46"/>
  <c r="Y44" i="16"/>
  <c r="Y37" i="16"/>
  <c r="AA68" i="45" l="1" a="1"/>
  <c r="AA68" i="45" s="1"/>
  <c r="AA67" i="45"/>
  <c r="BD69" i="46"/>
  <c r="AA35" i="16"/>
  <c r="AA37" i="16"/>
  <c r="AZ69" i="46"/>
  <c r="BD190" i="46"/>
  <c r="AA190" i="45" s="1"/>
  <c r="AJ190" i="45" s="1"/>
  <c r="Z68" i="45" a="1"/>
  <c r="Z68" i="45" s="1"/>
  <c r="Z67" i="45"/>
  <c r="AY69" i="46"/>
  <c r="Z190" i="45"/>
  <c r="AA53" i="18" l="1"/>
  <c r="BG53" i="17"/>
  <c r="BH53" i="17" s="1"/>
  <c r="BI53" i="17" s="1"/>
  <c r="AB53" i="18" s="1"/>
  <c r="AA69" i="45"/>
  <c r="Z69" i="45"/>
  <c r="AC53" i="18" l="1"/>
  <c r="AD53" i="18" s="1"/>
  <c r="AE53" i="18" s="1"/>
  <c r="AF53" i="18" s="1"/>
  <c r="AC190" i="45"/>
  <c r="AC192" i="45" s="1"/>
  <c r="AD68" i="45" l="1" a="1"/>
  <c r="AD68" i="45" s="1"/>
  <c r="AD67" i="45"/>
  <c r="AD35" i="16" s="1"/>
  <c r="AC67" i="45"/>
  <c r="AC35" i="16" s="1"/>
  <c r="AC68" i="45" a="1"/>
  <c r="AC68" i="45" s="1"/>
  <c r="AC37" i="16" s="1"/>
  <c r="AC44" i="16" s="1"/>
  <c r="Z37" i="16"/>
  <c r="AD190" i="45"/>
  <c r="AD192" i="45" s="1"/>
  <c r="AC69" i="45" l="1"/>
  <c r="AD69" i="45"/>
  <c r="AD37" i="16"/>
  <c r="AD44" i="16" s="1"/>
  <c r="AI18" i="13" l="1"/>
  <c r="AI28" i="13" l="1"/>
  <c r="W14" i="15"/>
  <c r="AJ18" i="13"/>
  <c r="AJ28" i="13" s="1"/>
  <c r="AJ82" i="13" l="1"/>
  <c r="AJ34" i="13"/>
  <c r="AJ29" i="13"/>
  <c r="W29" i="15" s="1"/>
  <c r="AI34" i="13"/>
  <c r="AI29" i="13"/>
  <c r="AI112" i="13"/>
  <c r="AJ112" i="13"/>
  <c r="W18" i="15"/>
  <c r="AJ40" i="13" l="1"/>
  <c r="AJ38" i="13"/>
  <c r="AJ35" i="13"/>
  <c r="W35" i="15" s="1"/>
  <c r="AI35" i="13"/>
  <c r="AI40" i="13"/>
  <c r="AI38" i="13"/>
  <c r="AJ82" i="17"/>
  <c r="AJ83" i="13"/>
  <c r="AI82" i="13"/>
  <c r="W28" i="15"/>
  <c r="W9" i="20"/>
  <c r="AI82" i="17" l="1"/>
  <c r="AI83" i="13"/>
  <c r="AI41" i="13"/>
  <c r="AI44" i="13"/>
  <c r="AJ44" i="13"/>
  <c r="AJ41" i="13"/>
  <c r="W8" i="20"/>
  <c r="W34" i="15"/>
  <c r="W82" i="15"/>
  <c r="W111" i="15"/>
  <c r="W89" i="15"/>
  <c r="W90" i="15" s="1"/>
  <c r="AJ55" i="13" l="1"/>
  <c r="AJ49" i="13"/>
  <c r="AJ45" i="13"/>
  <c r="AJ52" i="13"/>
  <c r="AI55" i="13"/>
  <c r="AI45" i="13"/>
  <c r="AI52" i="13"/>
  <c r="AI49" i="13"/>
  <c r="W91" i="15"/>
  <c r="W6" i="20"/>
  <c r="W83" i="15"/>
  <c r="W7" i="20" s="1"/>
  <c r="W10" i="20"/>
  <c r="W37" i="15"/>
  <c r="W40" i="15" s="1"/>
  <c r="W44" i="15" s="1"/>
  <c r="W38" i="15"/>
  <c r="AI56" i="13" l="1"/>
  <c r="AI53" i="13"/>
  <c r="AI50" i="13"/>
  <c r="AJ56" i="13"/>
  <c r="AJ53" i="13"/>
  <c r="AJ50" i="13"/>
  <c r="W12" i="20"/>
  <c r="W49" i="15"/>
  <c r="W55" i="15"/>
  <c r="W41" i="15"/>
  <c r="W11" i="20"/>
  <c r="W136" i="15"/>
  <c r="W137" i="15" s="1"/>
  <c r="W140" i="15" s="1"/>
  <c r="W143" i="15" s="1"/>
  <c r="W45" i="15" l="1"/>
  <c r="W52" i="15"/>
  <c r="W53" i="15"/>
  <c r="W56" i="15"/>
  <c r="W50" i="15" l="1"/>
  <c r="W13" i="20"/>
  <c r="W4" i="16" l="1"/>
  <c r="AI61" i="14"/>
  <c r="W51" i="18"/>
  <c r="W54" i="18" l="1"/>
  <c r="W21" i="16"/>
  <c r="W18" i="20" l="1"/>
  <c r="W72" i="16"/>
  <c r="W77" i="16"/>
  <c r="W23" i="20" s="1"/>
  <c r="W74" i="16"/>
  <c r="W73" i="16"/>
  <c r="W58" i="18"/>
  <c r="W54" i="16"/>
  <c r="W21" i="20" l="1"/>
  <c r="X56" i="16"/>
  <c r="W57" i="16"/>
  <c r="W60" i="18"/>
  <c r="W20" i="20"/>
  <c r="AJ61" i="14" l="1"/>
  <c r="W60" i="16"/>
  <c r="AJ194" i="46"/>
  <c r="AK197" i="46" l="1"/>
  <c r="AO197" i="46"/>
  <c r="X197" i="45" s="1"/>
  <c r="W85" i="18"/>
  <c r="W5" i="18"/>
  <c r="W194" i="45"/>
  <c r="W12" i="18" l="1"/>
  <c r="W26" i="20"/>
  <c r="W106" i="18"/>
  <c r="W81" i="18"/>
  <c r="W28" i="20" s="1"/>
  <c r="W82" i="18"/>
  <c r="W61" i="16"/>
  <c r="W107" i="18" l="1"/>
  <c r="W37" i="20" s="1"/>
  <c r="W110" i="18"/>
  <c r="W29" i="20"/>
  <c r="W24" i="18"/>
  <c r="W61" i="18" s="1"/>
  <c r="W108" i="18" l="1"/>
  <c r="W120" i="18"/>
  <c r="W112" i="18"/>
  <c r="W114" i="18" l="1"/>
  <c r="W115" i="18" l="1"/>
  <c r="W116" i="18" l="1"/>
  <c r="W118" i="18"/>
  <c r="W117" i="18"/>
  <c r="CF51" i="17" l="1"/>
  <c r="W39" i="20"/>
  <c r="W40" i="20"/>
  <c r="AK61" i="14" l="1"/>
  <c r="CF5" i="17" l="1"/>
  <c r="AL61" i="14" l="1"/>
  <c r="AM61" i="14" l="1"/>
  <c r="X31" i="15" l="1"/>
  <c r="X64" i="16" l="1"/>
  <c r="X5" i="16" l="1"/>
  <c r="X81" i="15" l="1"/>
  <c r="AK9" i="13" l="1"/>
  <c r="AP10" i="13" l="1"/>
  <c r="AK64" i="17"/>
  <c r="AK65" i="17"/>
  <c r="AK72" i="17"/>
  <c r="AK73" i="17"/>
  <c r="AK68" i="17"/>
  <c r="AK71" i="17"/>
  <c r="AK74" i="17"/>
  <c r="AK69" i="14"/>
  <c r="AK98" i="13"/>
  <c r="AK10" i="13"/>
  <c r="AK93" i="13"/>
  <c r="AK94" i="13" s="1"/>
  <c r="AK83" i="13"/>
  <c r="AK97" i="13"/>
  <c r="AK112" i="13"/>
  <c r="AK29" i="13"/>
  <c r="X86" i="15" l="1"/>
  <c r="X87" i="15"/>
  <c r="X14" i="15" l="1"/>
  <c r="X3" i="15" l="1"/>
  <c r="X12" i="15" l="1"/>
  <c r="X24" i="10" l="1"/>
  <c r="AQ27" i="2" l="1"/>
  <c r="AO26" i="2"/>
  <c r="AL50" i="2"/>
  <c r="AL27" i="2"/>
  <c r="AL30" i="2"/>
  <c r="AL33" i="2"/>
  <c r="AQ34" i="2" s="1"/>
  <c r="AL51" i="2"/>
  <c r="AL38" i="2"/>
  <c r="AQ31" i="2" l="1"/>
  <c r="AN56" i="2"/>
  <c r="AO51" i="2"/>
  <c r="X51" i="10" s="1"/>
  <c r="AO50" i="2"/>
  <c r="X50" i="10" s="1"/>
  <c r="AO27" i="2"/>
  <c r="X27" i="10" s="1"/>
  <c r="X52" i="20" s="1"/>
  <c r="AO38" i="2"/>
  <c r="AO33" i="2"/>
  <c r="AO34" i="2" s="1"/>
  <c r="AO30" i="2"/>
  <c r="AL34" i="2"/>
  <c r="AL56" i="2"/>
  <c r="AM56" i="2"/>
  <c r="AL4" i="13"/>
  <c r="AL31" i="2"/>
  <c r="AL46" i="2"/>
  <c r="AQ47" i="2" s="1"/>
  <c r="AK56" i="2"/>
  <c r="X26" i="10"/>
  <c r="AO46" i="2" l="1"/>
  <c r="AO31" i="2"/>
  <c r="X31" i="10" s="1"/>
  <c r="AO56" i="2"/>
  <c r="AL47" i="2"/>
  <c r="X30" i="10"/>
  <c r="AO4" i="13"/>
  <c r="X51" i="20"/>
  <c r="AL9" i="13"/>
  <c r="AO47" i="2" l="1"/>
  <c r="X47" i="10" s="1"/>
  <c r="AQ10" i="13"/>
  <c r="AM57" i="2"/>
  <c r="Y44" i="10"/>
  <c r="X4" i="15"/>
  <c r="AK57" i="2"/>
  <c r="X44" i="10"/>
  <c r="AL57" i="2"/>
  <c r="AO13" i="13"/>
  <c r="AL64" i="17"/>
  <c r="AL65" i="17"/>
  <c r="AL71" i="17"/>
  <c r="AL74" i="17"/>
  <c r="AL72" i="17"/>
  <c r="AL73" i="17"/>
  <c r="AL68" i="17"/>
  <c r="AL69" i="14"/>
  <c r="AL93" i="13"/>
  <c r="AL94" i="13" s="1"/>
  <c r="AL98" i="13"/>
  <c r="AL83" i="13"/>
  <c r="AL97" i="13"/>
  <c r="AL112" i="13"/>
  <c r="AL29" i="13"/>
  <c r="AL10" i="13"/>
  <c r="AO57" i="2" l="1"/>
  <c r="AN13" i="13"/>
  <c r="X13" i="15"/>
  <c r="AO18" i="13"/>
  <c r="AO28" i="13" s="1"/>
  <c r="AO34" i="13" l="1"/>
  <c r="AO82" i="13"/>
  <c r="AN18" i="13"/>
  <c r="X8" i="18"/>
  <c r="X24" i="16"/>
  <c r="X70" i="16"/>
  <c r="X7" i="18"/>
  <c r="X18" i="15"/>
  <c r="X31" i="18"/>
  <c r="Y37" i="10"/>
  <c r="AO82" i="17" l="1"/>
  <c r="AN82" i="13"/>
  <c r="AN28" i="13"/>
  <c r="AO40" i="13"/>
  <c r="AO35" i="13"/>
  <c r="X35" i="15" s="1"/>
  <c r="AO38" i="13"/>
  <c r="X38" i="15" s="1"/>
  <c r="X89" i="15"/>
  <c r="X32" i="16"/>
  <c r="X28" i="15"/>
  <c r="X19" i="20"/>
  <c r="X38" i="10"/>
  <c r="X37" i="10"/>
  <c r="X11" i="20" l="1"/>
  <c r="X136" i="15"/>
  <c r="X137" i="15" s="1"/>
  <c r="X140" i="15" s="1"/>
  <c r="X143" i="15" s="1"/>
  <c r="AN82" i="17"/>
  <c r="AO41" i="13"/>
  <c r="X41" i="15" s="1"/>
  <c r="AO44" i="13"/>
  <c r="AN34" i="13"/>
  <c r="X33" i="10"/>
  <c r="X34" i="10"/>
  <c r="X85" i="15"/>
  <c r="X37" i="15"/>
  <c r="X8" i="20"/>
  <c r="X34" i="15"/>
  <c r="X82" i="15"/>
  <c r="X125" i="15"/>
  <c r="AN38" i="13" l="1"/>
  <c r="AN40" i="13"/>
  <c r="AN35" i="13"/>
  <c r="AO45" i="13"/>
  <c r="X45" i="15" s="1"/>
  <c r="AO55" i="13"/>
  <c r="AO52" i="13"/>
  <c r="AO49" i="13"/>
  <c r="X91" i="15"/>
  <c r="X16" i="16"/>
  <c r="X29" i="18"/>
  <c r="X36" i="10"/>
  <c r="X90" i="15"/>
  <c r="X9" i="18"/>
  <c r="X6" i="20"/>
  <c r="X17" i="18"/>
  <c r="X10" i="20"/>
  <c r="X40" i="15"/>
  <c r="X44" i="15" s="1"/>
  <c r="X30" i="18"/>
  <c r="X12" i="16"/>
  <c r="X11" i="16"/>
  <c r="AN41" i="13" l="1"/>
  <c r="AN44" i="13"/>
  <c r="AO56" i="13"/>
  <c r="AO53" i="13"/>
  <c r="AO50" i="13"/>
  <c r="X50" i="15" s="1"/>
  <c r="Y64" i="16"/>
  <c r="X22" i="18"/>
  <c r="X12" i="20"/>
  <c r="X52" i="15"/>
  <c r="X49" i="15"/>
  <c r="X55" i="15"/>
  <c r="X43" i="10"/>
  <c r="X43" i="18"/>
  <c r="X34" i="18"/>
  <c r="AN52" i="13" l="1"/>
  <c r="AN55" i="13"/>
  <c r="AN49" i="13"/>
  <c r="AN45" i="13"/>
  <c r="X48" i="10"/>
  <c r="X53" i="20"/>
  <c r="X46" i="10"/>
  <c r="X124" i="15"/>
  <c r="X13" i="20"/>
  <c r="X56" i="15"/>
  <c r="X53" i="15"/>
  <c r="AN56" i="13" l="1"/>
  <c r="AN53" i="13"/>
  <c r="AN50" i="13"/>
  <c r="X13" i="16"/>
  <c r="X15" i="16"/>
  <c r="X54" i="20"/>
  <c r="AS81" i="13" l="1"/>
  <c r="X51" i="18"/>
  <c r="X4" i="16"/>
  <c r="X54" i="18" l="1"/>
  <c r="AT81" i="13" l="1"/>
  <c r="Y5" i="16"/>
  <c r="X58" i="18"/>
  <c r="Y81" i="15" l="1"/>
  <c r="X60" i="18"/>
  <c r="X18" i="10" l="1"/>
  <c r="X19" i="10"/>
  <c r="AN61" i="14" l="1"/>
  <c r="AO61" i="14"/>
  <c r="X14" i="16"/>
  <c r="X17" i="16"/>
  <c r="X21" i="16"/>
  <c r="X54" i="16"/>
  <c r="X57" i="16"/>
  <c r="X60" i="16"/>
  <c r="X72" i="16"/>
  <c r="X73" i="16"/>
  <c r="X21" i="20" s="1"/>
  <c r="X74" i="16"/>
  <c r="X77" i="16"/>
  <c r="X23" i="20" s="1"/>
  <c r="Y56" i="16"/>
  <c r="X126" i="15" l="1"/>
  <c r="X18" i="20"/>
  <c r="X106" i="18"/>
  <c r="X20" i="20"/>
  <c r="X85" i="18"/>
  <c r="X5" i="18"/>
  <c r="X107" i="18" l="1"/>
  <c r="X37" i="20" s="1"/>
  <c r="X81" i="18"/>
  <c r="X28" i="20" s="1"/>
  <c r="X82" i="18"/>
  <c r="X61" i="16"/>
  <c r="X194" i="45"/>
  <c r="X26" i="20"/>
  <c r="X108" i="18" l="1"/>
  <c r="X110" i="18"/>
  <c r="X29" i="20"/>
  <c r="X120" i="18" l="1"/>
  <c r="X112" i="18"/>
  <c r="X114" i="18" l="1"/>
  <c r="X115" i="18" l="1"/>
  <c r="X118" i="18" l="1"/>
  <c r="X117" i="18"/>
  <c r="X116" i="18"/>
  <c r="X39" i="20" l="1"/>
  <c r="X40" i="20"/>
  <c r="X11" i="18"/>
  <c r="X12" i="18"/>
  <c r="X24" i="18"/>
  <c r="X61" i="18" s="1"/>
  <c r="AP61" i="14" l="1"/>
  <c r="AQ196" i="46"/>
  <c r="AQ192" i="46" s="1"/>
  <c r="AQ191" i="46" s="1"/>
  <c r="AQ61" i="14" l="1"/>
  <c r="AR196" i="46"/>
  <c r="AR192" i="46" s="1"/>
  <c r="AR191" i="46" s="1"/>
  <c r="AN9" i="13" l="1"/>
  <c r="AO9" i="13" l="1"/>
  <c r="AO29" i="13" s="1"/>
  <c r="X29" i="15" s="1"/>
  <c r="AN64" i="17"/>
  <c r="AN68" i="17"/>
  <c r="AN72" i="17"/>
  <c r="AN74" i="17"/>
  <c r="AN69" i="14"/>
  <c r="AN65" i="17"/>
  <c r="AN73" i="17"/>
  <c r="AN10" i="13"/>
  <c r="AN29" i="13"/>
  <c r="AN93" i="13"/>
  <c r="AN94" i="13" s="1"/>
  <c r="AN97" i="13"/>
  <c r="AN112" i="13"/>
  <c r="AN71" i="17"/>
  <c r="AN83" i="13"/>
  <c r="AN98" i="13"/>
  <c r="X5" i="15" l="1"/>
  <c r="AO10" i="13"/>
  <c r="X10" i="15" s="1"/>
  <c r="X5" i="20" s="1"/>
  <c r="AO69" i="14"/>
  <c r="X69" i="16" s="1"/>
  <c r="AO64" i="17"/>
  <c r="X64" i="18" s="1"/>
  <c r="AO65" i="17"/>
  <c r="X65" i="18" s="1"/>
  <c r="AO112" i="13"/>
  <c r="AO98" i="13"/>
  <c r="X98" i="15" s="1"/>
  <c r="AO93" i="13"/>
  <c r="AO94" i="13" s="1"/>
  <c r="AO97" i="13"/>
  <c r="X97" i="15" s="1"/>
  <c r="AO68" i="17"/>
  <c r="X68" i="18" s="1"/>
  <c r="AO74" i="17"/>
  <c r="X74" i="18" s="1"/>
  <c r="AO73" i="17"/>
  <c r="X73" i="18" s="1"/>
  <c r="AO71" i="17"/>
  <c r="X71" i="18" s="1"/>
  <c r="AO83" i="13"/>
  <c r="AO72" i="17"/>
  <c r="X72" i="18" s="1"/>
  <c r="X9" i="20"/>
  <c r="X9" i="15" l="1"/>
  <c r="X123" i="15" l="1"/>
  <c r="X111" i="15"/>
  <c r="X83" i="15"/>
  <c r="X7" i="20" s="1"/>
  <c r="X4" i="20"/>
  <c r="X93" i="15"/>
  <c r="X94" i="15" s="1"/>
  <c r="Y15" i="75" l="1"/>
  <c r="Y16" i="75"/>
  <c r="Z29" i="75" l="1"/>
  <c r="AT16" i="13"/>
  <c r="AS7" i="13"/>
  <c r="AP42" i="76"/>
  <c r="AT42" i="76" s="1"/>
  <c r="Y29" i="75"/>
  <c r="AS16" i="13" l="1"/>
  <c r="AX29" i="76"/>
  <c r="AY42" i="76"/>
  <c r="AX22" i="76"/>
  <c r="Y16" i="15"/>
  <c r="AT18" i="13"/>
  <c r="AT28" i="13" s="1"/>
  <c r="AT34" i="13" l="1"/>
  <c r="AY35" i="13" s="1"/>
  <c r="Z35" i="15" s="1"/>
  <c r="AT82" i="13"/>
  <c r="AS18" i="13"/>
  <c r="Y23" i="75"/>
  <c r="Y18" i="15"/>
  <c r="AS82" i="13" l="1"/>
  <c r="AT82" i="17"/>
  <c r="AT35" i="13"/>
  <c r="Y35" i="15" s="1"/>
  <c r="AT40" i="13"/>
  <c r="AY41" i="13" s="1"/>
  <c r="AT38" i="13"/>
  <c r="Y38" i="15" s="1"/>
  <c r="AS28" i="13"/>
  <c r="Y22" i="75"/>
  <c r="Z22" i="75"/>
  <c r="Y19" i="75"/>
  <c r="Z19" i="75"/>
  <c r="Y28" i="15"/>
  <c r="Y18" i="75"/>
  <c r="Y136" i="15" l="1"/>
  <c r="Y137" i="15" s="1"/>
  <c r="Y140" i="15" s="1"/>
  <c r="Y143" i="15" s="1"/>
  <c r="Y11" i="20"/>
  <c r="AT41" i="13"/>
  <c r="AT44" i="13"/>
  <c r="AY45" i="13" s="1"/>
  <c r="AS82" i="17"/>
  <c r="AS34" i="13"/>
  <c r="Y21" i="75"/>
  <c r="Y28" i="75" s="1"/>
  <c r="Y125" i="15"/>
  <c r="Y8" i="20"/>
  <c r="Y82" i="15"/>
  <c r="AX35" i="13" l="1"/>
  <c r="AT45" i="13"/>
  <c r="AT55" i="13"/>
  <c r="AT52" i="13"/>
  <c r="AT49" i="13"/>
  <c r="AY50" i="13" s="1"/>
  <c r="AS38" i="13"/>
  <c r="AS40" i="13"/>
  <c r="AX41" i="13" s="1"/>
  <c r="AS35" i="13"/>
  <c r="Y6" i="20"/>
  <c r="Y39" i="75"/>
  <c r="Y31" i="75"/>
  <c r="AT56" i="13" l="1"/>
  <c r="AT53" i="13"/>
  <c r="AT50" i="13"/>
  <c r="AS41" i="13"/>
  <c r="AS44" i="13"/>
  <c r="AX45" i="13" l="1"/>
  <c r="AS49" i="13"/>
  <c r="AX50" i="13" s="1"/>
  <c r="AS45" i="13"/>
  <c r="AS55" i="13"/>
  <c r="AS52" i="13"/>
  <c r="Y3" i="74"/>
  <c r="Y4" i="74"/>
  <c r="Y36" i="74"/>
  <c r="AS56" i="13" l="1"/>
  <c r="AS53" i="13"/>
  <c r="AS50" i="13"/>
  <c r="AB3" i="74" l="1"/>
  <c r="AC3" i="74" l="1"/>
  <c r="AD3" i="74" s="1"/>
  <c r="AE3" i="74" s="1"/>
  <c r="AF3" i="74" s="1"/>
  <c r="AH16" i="74" l="1"/>
  <c r="AK31" i="74" l="1"/>
  <c r="AL31" i="74" s="1"/>
  <c r="AH29" i="74"/>
  <c r="AJ52" i="74" l="1"/>
  <c r="AC12" i="74"/>
  <c r="AD12" i="74" s="1"/>
  <c r="AE12" i="74" s="1"/>
  <c r="AF12" i="74" s="1"/>
  <c r="AF37" i="74" l="1"/>
  <c r="AF16" i="74"/>
  <c r="AF36" i="74"/>
  <c r="AE16" i="74"/>
  <c r="AE37" i="74"/>
  <c r="AE36" i="74"/>
  <c r="AD37" i="74"/>
  <c r="AD16" i="74"/>
  <c r="AD36" i="74"/>
  <c r="AC16" i="74"/>
  <c r="AC3" i="15" s="1"/>
  <c r="AC37" i="74"/>
  <c r="AC36" i="74"/>
  <c r="AF3" i="15" l="1"/>
  <c r="AF17" i="74"/>
  <c r="AF29" i="74"/>
  <c r="AE3" i="15"/>
  <c r="AE29" i="74"/>
  <c r="AE17" i="74"/>
  <c r="AD3" i="15"/>
  <c r="AD29" i="74"/>
  <c r="AD17" i="74"/>
  <c r="AC17" i="74"/>
  <c r="AC29" i="74"/>
  <c r="AC12" i="15" s="1"/>
  <c r="AF12" i="15" l="1"/>
  <c r="AF39" i="74"/>
  <c r="AF30" i="74"/>
  <c r="AF22" i="74"/>
  <c r="AF34" i="74"/>
  <c r="AE12" i="15"/>
  <c r="AE39" i="74"/>
  <c r="AE34" i="74"/>
  <c r="AE30" i="74"/>
  <c r="AE22" i="74"/>
  <c r="AD12" i="15"/>
  <c r="AD39" i="74"/>
  <c r="AD30" i="74"/>
  <c r="AD22" i="74"/>
  <c r="AD34" i="74"/>
  <c r="AC22" i="74"/>
  <c r="AC30" i="74"/>
  <c r="AC34" i="74"/>
  <c r="AF23" i="74" l="1"/>
  <c r="AF24" i="74"/>
  <c r="AF19" i="74"/>
  <c r="AE23" i="74"/>
  <c r="AE24" i="74"/>
  <c r="AE19" i="74"/>
  <c r="AD23" i="74"/>
  <c r="AD24" i="74"/>
  <c r="AD19" i="74"/>
  <c r="AC24" i="74"/>
  <c r="AC23" i="74"/>
  <c r="AC19" i="74"/>
  <c r="AC20" i="74" s="1"/>
  <c r="AF20" i="74" l="1"/>
  <c r="AE20" i="74"/>
  <c r="AD20" i="74"/>
  <c r="AR112" i="13" l="1"/>
  <c r="Y102" i="15" l="1"/>
  <c r="Y103" i="15" s="1"/>
  <c r="Y104" i="15" s="1"/>
  <c r="AR61" i="14" l="1"/>
  <c r="Y31" i="15" l="1"/>
  <c r="Y34" i="15" l="1"/>
  <c r="Y10" i="20" l="1"/>
  <c r="Y37" i="15"/>
  <c r="Y41" i="15" l="1"/>
  <c r="Y40" i="15"/>
  <c r="Y44" i="15" s="1"/>
  <c r="Y49" i="15" l="1"/>
  <c r="Y55" i="15"/>
  <c r="Y12" i="20"/>
  <c r="Y52" i="15"/>
  <c r="Y45" i="15"/>
  <c r="Y53" i="15" l="1"/>
  <c r="Y56" i="15"/>
  <c r="Y50" i="15"/>
  <c r="Y13" i="20"/>
  <c r="Y124" i="15"/>
  <c r="Y4" i="16" l="1"/>
  <c r="Y51" i="18"/>
  <c r="Y54" i="18" l="1"/>
  <c r="Y58" i="18" l="1"/>
  <c r="W86" i="18" l="1"/>
  <c r="X86" i="18"/>
  <c r="W87" i="18"/>
  <c r="W32" i="20" s="1"/>
  <c r="X87" i="18"/>
  <c r="X32" i="20" s="1"/>
  <c r="W89" i="18"/>
  <c r="X89" i="18"/>
  <c r="W90" i="18"/>
  <c r="X90" i="18"/>
  <c r="W94" i="18"/>
  <c r="X94" i="18"/>
  <c r="W95" i="18"/>
  <c r="X95" i="18"/>
  <c r="W97" i="18"/>
  <c r="X97" i="18"/>
  <c r="W98" i="18"/>
  <c r="X98" i="18"/>
  <c r="W99" i="18"/>
  <c r="X99" i="18"/>
  <c r="W101" i="18"/>
  <c r="X101" i="18"/>
  <c r="W102" i="18"/>
  <c r="W34" i="20" s="1"/>
  <c r="X102" i="18"/>
  <c r="W103" i="18"/>
  <c r="W35" i="20" s="1"/>
  <c r="X103" i="18"/>
  <c r="X35" i="20" l="1"/>
  <c r="X34" i="20"/>
  <c r="BC16" i="2" l="1"/>
  <c r="Y11" i="18"/>
  <c r="Y8" i="18"/>
  <c r="Y24" i="16"/>
  <c r="Y70" i="16"/>
  <c r="Y31" i="18"/>
  <c r="Y7" i="18"/>
  <c r="Y19" i="20" l="1"/>
  <c r="Y32" i="16"/>
  <c r="Y12" i="16"/>
  <c r="Y16" i="16"/>
  <c r="Y14" i="16"/>
  <c r="Y11" i="16" l="1"/>
  <c r="Y17" i="18" l="1"/>
  <c r="Y87" i="15"/>
  <c r="Y89" i="15"/>
  <c r="Y86" i="15" l="1"/>
  <c r="Y22" i="18"/>
  <c r="Y85" i="15"/>
  <c r="Y91" i="15" l="1"/>
  <c r="Y30" i="18"/>
  <c r="Y29" i="18"/>
  <c r="Y90" i="15"/>
  <c r="Y9" i="18"/>
  <c r="Y15" i="16" l="1"/>
  <c r="Y34" i="18"/>
  <c r="Y13" i="16" l="1"/>
  <c r="Y43" i="18"/>
  <c r="Y60" i="18" l="1"/>
  <c r="Y17" i="16" l="1"/>
  <c r="Y21" i="16" l="1"/>
  <c r="Y54" i="16" l="1"/>
  <c r="Y18" i="20"/>
  <c r="Y72" i="16"/>
  <c r="Y73" i="16"/>
  <c r="Y21" i="20" s="1"/>
  <c r="Y77" i="16"/>
  <c r="Y23" i="20" s="1"/>
  <c r="Y74" i="16"/>
  <c r="Y20" i="20" l="1"/>
  <c r="Y126" i="15"/>
  <c r="Y57" i="16"/>
  <c r="Z56" i="16"/>
  <c r="Y60" i="16" l="1"/>
  <c r="AU196" i="46"/>
  <c r="AU192" i="46" s="1"/>
  <c r="AU191" i="46" s="1"/>
  <c r="Y5" i="18" l="1"/>
  <c r="Y85" i="18"/>
  <c r="Y81" i="18" l="1"/>
  <c r="Y28" i="20" s="1"/>
  <c r="Y82" i="18"/>
  <c r="Y194" i="45"/>
  <c r="Y26" i="20"/>
  <c r="Y61" i="16"/>
  <c r="Y12" i="18"/>
  <c r="Y106" i="18"/>
  <c r="Y24" i="18" l="1"/>
  <c r="Y107" i="18"/>
  <c r="Y37" i="20" s="1"/>
  <c r="Y110" i="18"/>
  <c r="Y29" i="20"/>
  <c r="Y112" i="18" l="1"/>
  <c r="Y108" i="18"/>
  <c r="Y120" i="18"/>
  <c r="Y62" i="18"/>
  <c r="Y61" i="18"/>
  <c r="Y114" i="18" l="1"/>
  <c r="Y115" i="18" l="1"/>
  <c r="Y116" i="18" l="1"/>
  <c r="Y118" i="18"/>
  <c r="Y117" i="18"/>
  <c r="Y39" i="20" l="1"/>
  <c r="Y40" i="20"/>
  <c r="Y86" i="18" l="1"/>
  <c r="Y87" i="18"/>
  <c r="Y89" i="18"/>
  <c r="Y90" i="18"/>
  <c r="Y94" i="18"/>
  <c r="Y95" i="18"/>
  <c r="Y97" i="18"/>
  <c r="Y98" i="18"/>
  <c r="Y99" i="18"/>
  <c r="Y101" i="18"/>
  <c r="Y102" i="18"/>
  <c r="Y103" i="18"/>
  <c r="Y35" i="20" l="1"/>
  <c r="Y32" i="20"/>
  <c r="Y34" i="20"/>
  <c r="AS61" i="46" l="1"/>
  <c r="AS65" i="46"/>
  <c r="AT61" i="46" l="1"/>
  <c r="AT62" i="46" s="1"/>
  <c r="AT65" i="46" s="1"/>
  <c r="Y61" i="45" l="1"/>
  <c r="Y62" i="45" s="1"/>
  <c r="Y65" i="45" s="1"/>
  <c r="AU65" i="46"/>
  <c r="AT22" i="2" l="1"/>
  <c r="Y22" i="10" s="1"/>
  <c r="AS21" i="2"/>
  <c r="Y21" i="10"/>
  <c r="AP55" i="2"/>
  <c r="AQ55" i="2"/>
  <c r="AR55" i="2"/>
  <c r="AS55" i="2" l="1"/>
  <c r="AT55" i="2" s="1"/>
  <c r="AS26" i="2"/>
  <c r="AS18" i="2"/>
  <c r="AS22" i="2"/>
  <c r="AT18" i="2" l="1"/>
  <c r="AS19" i="2"/>
  <c r="AT19" i="2" l="1"/>
  <c r="Y19" i="10" s="1"/>
  <c r="Y18" i="10"/>
  <c r="AV57" i="2" l="1"/>
  <c r="AU57" i="2"/>
  <c r="Z44" i="10"/>
  <c r="AW57" i="2"/>
  <c r="Z13" i="15" l="1"/>
  <c r="AX57" i="2"/>
  <c r="AY57" i="2" s="1"/>
  <c r="Z18" i="15" l="1"/>
  <c r="Z37" i="10" l="1"/>
  <c r="Z28" i="15"/>
  <c r="Z8" i="20" l="1"/>
  <c r="Z125" i="15"/>
  <c r="AS33" i="2" l="1"/>
  <c r="AS30" i="2"/>
  <c r="AS50" i="2"/>
  <c r="AS51" i="2"/>
  <c r="AS38" i="2"/>
  <c r="AS27" i="2"/>
  <c r="AT26" i="2"/>
  <c r="AS34" i="2" l="1"/>
  <c r="AT27" i="2"/>
  <c r="Y27" i="10" s="1"/>
  <c r="Y52" i="20" s="1"/>
  <c r="AR56" i="2"/>
  <c r="AQ56" i="2"/>
  <c r="AT38" i="2"/>
  <c r="Y38" i="10" s="1"/>
  <c r="AP56" i="2"/>
  <c r="AT50" i="2"/>
  <c r="Y50" i="10" s="1"/>
  <c r="AT51" i="2"/>
  <c r="Y51" i="10" s="1"/>
  <c r="AT30" i="2"/>
  <c r="AS46" i="2"/>
  <c r="AS31" i="2"/>
  <c r="AT33" i="2"/>
  <c r="AS56" i="2"/>
  <c r="Y26" i="10"/>
  <c r="AS4" i="13"/>
  <c r="AS47" i="2" l="1"/>
  <c r="Y33" i="10"/>
  <c r="Y36" i="10" s="1"/>
  <c r="Y43" i="10" s="1"/>
  <c r="AT34" i="2"/>
  <c r="Y34" i="10" s="1"/>
  <c r="Y51" i="20"/>
  <c r="AT31" i="2"/>
  <c r="Y31" i="10" s="1"/>
  <c r="Y30" i="10"/>
  <c r="AT46" i="2"/>
  <c r="AT4" i="13"/>
  <c r="AS9" i="13"/>
  <c r="AT56" i="2"/>
  <c r="AT47" i="2" l="1"/>
  <c r="Y47" i="10" s="1"/>
  <c r="AT9" i="13"/>
  <c r="Y4" i="15"/>
  <c r="Y46" i="10"/>
  <c r="Y54" i="20" s="1"/>
  <c r="Y48" i="10"/>
  <c r="Y53" i="20"/>
  <c r="AS98" i="13"/>
  <c r="AS64" i="17"/>
  <c r="AS72" i="17"/>
  <c r="AS10" i="13"/>
  <c r="AS68" i="17"/>
  <c r="AS69" i="14"/>
  <c r="AS74" i="17"/>
  <c r="AS73" i="17"/>
  <c r="AS97" i="13"/>
  <c r="AS83" i="13"/>
  <c r="AS71" i="17"/>
  <c r="AS65" i="17"/>
  <c r="AS112" i="13"/>
  <c r="AS29" i="13"/>
  <c r="AS93" i="13"/>
  <c r="AS94" i="13" s="1"/>
  <c r="Y9" i="15" l="1"/>
  <c r="AT73" i="17"/>
  <c r="Y73" i="18" s="1"/>
  <c r="AT93" i="13"/>
  <c r="AT94" i="13" s="1"/>
  <c r="AT69" i="14"/>
  <c r="Y69" i="16" s="1"/>
  <c r="AT65" i="17"/>
  <c r="Y65" i="18" s="1"/>
  <c r="AT97" i="13"/>
  <c r="Y97" i="15" s="1"/>
  <c r="AT29" i="13"/>
  <c r="Y29" i="15" s="1"/>
  <c r="AT10" i="13"/>
  <c r="Y10" i="15" s="1"/>
  <c r="Y5" i="20" s="1"/>
  <c r="AT98" i="13"/>
  <c r="Y98" i="15" s="1"/>
  <c r="AT72" i="17"/>
  <c r="Y72" i="18" s="1"/>
  <c r="AT83" i="13"/>
  <c r="AT112" i="13"/>
  <c r="AT68" i="17"/>
  <c r="Y68" i="18" s="1"/>
  <c r="AT71" i="17"/>
  <c r="Y71" i="18" s="1"/>
  <c r="AT64" i="17"/>
  <c r="Y64" i="18" s="1"/>
  <c r="AT74" i="17"/>
  <c r="Y74" i="18" s="1"/>
  <c r="Y111" i="15" l="1"/>
  <c r="Y93" i="15"/>
  <c r="Y83" i="15"/>
  <c r="Y7" i="20" s="1"/>
  <c r="Y123" i="15"/>
  <c r="Y4" i="20"/>
  <c r="Y9" i="20"/>
  <c r="Y94" i="15" l="1"/>
  <c r="AX11" i="76" l="1"/>
  <c r="AU12" i="76"/>
  <c r="AU15" i="76"/>
  <c r="AZ16" i="76" s="1"/>
  <c r="AU18" i="76"/>
  <c r="AZ19" i="76" s="1"/>
  <c r="AU23" i="76"/>
  <c r="AU35" i="76"/>
  <c r="AU36" i="76"/>
  <c r="AU41" i="76"/>
  <c r="AU7" i="13" l="1"/>
  <c r="AU9" i="13" s="1"/>
  <c r="AZ10" i="13" s="1"/>
  <c r="AX12" i="76"/>
  <c r="AU19" i="76"/>
  <c r="AX41" i="76"/>
  <c r="AY41" i="76" s="1"/>
  <c r="AX18" i="76"/>
  <c r="AX35" i="76"/>
  <c r="AX36" i="76"/>
  <c r="AX23" i="76"/>
  <c r="AU31" i="76"/>
  <c r="AZ32" i="76" s="1"/>
  <c r="AU16" i="76"/>
  <c r="AU69" i="14" l="1"/>
  <c r="AU97" i="13"/>
  <c r="AU83" i="13"/>
  <c r="AU74" i="17"/>
  <c r="AU93" i="13"/>
  <c r="AU94" i="13" s="1"/>
  <c r="AU64" i="17"/>
  <c r="AU98" i="13"/>
  <c r="AU72" i="17"/>
  <c r="AU71" i="17"/>
  <c r="AU29" i="13"/>
  <c r="AU10" i="13"/>
  <c r="AU68" i="17"/>
  <c r="AU73" i="17"/>
  <c r="AU65" i="17"/>
  <c r="AU32" i="76"/>
  <c r="AX19" i="76"/>
  <c r="AU112" i="13"/>
  <c r="AV82" i="17" l="1"/>
  <c r="AV196" i="46" l="1"/>
  <c r="AV62" i="46" l="1"/>
  <c r="AV61" i="46" s="1"/>
  <c r="AV63" i="46"/>
  <c r="AV64" i="46"/>
  <c r="AV65" i="46" l="1"/>
  <c r="AW65" i="46"/>
  <c r="AA63" i="45" l="1"/>
  <c r="AA33" i="18"/>
  <c r="AV194" i="46" l="1"/>
  <c r="AW196" i="46" s="1"/>
  <c r="AW192" i="46" s="1"/>
  <c r="AW191" i="46" s="1"/>
  <c r="BG63" i="46" l="1"/>
  <c r="AV192" i="46"/>
  <c r="Z31" i="15"/>
  <c r="BG33" i="17" l="1"/>
  <c r="BH63" i="46"/>
  <c r="Z34" i="15"/>
  <c r="AV191" i="46"/>
  <c r="BI63" i="46" l="1"/>
  <c r="AB63" i="45" s="1"/>
  <c r="BH33" i="17"/>
  <c r="Z37" i="15"/>
  <c r="Z10" i="20"/>
  <c r="BI33" i="17" l="1"/>
  <c r="AB33" i="18" s="1"/>
  <c r="Z41" i="15"/>
  <c r="Z40" i="15"/>
  <c r="Z44" i="15" s="1"/>
  <c r="Z50" i="15" l="1"/>
  <c r="Z55" i="15"/>
  <c r="Z12" i="20"/>
  <c r="Z49" i="15"/>
  <c r="Z56" i="15" s="1"/>
  <c r="Z45" i="15"/>
  <c r="Z52" i="15"/>
  <c r="Z13" i="20" s="1"/>
  <c r="Z53" i="15" l="1"/>
  <c r="Z124" i="15"/>
  <c r="Z51" i="18" l="1"/>
  <c r="Z4" i="16"/>
  <c r="Z54" i="18" l="1"/>
  <c r="Z58" i="18" l="1"/>
  <c r="Z14" i="75" l="1"/>
  <c r="AX14" i="76"/>
  <c r="AY15" i="76"/>
  <c r="BD44" i="76" l="1"/>
  <c r="BD16" i="76"/>
  <c r="AY44" i="76"/>
  <c r="AY7" i="13"/>
  <c r="AX15" i="76"/>
  <c r="AX7" i="13" s="1"/>
  <c r="AA16" i="75"/>
  <c r="AY31" i="76"/>
  <c r="BD32" i="76" s="1"/>
  <c r="AY16" i="76"/>
  <c r="Z16" i="75" s="1"/>
  <c r="Z15" i="75"/>
  <c r="Z7" i="15" l="1"/>
  <c r="AX16" i="76"/>
  <c r="AX31" i="76"/>
  <c r="Z31" i="75"/>
  <c r="AA39" i="75"/>
  <c r="Z39" i="75"/>
  <c r="AA32" i="75"/>
  <c r="AY32" i="76"/>
  <c r="Z32" i="75" s="1"/>
  <c r="Z8" i="18" l="1"/>
  <c r="Z31" i="18"/>
  <c r="AX32" i="76"/>
  <c r="Z7" i="18"/>
  <c r="Z11" i="18"/>
  <c r="Z89" i="15" l="1"/>
  <c r="Z87" i="15"/>
  <c r="Z14" i="16" l="1"/>
  <c r="Z86" i="15"/>
  <c r="Z16" i="16"/>
  <c r="Z11" i="16"/>
  <c r="Z12" i="16"/>
  <c r="Z85" i="15"/>
  <c r="Z17" i="18"/>
  <c r="AA64" i="16" l="1"/>
  <c r="Z9" i="18"/>
  <c r="Z30" i="18"/>
  <c r="Z90" i="15"/>
  <c r="Z91" i="15"/>
  <c r="Z22" i="18"/>
  <c r="Z29" i="18"/>
  <c r="Z15" i="16" l="1"/>
  <c r="Z13" i="16"/>
  <c r="Z17" i="16" l="1"/>
  <c r="Z5" i="18" l="1"/>
  <c r="Z26" i="20" s="1"/>
  <c r="Z12" i="18"/>
  <c r="Z24" i="18"/>
  <c r="Z28" i="18"/>
  <c r="Z33" i="18"/>
  <c r="Z34" i="18"/>
  <c r="Z37" i="18"/>
  <c r="Z41" i="18"/>
  <c r="Z43" i="18"/>
  <c r="Z60" i="18"/>
  <c r="Z80" i="18"/>
  <c r="Z27" i="20" s="1"/>
  <c r="Z81" i="18"/>
  <c r="Z28" i="20" s="1"/>
  <c r="Z85" i="18"/>
  <c r="Z86" i="18"/>
  <c r="Z87" i="18"/>
  <c r="Z89" i="18"/>
  <c r="Z90" i="18"/>
  <c r="Z94" i="18"/>
  <c r="Z95" i="18"/>
  <c r="Z97" i="18"/>
  <c r="Z98" i="18"/>
  <c r="Z99" i="18"/>
  <c r="Z101" i="18"/>
  <c r="Z102" i="18"/>
  <c r="Z103" i="18"/>
  <c r="Z35" i="20" s="1"/>
  <c r="Z106" i="18"/>
  <c r="Z107" i="18"/>
  <c r="Z37" i="20" s="1"/>
  <c r="Z108" i="18"/>
  <c r="Z110" i="18"/>
  <c r="Z112" i="18"/>
  <c r="Z114" i="18"/>
  <c r="Z115" i="18"/>
  <c r="Z116" i="18"/>
  <c r="Z117" i="18"/>
  <c r="Z118" i="18"/>
  <c r="Z120" i="18"/>
  <c r="Z194" i="45"/>
  <c r="AX62" i="46"/>
  <c r="AX63" i="46"/>
  <c r="AY64" i="46"/>
  <c r="Z64" i="45" s="1"/>
  <c r="Z39" i="20" l="1"/>
  <c r="Z34" i="20"/>
  <c r="Z40" i="20"/>
  <c r="Z32" i="20"/>
  <c r="AX65" i="46"/>
  <c r="AX61" i="46"/>
  <c r="AY61" i="46" s="1"/>
  <c r="Z61" i="18"/>
  <c r="Z62" i="18"/>
  <c r="AY63" i="46"/>
  <c r="Z63" i="45" s="1"/>
  <c r="Z38" i="16"/>
  <c r="Z61" i="45" l="1"/>
  <c r="Z62" i="45" s="1"/>
  <c r="Z65" i="45" s="1"/>
  <c r="AY62" i="46"/>
  <c r="AY65" i="46" s="1"/>
  <c r="Z44" i="16"/>
  <c r="AA64" i="45" l="1"/>
  <c r="AA61" i="45"/>
  <c r="AA37" i="18" l="1"/>
  <c r="AA28" i="18"/>
  <c r="AA62" i="45"/>
  <c r="AA65" i="45" s="1"/>
  <c r="BG62" i="46" l="1"/>
  <c r="BF41" i="17"/>
  <c r="BG64" i="46"/>
  <c r="BF44" i="14"/>
  <c r="AA38" i="16"/>
  <c r="AA80" i="18"/>
  <c r="AA27" i="20" s="1"/>
  <c r="AA41" i="18"/>
  <c r="BG65" i="46" l="1"/>
  <c r="BG37" i="17" s="1"/>
  <c r="BG41" i="17" s="1"/>
  <c r="BH64" i="46"/>
  <c r="BG28" i="17"/>
  <c r="BI61" i="46"/>
  <c r="BH62" i="46"/>
  <c r="AA44" i="16"/>
  <c r="BI62" i="46" l="1"/>
  <c r="AB61" i="45"/>
  <c r="BH65" i="46"/>
  <c r="BH37" i="17" s="1"/>
  <c r="BH41" i="17" s="1"/>
  <c r="BG34" i="17"/>
  <c r="BG43" i="17" s="1"/>
  <c r="BG38" i="14"/>
  <c r="BG44" i="14" s="1"/>
  <c r="BI64" i="46"/>
  <c r="BH28" i="17"/>
  <c r="BH80" i="17" s="1"/>
  <c r="BG80" i="17"/>
  <c r="BI37" i="17" l="1"/>
  <c r="AB37" i="18" s="1"/>
  <c r="BI65" i="46"/>
  <c r="AB64" i="45"/>
  <c r="AC64" i="45" s="1"/>
  <c r="AB62" i="45"/>
  <c r="AB65" i="45" s="1"/>
  <c r="AC61" i="45"/>
  <c r="BI28" i="17"/>
  <c r="AB28" i="18" s="1"/>
  <c r="BH38" i="14"/>
  <c r="BI41" i="17"/>
  <c r="AB41" i="18" s="1"/>
  <c r="BI80" i="17"/>
  <c r="AB80" i="18" s="1"/>
  <c r="AC62" i="45" l="1"/>
  <c r="AC65" i="45" s="1"/>
  <c r="AC37" i="18" s="1"/>
  <c r="AD61" i="45"/>
  <c r="AD64" i="45"/>
  <c r="AC28" i="18"/>
  <c r="AB205" i="45"/>
  <c r="AB27" i="20"/>
  <c r="BI38" i="14"/>
  <c r="BH44" i="14"/>
  <c r="Z5" i="16"/>
  <c r="Z81" i="15" s="1"/>
  <c r="Z82" i="15" s="1"/>
  <c r="Z21" i="16"/>
  <c r="Z18" i="20" s="1"/>
  <c r="Z24" i="16"/>
  <c r="Z32" i="16"/>
  <c r="Z54" i="16"/>
  <c r="Z57" i="16"/>
  <c r="Z60" i="16"/>
  <c r="Z61" i="16" s="1"/>
  <c r="AA56" i="16"/>
  <c r="AX64" i="14"/>
  <c r="AY64" i="14" s="1"/>
  <c r="AX70" i="14"/>
  <c r="AY70" i="14"/>
  <c r="Z70" i="16" s="1"/>
  <c r="AX72" i="14"/>
  <c r="AY72" i="14"/>
  <c r="AX194" i="46"/>
  <c r="AY194" i="46"/>
  <c r="AZ196" i="46" s="1"/>
  <c r="AZ192" i="46" s="1"/>
  <c r="AZ191" i="46" s="1"/>
  <c r="AX81" i="13"/>
  <c r="AY81" i="13"/>
  <c r="AY82" i="13" s="1"/>
  <c r="Z19" i="20" l="1"/>
  <c r="AE64" i="45"/>
  <c r="AD28" i="18"/>
  <c r="AD62" i="45"/>
  <c r="AD65" i="45" s="1"/>
  <c r="AD37" i="18" s="1"/>
  <c r="AE61" i="45"/>
  <c r="AC80" i="18"/>
  <c r="AC205" i="45" s="1"/>
  <c r="AC41" i="18"/>
  <c r="BI44" i="14"/>
  <c r="AB44" i="16" s="1"/>
  <c r="AB38" i="16"/>
  <c r="AX77" i="14"/>
  <c r="AY73" i="14"/>
  <c r="Z73" i="16" s="1"/>
  <c r="Z21" i="20" s="1"/>
  <c r="AY74" i="14"/>
  <c r="Z74" i="16" s="1"/>
  <c r="AY77" i="14"/>
  <c r="Z77" i="16" s="1"/>
  <c r="Z23" i="20" s="1"/>
  <c r="AX73" i="14"/>
  <c r="Z6" i="20"/>
  <c r="AY82" i="17"/>
  <c r="Z82" i="18" s="1"/>
  <c r="AX82" i="13"/>
  <c r="AY65" i="14"/>
  <c r="Z65" i="16" s="1"/>
  <c r="Z64" i="16"/>
  <c r="AX74" i="14"/>
  <c r="AX65" i="14"/>
  <c r="Z72" i="16"/>
  <c r="AE62" i="45" l="1"/>
  <c r="AE65" i="45" s="1"/>
  <c r="AE37" i="18" s="1"/>
  <c r="AF61" i="45"/>
  <c r="AF62" i="45" s="1"/>
  <c r="AD80" i="18"/>
  <c r="AD205" i="45" s="1"/>
  <c r="AD41" i="18"/>
  <c r="AE28" i="18"/>
  <c r="AF64" i="45"/>
  <c r="AF28" i="18" s="1"/>
  <c r="Z29" i="20"/>
  <c r="Z20" i="20"/>
  <c r="Z126" i="15"/>
  <c r="AX82" i="17"/>
  <c r="AF65" i="45" l="1"/>
  <c r="AF37" i="18" s="1"/>
  <c r="AE41" i="18"/>
  <c r="AE80" i="18"/>
  <c r="AF205" i="45" l="1"/>
  <c r="AE205" i="45"/>
  <c r="AF80" i="18"/>
  <c r="AF41" i="18"/>
  <c r="AZ61" i="14" l="1"/>
  <c r="Z21" i="10" l="1"/>
  <c r="AX21" i="2"/>
  <c r="AY22" i="2"/>
  <c r="Z22" i="10" s="1"/>
  <c r="AU55" i="2"/>
  <c r="AV55" i="2"/>
  <c r="AW55" i="2"/>
  <c r="AX22" i="2" l="1"/>
  <c r="BC22" i="2"/>
  <c r="AX26" i="2"/>
  <c r="AY26" i="2" s="1"/>
  <c r="AU56" i="2" s="1"/>
  <c r="AZ55" i="2"/>
  <c r="AA21" i="10"/>
  <c r="AX18" i="2"/>
  <c r="BB55" i="2"/>
  <c r="AX55" i="2"/>
  <c r="AY55" i="2" s="1"/>
  <c r="AX27" i="2" l="1"/>
  <c r="AW56" i="2"/>
  <c r="AV56" i="2"/>
  <c r="AY38" i="2"/>
  <c r="Z38" i="10" s="1"/>
  <c r="AY33" i="2"/>
  <c r="AY34" i="2" s="1"/>
  <c r="Z34" i="10" s="1"/>
  <c r="AY30" i="2"/>
  <c r="Z30" i="10" s="1"/>
  <c r="AY27" i="2"/>
  <c r="Z27" i="10" s="1"/>
  <c r="Z52" i="20" s="1"/>
  <c r="AX30" i="2"/>
  <c r="AX46" i="2" s="1"/>
  <c r="AX47" i="2" s="1"/>
  <c r="AX33" i="2"/>
  <c r="AX34" i="2" s="1"/>
  <c r="AX50" i="2"/>
  <c r="AX51" i="2"/>
  <c r="AX56" i="2"/>
  <c r="AY50" i="2"/>
  <c r="Z50" i="10" s="1"/>
  <c r="AY51" i="2"/>
  <c r="Z51" i="10" s="1"/>
  <c r="Z26" i="10"/>
  <c r="AX38" i="2"/>
  <c r="AC21" i="10"/>
  <c r="AY4" i="13"/>
  <c r="AY46" i="2"/>
  <c r="AY48" i="2"/>
  <c r="AX19" i="2"/>
  <c r="AY18" i="2"/>
  <c r="Z51" i="20"/>
  <c r="AY56" i="2" l="1"/>
  <c r="AY31" i="2"/>
  <c r="Z31" i="10" s="1"/>
  <c r="Z33" i="10"/>
  <c r="Z36" i="10" s="1"/>
  <c r="Z43" i="10" s="1"/>
  <c r="AX4" i="13"/>
  <c r="AX31" i="2"/>
  <c r="AX9" i="13"/>
  <c r="AX74" i="17" s="1"/>
  <c r="Z53" i="20"/>
  <c r="Z48" i="10"/>
  <c r="Z46" i="10"/>
  <c r="Z54" i="20" s="1"/>
  <c r="Z18" i="10"/>
  <c r="AY19" i="2"/>
  <c r="Z19" i="10" s="1"/>
  <c r="AY47" i="2"/>
  <c r="Z47" i="10" s="1"/>
  <c r="AB51" i="20"/>
  <c r="AC26" i="10"/>
  <c r="AC51" i="10" s="1"/>
  <c r="AC18" i="10"/>
  <c r="AD21" i="10"/>
  <c r="Z4" i="15"/>
  <c r="AY9" i="13"/>
  <c r="AX65" i="17" l="1"/>
  <c r="AX64" i="17"/>
  <c r="AX72" i="17"/>
  <c r="AX98" i="13"/>
  <c r="AX112" i="13"/>
  <c r="AX93" i="13"/>
  <c r="AX94" i="13" s="1"/>
  <c r="AX83" i="13"/>
  <c r="AX29" i="13"/>
  <c r="AX97" i="13"/>
  <c r="AX10" i="13"/>
  <c r="AX69" i="14"/>
  <c r="AX71" i="17"/>
  <c r="AX73" i="17"/>
  <c r="AX68" i="17"/>
  <c r="AY64" i="17"/>
  <c r="Z64" i="18" s="1"/>
  <c r="AY68" i="17"/>
  <c r="Z68" i="18" s="1"/>
  <c r="AY71" i="17"/>
  <c r="Z71" i="18" s="1"/>
  <c r="AY65" i="17"/>
  <c r="Z65" i="18" s="1"/>
  <c r="AY72" i="17"/>
  <c r="Z72" i="18" s="1"/>
  <c r="AY73" i="17"/>
  <c r="Z73" i="18" s="1"/>
  <c r="AY74" i="17"/>
  <c r="Z74" i="18" s="1"/>
  <c r="AY69" i="14"/>
  <c r="Z69" i="16" s="1"/>
  <c r="AY29" i="13"/>
  <c r="Z29" i="15" s="1"/>
  <c r="AY10" i="13"/>
  <c r="Z10" i="15" s="1"/>
  <c r="Z5" i="20" s="1"/>
  <c r="AY98" i="13"/>
  <c r="Z98" i="15" s="1"/>
  <c r="AY97" i="13"/>
  <c r="Z97" i="15" s="1"/>
  <c r="AY83" i="13"/>
  <c r="AY93" i="13"/>
  <c r="AY94" i="13" s="1"/>
  <c r="AY112" i="13"/>
  <c r="AD26" i="10"/>
  <c r="AD51" i="10" s="1"/>
  <c r="AD18" i="10"/>
  <c r="AD19" i="10" s="1"/>
  <c r="AE21" i="10"/>
  <c r="AF21" i="10" s="1"/>
  <c r="Z9" i="15"/>
  <c r="AC30" i="10"/>
  <c r="AC50" i="10"/>
  <c r="AC27" i="10"/>
  <c r="AC4" i="15"/>
  <c r="AF18" i="10" l="1"/>
  <c r="AF26" i="10"/>
  <c r="AF51" i="10" s="1"/>
  <c r="AB53" i="20"/>
  <c r="Z4" i="20"/>
  <c r="Z83" i="15"/>
  <c r="Z7" i="20" s="1"/>
  <c r="Z93" i="15"/>
  <c r="Z111" i="15"/>
  <c r="Z123" i="15"/>
  <c r="AD30" i="10"/>
  <c r="AD50" i="10"/>
  <c r="AD27" i="10"/>
  <c r="AD4" i="15"/>
  <c r="AC9" i="15"/>
  <c r="AC31" i="10"/>
  <c r="AC43" i="10"/>
  <c r="AE26" i="10"/>
  <c r="AE51" i="10" s="1"/>
  <c r="AE18" i="10"/>
  <c r="AE19" i="10" s="1"/>
  <c r="AB4" i="20"/>
  <c r="AB123" i="15"/>
  <c r="Z9" i="20"/>
  <c r="AF4" i="15" l="1"/>
  <c r="AF27" i="10"/>
  <c r="AF30" i="10"/>
  <c r="AF50" i="10"/>
  <c r="AF19" i="10"/>
  <c r="AC31" i="18"/>
  <c r="AC16" i="16" s="1"/>
  <c r="AK69" i="18" s="1"/>
  <c r="AC11" i="18"/>
  <c r="AC14" i="16" s="1"/>
  <c r="AK67" i="18" s="1"/>
  <c r="AC7" i="18"/>
  <c r="AC8" i="18"/>
  <c r="AC12" i="16" s="1"/>
  <c r="AK65" i="18" s="1"/>
  <c r="AC74" i="18"/>
  <c r="AC24" i="16"/>
  <c r="AC93" i="15"/>
  <c r="AC10" i="15"/>
  <c r="AC86" i="15"/>
  <c r="AC123" i="15"/>
  <c r="AC87" i="15"/>
  <c r="AC44" i="10"/>
  <c r="AC36" i="10"/>
  <c r="AC48" i="10"/>
  <c r="AC13" i="15"/>
  <c r="Z94" i="15"/>
  <c r="AE27" i="10"/>
  <c r="AE30" i="10"/>
  <c r="AE50" i="10"/>
  <c r="AE4" i="15"/>
  <c r="AD9" i="15"/>
  <c r="AD31" i="10"/>
  <c r="AD43" i="10"/>
  <c r="AB19" i="20"/>
  <c r="AF9" i="15" l="1"/>
  <c r="AF43" i="10"/>
  <c r="AF31" i="10"/>
  <c r="AD48" i="10"/>
  <c r="AD44" i="10"/>
  <c r="AD36" i="10"/>
  <c r="AD13" i="15"/>
  <c r="AD8" i="18"/>
  <c r="AD74" i="18"/>
  <c r="AD31" i="18"/>
  <c r="AD16" i="16" s="1"/>
  <c r="AL69" i="18" s="1"/>
  <c r="AD11" i="18"/>
  <c r="AD14" i="16" s="1"/>
  <c r="AL67" i="18" s="1"/>
  <c r="AD7" i="18"/>
  <c r="AD24" i="16"/>
  <c r="AD87" i="15"/>
  <c r="AD93" i="15"/>
  <c r="AD10" i="15"/>
  <c r="AD86" i="15"/>
  <c r="AD123" i="15"/>
  <c r="AE31" i="10"/>
  <c r="AE43" i="10"/>
  <c r="AC38" i="10"/>
  <c r="AC37" i="10"/>
  <c r="AC33" i="10"/>
  <c r="AC34" i="10" s="1"/>
  <c r="AC32" i="16"/>
  <c r="AE9" i="15"/>
  <c r="AC85" i="15"/>
  <c r="AC18" i="15"/>
  <c r="AC11" i="16"/>
  <c r="AF31" i="18" l="1"/>
  <c r="AF87" i="15"/>
  <c r="AF74" i="18"/>
  <c r="AF86" i="15"/>
  <c r="AF8" i="18"/>
  <c r="AF7" i="18"/>
  <c r="AF24" i="16"/>
  <c r="AF93" i="15"/>
  <c r="AF85" i="15" s="1"/>
  <c r="AF10" i="15"/>
  <c r="AF11" i="18"/>
  <c r="AD85" i="15"/>
  <c r="AF13" i="15"/>
  <c r="AF36" i="10"/>
  <c r="AF48" i="10"/>
  <c r="AF44" i="10"/>
  <c r="AC28" i="15"/>
  <c r="AK64" i="18"/>
  <c r="AC9" i="18"/>
  <c r="AC29" i="18"/>
  <c r="AC30" i="18"/>
  <c r="AC73" i="18" s="1"/>
  <c r="AD18" i="15"/>
  <c r="AD38" i="10"/>
  <c r="AD37" i="10"/>
  <c r="AD33" i="10"/>
  <c r="AD34" i="10" s="1"/>
  <c r="AE7" i="18"/>
  <c r="AE8" i="18"/>
  <c r="AE74" i="18"/>
  <c r="AE31" i="18"/>
  <c r="AF16" i="16" s="1"/>
  <c r="AE11" i="18"/>
  <c r="AE24" i="16"/>
  <c r="AE86" i="15"/>
  <c r="AE123" i="15"/>
  <c r="AE87" i="15"/>
  <c r="AE93" i="15"/>
  <c r="AE85" i="15" s="1"/>
  <c r="AE10" i="15"/>
  <c r="AD11" i="16"/>
  <c r="AE48" i="10"/>
  <c r="AE13" i="15"/>
  <c r="AE44" i="10"/>
  <c r="AE36" i="10"/>
  <c r="AD32" i="16"/>
  <c r="AD12" i="16"/>
  <c r="AL65" i="18" s="1"/>
  <c r="AF12" i="16" l="1"/>
  <c r="AF9" i="18"/>
  <c r="AF71" i="18" s="1"/>
  <c r="AF14" i="16"/>
  <c r="AF11" i="16"/>
  <c r="AF30" i="18"/>
  <c r="AF73" i="18" s="1"/>
  <c r="AF29" i="18"/>
  <c r="AF32" i="16"/>
  <c r="AD29" i="18"/>
  <c r="AF18" i="15"/>
  <c r="AD9" i="18"/>
  <c r="AD13" i="16" s="1"/>
  <c r="AL66" i="18" s="1"/>
  <c r="AD30" i="18"/>
  <c r="AD73" i="18" s="1"/>
  <c r="AF38" i="10"/>
  <c r="AF37" i="10"/>
  <c r="AF33" i="10"/>
  <c r="AE11" i="16"/>
  <c r="AM64" i="18" s="1"/>
  <c r="AE14" i="16"/>
  <c r="AM67" i="18" s="1"/>
  <c r="AE16" i="16"/>
  <c r="AM69" i="18" s="1"/>
  <c r="AE12" i="16"/>
  <c r="AM65" i="18" s="1"/>
  <c r="AD28" i="15"/>
  <c r="AC34" i="18"/>
  <c r="AC43" i="18" s="1"/>
  <c r="AE29" i="18"/>
  <c r="AE30" i="18"/>
  <c r="AE73" i="18" s="1"/>
  <c r="AE9" i="18"/>
  <c r="AC71" i="18"/>
  <c r="AC89" i="15"/>
  <c r="AC90" i="15" s="1"/>
  <c r="AC111" i="15"/>
  <c r="AC125" i="15"/>
  <c r="AC29" i="15"/>
  <c r="AE18" i="15"/>
  <c r="AE32" i="16"/>
  <c r="AE37" i="10"/>
  <c r="AE38" i="10"/>
  <c r="AE33" i="10"/>
  <c r="AE34" i="10" s="1"/>
  <c r="AL64" i="18"/>
  <c r="AF13" i="16" l="1"/>
  <c r="AF34" i="18"/>
  <c r="AF43" i="18" s="1"/>
  <c r="AD71" i="18"/>
  <c r="AF28" i="15"/>
  <c r="AD34" i="18"/>
  <c r="AD43" i="18" s="1"/>
  <c r="AD15" i="16"/>
  <c r="AL68" i="18" s="1"/>
  <c r="AF34" i="10"/>
  <c r="AF15" i="16"/>
  <c r="AE71" i="18"/>
  <c r="AE13" i="16"/>
  <c r="AM66" i="18" s="1"/>
  <c r="AE28" i="15"/>
  <c r="AE34" i="18"/>
  <c r="AE43" i="18" s="1"/>
  <c r="AE15" i="16"/>
  <c r="AM68" i="18" s="1"/>
  <c r="AD89" i="15"/>
  <c r="AD90" i="15" s="1"/>
  <c r="AD111" i="15"/>
  <c r="AD125" i="15"/>
  <c r="AD29" i="15"/>
  <c r="AF17" i="16" l="1"/>
  <c r="AF29" i="15"/>
  <c r="AF111" i="15"/>
  <c r="AF89" i="15"/>
  <c r="AF90" i="15" s="1"/>
  <c r="AD17" i="16"/>
  <c r="AE17" i="16"/>
  <c r="AE29" i="15"/>
  <c r="AE89" i="15"/>
  <c r="AE90" i="15" s="1"/>
  <c r="AE111" i="15"/>
  <c r="AE125" i="15"/>
  <c r="AD91" i="15"/>
  <c r="AF91" i="15" l="1"/>
  <c r="AE91" i="15"/>
  <c r="AA5" i="16" l="1"/>
  <c r="AA81" i="15" l="1"/>
  <c r="BA61" i="14" l="1"/>
  <c r="BA194" i="46"/>
  <c r="BB196" i="46" s="1"/>
  <c r="BB192" i="46" s="1"/>
  <c r="BB191" i="46" s="1"/>
  <c r="BA10" i="76" l="1"/>
  <c r="BA11" i="76"/>
  <c r="BF12" i="76" s="1"/>
  <c r="BC11" i="76" l="1"/>
  <c r="BA15" i="76"/>
  <c r="BA31" i="76" s="1"/>
  <c r="BA12" i="76"/>
  <c r="BC12" i="76"/>
  <c r="BC18" i="76"/>
  <c r="BC19" i="76" s="1"/>
  <c r="BC23" i="76"/>
  <c r="BA18" i="76"/>
  <c r="BA19" i="76" s="1"/>
  <c r="BA41" i="76"/>
  <c r="BA35" i="76"/>
  <c r="BA23" i="76"/>
  <c r="BA36" i="76"/>
  <c r="BC15" i="76" l="1"/>
  <c r="BA16" i="76"/>
  <c r="BA7" i="13"/>
  <c r="BC16" i="76"/>
  <c r="BC7" i="13"/>
  <c r="BC31" i="76"/>
  <c r="BC32" i="76" s="1"/>
  <c r="BF41" i="76"/>
  <c r="BF36" i="76"/>
  <c r="BF15" i="76"/>
  <c r="BF31" i="76" s="1"/>
  <c r="BF32" i="76" s="1"/>
  <c r="BF35" i="76"/>
  <c r="BA32" i="76"/>
  <c r="BC35" i="76"/>
  <c r="BC41" i="76"/>
  <c r="BD41" i="76" s="1"/>
  <c r="BC36" i="76"/>
  <c r="BF7" i="13" l="1"/>
  <c r="BF16" i="76"/>
  <c r="BF42" i="76"/>
  <c r="BA18" i="2"/>
  <c r="BF19" i="2" s="1"/>
  <c r="BA22" i="2"/>
  <c r="BA26" i="2"/>
  <c r="BF27" i="2" s="1"/>
  <c r="BA55" i="2"/>
  <c r="BF9" i="13" l="1"/>
  <c r="BA33" i="2"/>
  <c r="BC18" i="2"/>
  <c r="BC19" i="2" s="1"/>
  <c r="BH22" i="2"/>
  <c r="BF16" i="13"/>
  <c r="BH28" i="76"/>
  <c r="BH42" i="76" s="1"/>
  <c r="BA38" i="2"/>
  <c r="BA30" i="2"/>
  <c r="BA4" i="13" s="1"/>
  <c r="BA51" i="2"/>
  <c r="BC26" i="2"/>
  <c r="BC55" i="2"/>
  <c r="BD55" i="2" s="1"/>
  <c r="BA19" i="2"/>
  <c r="BA50" i="2"/>
  <c r="BA27" i="2"/>
  <c r="BF71" i="17" l="1"/>
  <c r="BF68" i="17"/>
  <c r="BF65" i="17"/>
  <c r="BF69" i="14"/>
  <c r="BF98" i="13"/>
  <c r="BF64" i="17"/>
  <c r="BF97" i="13"/>
  <c r="BF93" i="13"/>
  <c r="BF94" i="13" s="1"/>
  <c r="BF74" i="17"/>
  <c r="BF72" i="17"/>
  <c r="BF73" i="17"/>
  <c r="BF18" i="13"/>
  <c r="BG11" i="14"/>
  <c r="BN64" i="17" s="1"/>
  <c r="BC51" i="2"/>
  <c r="BC50" i="2"/>
  <c r="BC38" i="2"/>
  <c r="BA31" i="2"/>
  <c r="BF31" i="2"/>
  <c r="BD18" i="2"/>
  <c r="AA18" i="10" s="1"/>
  <c r="BC30" i="2"/>
  <c r="BC4" i="13" s="1"/>
  <c r="BH27" i="2"/>
  <c r="BA34" i="2"/>
  <c r="BF34" i="2"/>
  <c r="BG14" i="14"/>
  <c r="BN67" i="17" s="1"/>
  <c r="BH16" i="13"/>
  <c r="BH18" i="13" s="1"/>
  <c r="BH28" i="13" s="1"/>
  <c r="BH21" i="76"/>
  <c r="BI21" i="76" s="1"/>
  <c r="BH29" i="76"/>
  <c r="BI42" i="76"/>
  <c r="BG16" i="14"/>
  <c r="BN69" i="17" s="1"/>
  <c r="BG12" i="14"/>
  <c r="BN65" i="17" s="1"/>
  <c r="BF18" i="76"/>
  <c r="BF19" i="76" s="1"/>
  <c r="BD26" i="2"/>
  <c r="BA56" i="2" s="1"/>
  <c r="BC27" i="2"/>
  <c r="BA46" i="2"/>
  <c r="BF47" i="2" s="1"/>
  <c r="BA9" i="13"/>
  <c r="BD27" i="2"/>
  <c r="AA27" i="10" s="1"/>
  <c r="AA52" i="20" s="1"/>
  <c r="BF32" i="14" l="1"/>
  <c r="BF28" i="13"/>
  <c r="BF34" i="13" s="1"/>
  <c r="BC9" i="13"/>
  <c r="BC69" i="14" s="1"/>
  <c r="BB56" i="2"/>
  <c r="BC31" i="2"/>
  <c r="BC46" i="2"/>
  <c r="BC47" i="2" s="1"/>
  <c r="AZ56" i="2"/>
  <c r="BD50" i="2"/>
  <c r="AA50" i="10" s="1"/>
  <c r="BD51" i="2"/>
  <c r="AA51" i="10" s="1"/>
  <c r="BD38" i="2"/>
  <c r="AA26" i="10"/>
  <c r="AA51" i="20" s="1"/>
  <c r="BC56" i="2"/>
  <c r="BD19" i="2"/>
  <c r="AA19" i="10" s="1"/>
  <c r="BH31" i="2"/>
  <c r="BA47" i="2"/>
  <c r="BI27" i="2"/>
  <c r="AB27" i="10" s="1"/>
  <c r="AB52" i="20" s="1"/>
  <c r="BD30" i="2"/>
  <c r="BD4" i="13" s="1"/>
  <c r="BH22" i="76"/>
  <c r="BI22" i="76"/>
  <c r="AB22" i="75" s="1"/>
  <c r="BI23" i="76"/>
  <c r="AB23" i="75" s="1"/>
  <c r="BI18" i="76"/>
  <c r="BF10" i="13"/>
  <c r="BA83" i="13"/>
  <c r="BA112" i="13"/>
  <c r="BA93" i="13"/>
  <c r="BA94" i="13" s="1"/>
  <c r="BA10" i="13"/>
  <c r="BA97" i="13"/>
  <c r="BA29" i="13"/>
  <c r="BA98" i="13"/>
  <c r="BA65" i="17"/>
  <c r="BA68" i="17"/>
  <c r="BA71" i="17"/>
  <c r="BA72" i="17"/>
  <c r="BA64" i="17"/>
  <c r="BA74" i="17"/>
  <c r="BA73" i="17"/>
  <c r="BA69" i="14"/>
  <c r="BF35" i="13" l="1"/>
  <c r="BF38" i="13"/>
  <c r="BC93" i="13"/>
  <c r="BC94" i="13" s="1"/>
  <c r="BC10" i="13"/>
  <c r="BC71" i="17"/>
  <c r="BC73" i="17"/>
  <c r="BC83" i="13"/>
  <c r="BC72" i="17"/>
  <c r="BC98" i="13"/>
  <c r="BC97" i="13"/>
  <c r="BC74" i="17"/>
  <c r="BC65" i="17"/>
  <c r="BC68" i="17"/>
  <c r="BF112" i="13"/>
  <c r="BF29" i="13"/>
  <c r="BC64" i="17"/>
  <c r="BC29" i="13"/>
  <c r="BD56" i="2"/>
  <c r="BD9" i="13"/>
  <c r="BK4" i="13"/>
  <c r="BI31" i="2"/>
  <c r="AB31" i="10" s="1"/>
  <c r="BD48" i="2"/>
  <c r="BD46" i="2"/>
  <c r="BI19" i="76"/>
  <c r="AB19" i="75" s="1"/>
  <c r="AB18" i="75"/>
  <c r="AB21" i="75" s="1"/>
  <c r="AB28" i="75" s="1"/>
  <c r="AB31" i="75" s="1"/>
  <c r="BD31" i="2"/>
  <c r="AA31" i="10" s="1"/>
  <c r="AA30" i="10"/>
  <c r="AI31" i="10" s="1"/>
  <c r="BI48" i="2"/>
  <c r="BI44" i="2"/>
  <c r="AB44" i="10" s="1"/>
  <c r="BI56" i="2"/>
  <c r="BG13" i="14"/>
  <c r="BN66" i="17" s="1"/>
  <c r="BF34" i="17"/>
  <c r="BF43" i="17" s="1"/>
  <c r="BG15" i="14"/>
  <c r="BN68" i="17" s="1"/>
  <c r="BH44" i="2"/>
  <c r="AZ57" i="2"/>
  <c r="BA57" i="2"/>
  <c r="BB57" i="2"/>
  <c r="BN70" i="17" l="1"/>
  <c r="BD97" i="13"/>
  <c r="BD93" i="13"/>
  <c r="BD94" i="13" s="1"/>
  <c r="BD68" i="17"/>
  <c r="AA68" i="18" s="1"/>
  <c r="BD65" i="17"/>
  <c r="AA65" i="18" s="1"/>
  <c r="BD64" i="17"/>
  <c r="AA64" i="18" s="1"/>
  <c r="BD74" i="17"/>
  <c r="BD73" i="17"/>
  <c r="BD69" i="14"/>
  <c r="AA69" i="16" s="1"/>
  <c r="BD98" i="13"/>
  <c r="BD72" i="17"/>
  <c r="AA72" i="18" s="1"/>
  <c r="BD71" i="17"/>
  <c r="BD29" i="13"/>
  <c r="BD83" i="13"/>
  <c r="BD10" i="13"/>
  <c r="BD47" i="2"/>
  <c r="AA47" i="10" s="1"/>
  <c r="BI47" i="2"/>
  <c r="AB47" i="10" s="1"/>
  <c r="AA44" i="10"/>
  <c r="BK43" i="2"/>
  <c r="BI10" i="13"/>
  <c r="AB10" i="15" s="1"/>
  <c r="AA4" i="15"/>
  <c r="BI57" i="2"/>
  <c r="BG17" i="14"/>
  <c r="AA13" i="15"/>
  <c r="BH37" i="2"/>
  <c r="BC57" i="2"/>
  <c r="BD57" i="2" s="1"/>
  <c r="AA9" i="15" l="1"/>
  <c r="AA10" i="15"/>
  <c r="AA5" i="20" s="1"/>
  <c r="AA70" i="16"/>
  <c r="AA74" i="18"/>
  <c r="BH47" i="2"/>
  <c r="BI37" i="2"/>
  <c r="AB37" i="10" s="1"/>
  <c r="BC33" i="2"/>
  <c r="AB5" i="20"/>
  <c r="AA18" i="15"/>
  <c r="AA29" i="15"/>
  <c r="BD112" i="13"/>
  <c r="AA7" i="18"/>
  <c r="AI5" i="15" l="1"/>
  <c r="AA123" i="15"/>
  <c r="AA4" i="20"/>
  <c r="AA24" i="16"/>
  <c r="AA19" i="20" s="1"/>
  <c r="AA8" i="18"/>
  <c r="AA31" i="18"/>
  <c r="AA32" i="16"/>
  <c r="AA11" i="18"/>
  <c r="BC34" i="2"/>
  <c r="BH34" i="2"/>
  <c r="AA9" i="20"/>
  <c r="AA37" i="10"/>
  <c r="AA38" i="10"/>
  <c r="BD33" i="2"/>
  <c r="BI34" i="2" s="1"/>
  <c r="AB34" i="10" s="1"/>
  <c r="AA28" i="15"/>
  <c r="AA8" i="20" l="1"/>
  <c r="AA111" i="15"/>
  <c r="AA125" i="15"/>
  <c r="AA82" i="15"/>
  <c r="BD34" i="2"/>
  <c r="AA34" i="10" s="1"/>
  <c r="AA33" i="10"/>
  <c r="AA36" i="10" l="1"/>
  <c r="AA6" i="20"/>
  <c r="AA83" i="15"/>
  <c r="AA7" i="20" s="1"/>
  <c r="AA43" i="10" l="1"/>
  <c r="AB48" i="10" s="1"/>
  <c r="AA53" i="20" l="1"/>
  <c r="AA46" i="10"/>
  <c r="AA48" i="10"/>
  <c r="AI43" i="10"/>
  <c r="AA54" i="20" l="1"/>
  <c r="BB10" i="73" l="1"/>
  <c r="BB13" i="73"/>
  <c r="BB16" i="73"/>
  <c r="BB19" i="73"/>
  <c r="BB24" i="73"/>
  <c r="BG17" i="73" l="1"/>
  <c r="BG34" i="73"/>
  <c r="BH13" i="73"/>
  <c r="BB20" i="73"/>
  <c r="BG20" i="73"/>
  <c r="BB17" i="73"/>
  <c r="BB3" i="13"/>
  <c r="BB34" i="73"/>
  <c r="BB32" i="73"/>
  <c r="BB9" i="13" l="1"/>
  <c r="BB93" i="13" s="1"/>
  <c r="BB94" i="13" s="1"/>
  <c r="BH17" i="73"/>
  <c r="BH34" i="73"/>
  <c r="BB33" i="73"/>
  <c r="BG33" i="73"/>
  <c r="BH20" i="73"/>
  <c r="BB97" i="13" l="1"/>
  <c r="BB72" i="17"/>
  <c r="BB10" i="13"/>
  <c r="BB64" i="17"/>
  <c r="BB68" i="17"/>
  <c r="BG10" i="13"/>
  <c r="BB73" i="17"/>
  <c r="BB29" i="13"/>
  <c r="BB65" i="17"/>
  <c r="BB74" i="17"/>
  <c r="BB83" i="13"/>
  <c r="BB98" i="13"/>
  <c r="BB71" i="17"/>
  <c r="BB69" i="14"/>
  <c r="BC112" i="13"/>
  <c r="BH33" i="73"/>
  <c r="BB112" i="13"/>
  <c r="AA98" i="15" l="1"/>
  <c r="AA86" i="15"/>
  <c r="AA97" i="15" l="1"/>
  <c r="AA87" i="15"/>
  <c r="AA89" i="15"/>
  <c r="AA16" i="16" l="1"/>
  <c r="AI69" i="18" s="1"/>
  <c r="AA14" i="16"/>
  <c r="AI67" i="18" s="1"/>
  <c r="AA85" i="15"/>
  <c r="AA11" i="16"/>
  <c r="AI64" i="18" s="1"/>
  <c r="AA12" i="16"/>
  <c r="AI65" i="18" s="1"/>
  <c r="AA91" i="15" l="1"/>
  <c r="AB64" i="16"/>
  <c r="BI70" i="14"/>
  <c r="AB70" i="16" s="1"/>
  <c r="AA9" i="18"/>
  <c r="AA71" i="18"/>
  <c r="AA17" i="18"/>
  <c r="AA29" i="18"/>
  <c r="AA30" i="18"/>
  <c r="AA73" i="18"/>
  <c r="AA90" i="15"/>
  <c r="AA93" i="15"/>
  <c r="AA34" i="18" l="1"/>
  <c r="AA43" i="18"/>
  <c r="AA94" i="15"/>
  <c r="AA22" i="18"/>
  <c r="AA17" i="16" l="1"/>
  <c r="AA13" i="16" l="1"/>
  <c r="AI66" i="18" s="1"/>
  <c r="AA15" i="16"/>
  <c r="AI68" i="18" s="1"/>
  <c r="BB61" i="14" l="1"/>
  <c r="AA31" i="15" l="1"/>
  <c r="AA35" i="15" l="1"/>
  <c r="AA34" i="15"/>
  <c r="AA10" i="20" l="1"/>
  <c r="AA37" i="15"/>
  <c r="AA40" i="15" s="1"/>
  <c r="AA44" i="15" s="1"/>
  <c r="AA12" i="20" l="1"/>
  <c r="AA49" i="15"/>
  <c r="AA55" i="15"/>
  <c r="AA41" i="15"/>
  <c r="AA52" i="15" l="1"/>
  <c r="AA45" i="15"/>
  <c r="AA53" i="15"/>
  <c r="AA56" i="15"/>
  <c r="AA13" i="20" l="1"/>
  <c r="AA124" i="15"/>
  <c r="AA50" i="15"/>
  <c r="AA51" i="18" l="1"/>
  <c r="AA4" i="16"/>
  <c r="AA54" i="18" l="1"/>
  <c r="AA21" i="16"/>
  <c r="BC61" i="14" l="1"/>
  <c r="AI71" i="18"/>
  <c r="AA18" i="20"/>
  <c r="AA72" i="16"/>
  <c r="AA73" i="16"/>
  <c r="AA77" i="16"/>
  <c r="AA23" i="20" s="1"/>
  <c r="AA74" i="16"/>
  <c r="AA58" i="18"/>
  <c r="AA54" i="16"/>
  <c r="BI56" i="14"/>
  <c r="AB56" i="16" s="1"/>
  <c r="AA60" i="18" l="1"/>
  <c r="AI73" i="18"/>
  <c r="AA21" i="20"/>
  <c r="AA57" i="16"/>
  <c r="AI72" i="18"/>
  <c r="AA20" i="20"/>
  <c r="AA126" i="15"/>
  <c r="BD61" i="14" l="1"/>
  <c r="AA60" i="16"/>
  <c r="AA5" i="18" l="1"/>
  <c r="AA61" i="16" s="1"/>
  <c r="AA85" i="18"/>
  <c r="AA81" i="18" l="1"/>
  <c r="AA82" i="18"/>
  <c r="AA12" i="18"/>
  <c r="AA106" i="18"/>
  <c r="AA194" i="45"/>
  <c r="AA26" i="20"/>
  <c r="AA28" i="20" l="1"/>
  <c r="AA24" i="18"/>
  <c r="AA107" i="18"/>
  <c r="AA37" i="20" s="1"/>
  <c r="AA110" i="18"/>
  <c r="AA29" i="20"/>
  <c r="AA62" i="18" l="1"/>
  <c r="AA61" i="18"/>
  <c r="AA112" i="18"/>
  <c r="AA120" i="18"/>
  <c r="AA108" i="18"/>
  <c r="AA114" i="18" l="1"/>
  <c r="AA115" i="18" l="1"/>
  <c r="AA116" i="18" l="1"/>
  <c r="AA118" i="18"/>
  <c r="AA117" i="18"/>
  <c r="AA39" i="20" l="1"/>
  <c r="AA40" i="20"/>
  <c r="AC32" i="75"/>
  <c r="AC19" i="75" l="1"/>
  <c r="AC39" i="75"/>
  <c r="AC29" i="75"/>
  <c r="AC22" i="75"/>
  <c r="AB39" i="75"/>
  <c r="AB8" i="20" l="1"/>
  <c r="AB125" i="15"/>
  <c r="AB111" i="15"/>
  <c r="AB9" i="20" l="1"/>
  <c r="BI6" i="2" l="1"/>
  <c r="BI9" i="2"/>
  <c r="BI10" i="2" l="1"/>
  <c r="AB10" i="10" s="1"/>
  <c r="AB9" i="10"/>
  <c r="BI7" i="2"/>
  <c r="AB7" i="10" s="1"/>
  <c r="AB6" i="10"/>
  <c r="AC6" i="10" s="1"/>
  <c r="AD6" i="10" l="1"/>
  <c r="AC9" i="10"/>
  <c r="AC10" i="10" s="1"/>
  <c r="AE6" i="10" l="1"/>
  <c r="AD9" i="10"/>
  <c r="AD10" i="10" s="1"/>
  <c r="AF6" i="10" l="1"/>
  <c r="AF9" i="10" s="1"/>
  <c r="AE9" i="10"/>
  <c r="AE10" i="10" s="1"/>
  <c r="AF10" i="10" l="1"/>
  <c r="AA86" i="18" l="1"/>
  <c r="AA87" i="18"/>
  <c r="AA89" i="18"/>
  <c r="AA90" i="18"/>
  <c r="AA94" i="18"/>
  <c r="AA95" i="18"/>
  <c r="AA97" i="18"/>
  <c r="AA98" i="18"/>
  <c r="AA99" i="18"/>
  <c r="AA101" i="18"/>
  <c r="AA102" i="18"/>
  <c r="AA103" i="18"/>
  <c r="AA35" i="20" s="1"/>
  <c r="BH15" i="2"/>
  <c r="BH18" i="2" s="1"/>
  <c r="BH19" i="2" s="1"/>
  <c r="AA32" i="20" l="1"/>
  <c r="AA34" i="20"/>
  <c r="BH16" i="2"/>
  <c r="BI18" i="2"/>
  <c r="BI19" i="2" s="1"/>
  <c r="AB19" i="10" s="1"/>
  <c r="AB18" i="10" l="1"/>
  <c r="AC19" i="10" s="1"/>
  <c r="BH11" i="76"/>
  <c r="BH12" i="76" s="1"/>
  <c r="BE15" i="76"/>
  <c r="BE7" i="13" s="1"/>
  <c r="BE9" i="13" s="1"/>
  <c r="BE18" i="76"/>
  <c r="BE19" i="76" s="1"/>
  <c r="BE23" i="76"/>
  <c r="BE35" i="76"/>
  <c r="BE36" i="76"/>
  <c r="BE41" i="76"/>
  <c r="BE31" i="76" l="1"/>
  <c r="BE32" i="76" s="1"/>
  <c r="BE16" i="76"/>
  <c r="BH15" i="76"/>
  <c r="BH7" i="13" s="1"/>
  <c r="BH9" i="13" s="1"/>
  <c r="BE97" i="13"/>
  <c r="BE74" i="17"/>
  <c r="BE71" i="17"/>
  <c r="BE68" i="17"/>
  <c r="BE69" i="14"/>
  <c r="BE65" i="17"/>
  <c r="BE64" i="17"/>
  <c r="BE93" i="13"/>
  <c r="BE94" i="13" s="1"/>
  <c r="BE98" i="13"/>
  <c r="BE73" i="17"/>
  <c r="BE10" i="13"/>
  <c r="BE72" i="17"/>
  <c r="BE29" i="13"/>
  <c r="BE83" i="13"/>
  <c r="BE112" i="13"/>
  <c r="BM67" i="17"/>
  <c r="BH35" i="76"/>
  <c r="BH23" i="76"/>
  <c r="BH18" i="76"/>
  <c r="BH19" i="76" s="1"/>
  <c r="BH41" i="76"/>
  <c r="BI41" i="76" s="1"/>
  <c r="BH36" i="76"/>
  <c r="BH10" i="13" l="1"/>
  <c r="BH65" i="17"/>
  <c r="BH31" i="76"/>
  <c r="BH32" i="76" s="1"/>
  <c r="BH64" i="17"/>
  <c r="BH29" i="13"/>
  <c r="BH86" i="13"/>
  <c r="BI86" i="13" s="1"/>
  <c r="BI97" i="13" s="1"/>
  <c r="AB97" i="15" s="1"/>
  <c r="BH112" i="13"/>
  <c r="BH87" i="13"/>
  <c r="BI87" i="13" s="1"/>
  <c r="BH72" i="17"/>
  <c r="BH68" i="17"/>
  <c r="BH16" i="76"/>
  <c r="BH74" i="17"/>
  <c r="BH24" i="14"/>
  <c r="BH69" i="14" s="1"/>
  <c r="BL67" i="17"/>
  <c r="BI14" i="14"/>
  <c r="BM65" i="17"/>
  <c r="BH93" i="13"/>
  <c r="BM69" i="17"/>
  <c r="AB86" i="15" l="1"/>
  <c r="BI16" i="14"/>
  <c r="BL69" i="17"/>
  <c r="BP67" i="17"/>
  <c r="AB14" i="16"/>
  <c r="AJ67" i="18" s="1"/>
  <c r="BH94" i="13"/>
  <c r="BH89" i="13"/>
  <c r="BI89" i="13" s="1"/>
  <c r="AB89" i="15" s="1"/>
  <c r="BH85" i="13"/>
  <c r="BI85" i="13" s="1"/>
  <c r="BH32" i="14"/>
  <c r="BM64" i="17"/>
  <c r="BL64" i="17"/>
  <c r="BI11" i="14"/>
  <c r="AB87" i="15"/>
  <c r="BI98" i="13"/>
  <c r="AB98" i="15" s="1"/>
  <c r="BI12" i="14"/>
  <c r="BL65" i="17"/>
  <c r="BI9" i="17" l="1"/>
  <c r="BI29" i="17"/>
  <c r="BI30" i="17"/>
  <c r="BI90" i="13"/>
  <c r="BI91" i="13" s="1"/>
  <c r="AB91" i="15" s="1"/>
  <c r="AB85" i="15"/>
  <c r="BP65" i="17"/>
  <c r="AB12" i="16"/>
  <c r="AJ65" i="18" s="1"/>
  <c r="BM68" i="17"/>
  <c r="AB11" i="16"/>
  <c r="AJ64" i="18" s="1"/>
  <c r="BP64" i="17"/>
  <c r="BH90" i="13"/>
  <c r="BH91" i="13" s="1"/>
  <c r="BP69" i="17"/>
  <c r="AB16" i="16"/>
  <c r="AJ69" i="18" s="1"/>
  <c r="BF81" i="13" l="1"/>
  <c r="BF82" i="13" s="1"/>
  <c r="BM66" i="17"/>
  <c r="BM70" i="17" s="1"/>
  <c r="BF17" i="14"/>
  <c r="BL66" i="17"/>
  <c r="AB93" i="15"/>
  <c r="AB90" i="15"/>
  <c r="BL68" i="17"/>
  <c r="AB30" i="18"/>
  <c r="BI73" i="17"/>
  <c r="AB73" i="18" s="1"/>
  <c r="BH30" i="17"/>
  <c r="BG70" i="14"/>
  <c r="BG64" i="14"/>
  <c r="BF22" i="17"/>
  <c r="BI34" i="17"/>
  <c r="AB29" i="18"/>
  <c r="BH29" i="17"/>
  <c r="BI71" i="17"/>
  <c r="AB71" i="18" s="1"/>
  <c r="BH9" i="17"/>
  <c r="AB9" i="18"/>
  <c r="AC13" i="16" s="1"/>
  <c r="BF82" i="17" l="1"/>
  <c r="BL70" i="17"/>
  <c r="BG5" i="14"/>
  <c r="BH64" i="14"/>
  <c r="BG17" i="17"/>
  <c r="BH73" i="17"/>
  <c r="BH77" i="17"/>
  <c r="AK66" i="18"/>
  <c r="BH71" i="17"/>
  <c r="BH13" i="14"/>
  <c r="BH67" i="17"/>
  <c r="BH34" i="17"/>
  <c r="BH43" i="17" s="1"/>
  <c r="BH66" i="17"/>
  <c r="BH15" i="14"/>
  <c r="BF83" i="13"/>
  <c r="AC15" i="16"/>
  <c r="AK68" i="18" s="1"/>
  <c r="BI43" i="17"/>
  <c r="AB43" i="18" s="1"/>
  <c r="AB34" i="18"/>
  <c r="AC91" i="15"/>
  <c r="AB94" i="15"/>
  <c r="AC17" i="16" l="1"/>
  <c r="BH17" i="17"/>
  <c r="BG22" i="17"/>
  <c r="BH17" i="14"/>
  <c r="BI17" i="14" s="1"/>
  <c r="AB17" i="16" s="1"/>
  <c r="BO66" i="17"/>
  <c r="BI13" i="14"/>
  <c r="BH5" i="14"/>
  <c r="BH81" i="13" s="1"/>
  <c r="BH65" i="14"/>
  <c r="BO68" i="17"/>
  <c r="BI15" i="14"/>
  <c r="BP68" i="17" s="1"/>
  <c r="BG81" i="13"/>
  <c r="BG82" i="13" s="1"/>
  <c r="BI5" i="14" l="1"/>
  <c r="BI81" i="13" s="1"/>
  <c r="BI82" i="13" s="1"/>
  <c r="BO70" i="17"/>
  <c r="AB5" i="16"/>
  <c r="BG83" i="13"/>
  <c r="AB13" i="16"/>
  <c r="AJ66" i="18" s="1"/>
  <c r="BP66" i="17"/>
  <c r="AB15" i="16"/>
  <c r="AJ68" i="18" s="1"/>
  <c r="BI17" i="17"/>
  <c r="BH22" i="17"/>
  <c r="BH70" i="14"/>
  <c r="BH82" i="13" l="1"/>
  <c r="BI83" i="13"/>
  <c r="AB81" i="15"/>
  <c r="AB82" i="15" s="1"/>
  <c r="AB17" i="18"/>
  <c r="BI22" i="17"/>
  <c r="BP70" i="17"/>
  <c r="AB22" i="18" l="1"/>
  <c r="AC70" i="16"/>
  <c r="AC64" i="16"/>
  <c r="AC5" i="16" s="1"/>
  <c r="AB83" i="15"/>
  <c r="AB7" i="20" s="1"/>
  <c r="AB6" i="20"/>
  <c r="BH83" i="13"/>
  <c r="AC81" i="15" l="1"/>
  <c r="AC82" i="15" s="1"/>
  <c r="AC17" i="18"/>
  <c r="AC83" i="15" l="1"/>
  <c r="AD70" i="16"/>
  <c r="AC22" i="18"/>
  <c r="AD64" i="16"/>
  <c r="AD5" i="16" s="1"/>
  <c r="AD17" i="18" l="1"/>
  <c r="AE70" i="16" s="1"/>
  <c r="AD81" i="15"/>
  <c r="AD82" i="15" s="1"/>
  <c r="AD22" i="18" l="1"/>
  <c r="AE64" i="16"/>
  <c r="AE5" i="16" s="1"/>
  <c r="AD83" i="15"/>
  <c r="AE81" i="15" l="1"/>
  <c r="AE82" i="15" s="1"/>
  <c r="AE17" i="18"/>
  <c r="AF70" i="16" s="1"/>
  <c r="AE83" i="15" l="1"/>
  <c r="AF64" i="16"/>
  <c r="AF5" i="16" s="1"/>
  <c r="AE22" i="18"/>
  <c r="AF81" i="15" l="1"/>
  <c r="AF82" i="15" s="1"/>
  <c r="AF17" i="18"/>
  <c r="AF22" i="18" s="1"/>
  <c r="AF83" i="15" l="1"/>
  <c r="BE61" i="14" l="1"/>
  <c r="BL71" i="17"/>
  <c r="BL72" i="17"/>
  <c r="BF56" i="14"/>
  <c r="BF40" i="13" l="1"/>
  <c r="BF44" i="13" s="1"/>
  <c r="BF41" i="13" l="1"/>
  <c r="BF55" i="13"/>
  <c r="BF45" i="13"/>
  <c r="BF52" i="13"/>
  <c r="BF49" i="13"/>
  <c r="BF56" i="13" l="1"/>
  <c r="BF53" i="13"/>
  <c r="BF50" i="13"/>
  <c r="BF54" i="17" l="1"/>
  <c r="BF58" i="17" s="1"/>
  <c r="BF60" i="17" s="1"/>
  <c r="BI20" i="14"/>
  <c r="AB20" i="16" s="1"/>
  <c r="BF21" i="14"/>
  <c r="BF72" i="14" s="1"/>
  <c r="BF73" i="14" l="1"/>
  <c r="BF77" i="14"/>
  <c r="BF74" i="14"/>
  <c r="BM71" i="17"/>
  <c r="BF54" i="14"/>
  <c r="BF57" i="14" s="1"/>
  <c r="BG56" i="14" s="1"/>
  <c r="BM72" i="17"/>
  <c r="BE92" i="14" l="1"/>
  <c r="BF60" i="14"/>
  <c r="BF194" i="46" s="1"/>
  <c r="BG196" i="46" l="1"/>
  <c r="BG31" i="13" s="1"/>
  <c r="BF61" i="14"/>
  <c r="BF12" i="17"/>
  <c r="BF24" i="17" s="1"/>
  <c r="BF62" i="17" l="1"/>
  <c r="BF61" i="17"/>
  <c r="BG34" i="13"/>
  <c r="BG37" i="13" l="1"/>
  <c r="BG40" i="13" s="1"/>
  <c r="BG35" i="13"/>
  <c r="BG41" i="13" l="1"/>
  <c r="BG44" i="13"/>
  <c r="BG45" i="13" l="1"/>
  <c r="BG49" i="13"/>
  <c r="BG55" i="13"/>
  <c r="BG52" i="13"/>
  <c r="BG4" i="14" l="1"/>
  <c r="BG53" i="13"/>
  <c r="BG51" i="17"/>
  <c r="BG50" i="13"/>
  <c r="BG56" i="13"/>
  <c r="BG54" i="17" l="1"/>
  <c r="BG58" i="17" s="1"/>
  <c r="BG60" i="17" s="1"/>
  <c r="BG21" i="14"/>
  <c r="BN71" i="17" l="1"/>
  <c r="BG72" i="14"/>
  <c r="BG54" i="14"/>
  <c r="BG57" i="14" s="1"/>
  <c r="BH56" i="14" l="1"/>
  <c r="BG60" i="14"/>
  <c r="BG74" i="14"/>
  <c r="BN72" i="17"/>
  <c r="BG73" i="14"/>
  <c r="BG77" i="14"/>
  <c r="BG5" i="17" l="1"/>
  <c r="BG194" i="46"/>
  <c r="BH196" i="46" s="1"/>
  <c r="BH199" i="46" s="1"/>
  <c r="BH31" i="13" l="1"/>
  <c r="BI196" i="46"/>
  <c r="BI199" i="46" s="1"/>
  <c r="BG12" i="17"/>
  <c r="BG24" i="17" s="1"/>
  <c r="BG81" i="17"/>
  <c r="BG82" i="17" s="1"/>
  <c r="BG106" i="17"/>
  <c r="BG107" i="17" s="1"/>
  <c r="BG85" i="17"/>
  <c r="BG61" i="14"/>
  <c r="BG110" i="17" l="1"/>
  <c r="BG112" i="17"/>
  <c r="BG114" i="17" s="1"/>
  <c r="BG115" i="17" s="1"/>
  <c r="BG108" i="17"/>
  <c r="BG120" i="17" s="1"/>
  <c r="BG62" i="17"/>
  <c r="BG61" i="17"/>
  <c r="AB196" i="45"/>
  <c r="AB199" i="45"/>
  <c r="BI197" i="46"/>
  <c r="AB197" i="45" s="1"/>
  <c r="BH34" i="13"/>
  <c r="BI31" i="13"/>
  <c r="BH35" i="13" l="1"/>
  <c r="AB31" i="15"/>
  <c r="BI34" i="13"/>
  <c r="BG116" i="17"/>
  <c r="BG118" i="17" l="1"/>
  <c r="BG117" i="17"/>
  <c r="BI37" i="13"/>
  <c r="BI40" i="13" s="1"/>
  <c r="BI35" i="13"/>
  <c r="AB35" i="15" s="1"/>
  <c r="AB34" i="15"/>
  <c r="AB10" i="20" l="1"/>
  <c r="BI44" i="13"/>
  <c r="BI52" i="13" s="1"/>
  <c r="BI41" i="13"/>
  <c r="AB41" i="15" s="1"/>
  <c r="AB37" i="15"/>
  <c r="AB40" i="15" s="1"/>
  <c r="AB44" i="15" s="1"/>
  <c r="BH37" i="13"/>
  <c r="BI45" i="13" l="1"/>
  <c r="AB45" i="15" s="1"/>
  <c r="BI49" i="13"/>
  <c r="BI55" i="13"/>
  <c r="AB55" i="15"/>
  <c r="AB52" i="15"/>
  <c r="AB49" i="15"/>
  <c r="AB12" i="20"/>
  <c r="BH38" i="13"/>
  <c r="BH40" i="13"/>
  <c r="AB13" i="20" l="1"/>
  <c r="AB124" i="15"/>
  <c r="BH41" i="13"/>
  <c r="BH44" i="13"/>
  <c r="BI53" i="13"/>
  <c r="BI56" i="13"/>
  <c r="BI50" i="13"/>
  <c r="AB50" i="15" s="1"/>
  <c r="AB53" i="15"/>
  <c r="AB56" i="15"/>
  <c r="BH45" i="13" l="1"/>
  <c r="BH55" i="13"/>
  <c r="BH52" i="13"/>
  <c r="BH49" i="13"/>
  <c r="BH4" i="14" l="1"/>
  <c r="BH53" i="13"/>
  <c r="BH50" i="13"/>
  <c r="BH56" i="13"/>
  <c r="BH51" i="17"/>
  <c r="BH54" i="17" l="1"/>
  <c r="BH58" i="17" s="1"/>
  <c r="BH60" i="17" s="1"/>
  <c r="BI51" i="17"/>
  <c r="BH21" i="14"/>
  <c r="BI4" i="14"/>
  <c r="AB4" i="16" l="1"/>
  <c r="BI21" i="14"/>
  <c r="BI72" i="14" s="1"/>
  <c r="BH72" i="14"/>
  <c r="BO71" i="17"/>
  <c r="BH54" i="14"/>
  <c r="BH57" i="14" s="1"/>
  <c r="BH60" i="14" s="1"/>
  <c r="BI54" i="17"/>
  <c r="AB51" i="18"/>
  <c r="AB54" i="18" l="1"/>
  <c r="BI58" i="17"/>
  <c r="BH5" i="17"/>
  <c r="BH194" i="46"/>
  <c r="BH74" i="14"/>
  <c r="BH77" i="14"/>
  <c r="BO72" i="17"/>
  <c r="BH73" i="14"/>
  <c r="AB21" i="16"/>
  <c r="BI54" i="14"/>
  <c r="BP71" i="17"/>
  <c r="AB54" i="16" l="1"/>
  <c r="BI57" i="14"/>
  <c r="AB18" i="20"/>
  <c r="AJ71" i="18"/>
  <c r="BH12" i="17"/>
  <c r="BH24" i="17" s="1"/>
  <c r="BH81" i="17"/>
  <c r="BH82" i="17" s="1"/>
  <c r="BH106" i="17"/>
  <c r="BH107" i="17" s="1"/>
  <c r="BH85" i="17"/>
  <c r="BH61" i="14"/>
  <c r="AB58" i="18"/>
  <c r="BI60" i="17"/>
  <c r="BI74" i="14"/>
  <c r="AB74" i="16" s="1"/>
  <c r="AB72" i="16"/>
  <c r="BI77" i="14"/>
  <c r="AB77" i="16" s="1"/>
  <c r="AB23" i="20" s="1"/>
  <c r="BP72" i="17"/>
  <c r="BI73" i="14"/>
  <c r="AB73" i="16" s="1"/>
  <c r="AB60" i="18" l="1"/>
  <c r="BH62" i="17"/>
  <c r="BH61" i="17"/>
  <c r="AJ72" i="18"/>
  <c r="AB20" i="20"/>
  <c r="AB126" i="15"/>
  <c r="BH110" i="17"/>
  <c r="BH112" i="17"/>
  <c r="BH114" i="17" s="1"/>
  <c r="BH115" i="17" s="1"/>
  <c r="BH108" i="17"/>
  <c r="BH120" i="17" s="1"/>
  <c r="AJ73" i="18"/>
  <c r="AB21" i="20"/>
  <c r="AB57" i="16"/>
  <c r="AC56" i="16" s="1"/>
  <c r="BI60" i="14"/>
  <c r="AB60" i="16" l="1"/>
  <c r="BI5" i="17"/>
  <c r="BI61" i="14" s="1"/>
  <c r="BI194" i="46"/>
  <c r="BH116" i="17"/>
  <c r="BH118" i="17" l="1"/>
  <c r="BH117" i="17"/>
  <c r="AB5" i="18"/>
  <c r="BI12" i="17"/>
  <c r="BI81" i="17"/>
  <c r="BI106" i="17"/>
  <c r="BI85" i="17"/>
  <c r="AB85" i="18" s="1"/>
  <c r="AB106" i="18" l="1"/>
  <c r="BI107" i="17"/>
  <c r="BI82" i="17"/>
  <c r="AB82" i="18" s="1"/>
  <c r="AB81" i="18"/>
  <c r="AB12" i="18"/>
  <c r="BI24" i="17"/>
  <c r="AB26" i="20"/>
  <c r="AB194" i="45"/>
  <c r="AC196" i="45" s="1"/>
  <c r="AC199" i="45" s="1"/>
  <c r="AB61" i="16"/>
  <c r="AB28" i="20" l="1"/>
  <c r="AC203" i="45"/>
  <c r="AC31" i="15"/>
  <c r="AB24" i="18"/>
  <c r="BI62" i="17"/>
  <c r="BI61" i="17"/>
  <c r="AB29" i="20"/>
  <c r="BI110" i="17"/>
  <c r="AB110" i="18" s="1"/>
  <c r="AB107" i="18"/>
  <c r="AB37" i="20" s="1"/>
  <c r="BI112" i="17"/>
  <c r="BI108" i="17"/>
  <c r="AB62" i="18" l="1"/>
  <c r="AB61" i="18"/>
  <c r="AC34" i="15"/>
  <c r="BI120" i="17"/>
  <c r="AB120" i="18" s="1"/>
  <c r="AB108" i="18"/>
  <c r="AB112" i="18"/>
  <c r="BI114" i="17"/>
  <c r="AB114" i="18" l="1"/>
  <c r="BI115" i="17"/>
  <c r="AC35" i="15"/>
  <c r="AC37" i="15"/>
  <c r="AC40" i="15" l="1"/>
  <c r="AB115" i="18"/>
  <c r="BI116" i="17"/>
  <c r="AC41" i="15" l="1"/>
  <c r="AC44" i="15"/>
  <c r="AC52" i="15" s="1"/>
  <c r="AB116" i="18"/>
  <c r="BI118" i="17"/>
  <c r="AB118" i="18" s="1"/>
  <c r="BI117" i="17"/>
  <c r="AB117" i="18" s="1"/>
  <c r="AC55" i="15" l="1"/>
  <c r="AC45" i="15"/>
  <c r="AC49" i="15"/>
  <c r="AB39" i="20"/>
  <c r="AB40" i="20"/>
  <c r="AC53" i="15" l="1"/>
  <c r="AC4" i="16"/>
  <c r="AC21" i="16" s="1"/>
  <c r="AC56" i="15"/>
  <c r="AC50" i="15"/>
  <c r="AC51" i="18"/>
  <c r="AC124" i="15"/>
  <c r="AC54" i="16" l="1"/>
  <c r="AC57" i="16" s="1"/>
  <c r="AC72" i="16"/>
  <c r="AK71" i="18"/>
  <c r="AC54" i="18"/>
  <c r="AC58" i="18" s="1"/>
  <c r="AC60" i="18" s="1"/>
  <c r="AK72" i="18" l="1"/>
  <c r="AC77" i="16"/>
  <c r="AC126" i="15"/>
  <c r="AC73" i="16"/>
  <c r="AK73" i="18" s="1"/>
  <c r="AC74" i="16"/>
  <c r="AD56" i="16"/>
  <c r="AC60" i="16"/>
  <c r="AC5" i="18" l="1"/>
  <c r="AC106" i="18" l="1"/>
  <c r="AC107" i="18" s="1"/>
  <c r="AC12" i="18"/>
  <c r="AC24" i="18" s="1"/>
  <c r="AC85" i="18"/>
  <c r="AC194" i="45"/>
  <c r="AD196" i="45" s="1"/>
  <c r="AD199" i="45" s="1"/>
  <c r="AC81" i="18"/>
  <c r="AC61" i="16"/>
  <c r="AC82" i="18" l="1"/>
  <c r="AD203" i="45"/>
  <c r="AD31" i="15"/>
  <c r="AC62" i="18"/>
  <c r="AC61" i="18"/>
  <c r="AC108" i="18"/>
  <c r="AC120" i="18" s="1"/>
  <c r="AC110" i="18"/>
  <c r="AC112" i="18"/>
  <c r="AC114" i="18" s="1"/>
  <c r="AC115" i="18" s="1"/>
  <c r="AC116" i="18" l="1"/>
  <c r="AC117" i="18" s="1"/>
  <c r="AD34" i="15"/>
  <c r="AC118" i="18" l="1"/>
  <c r="AD37" i="15"/>
  <c r="AD35" i="15"/>
  <c r="AD40" i="15" l="1"/>
  <c r="AD41" i="15" l="1"/>
  <c r="AD44" i="15"/>
  <c r="AD52" i="15" s="1"/>
  <c r="AD55" i="15" l="1"/>
  <c r="AD45" i="15"/>
  <c r="AD49" i="15"/>
  <c r="AD50" i="15" l="1"/>
  <c r="AD56" i="15"/>
  <c r="AD53" i="15"/>
  <c r="AD4" i="16"/>
  <c r="AD21" i="16" s="1"/>
  <c r="AD51" i="18"/>
  <c r="AD124" i="15"/>
  <c r="AD54" i="18" l="1"/>
  <c r="AD58" i="18" s="1"/>
  <c r="AD60" i="18" s="1"/>
  <c r="AL71" i="18"/>
  <c r="AD54" i="16"/>
  <c r="AD57" i="16" s="1"/>
  <c r="AD72" i="16"/>
  <c r="AE56" i="16" l="1"/>
  <c r="AD60" i="16"/>
  <c r="AD73" i="16"/>
  <c r="AL73" i="18" s="1"/>
  <c r="AD74" i="16"/>
  <c r="AD126" i="15"/>
  <c r="AL72" i="18"/>
  <c r="AD77" i="16"/>
  <c r="AD5" i="18" l="1"/>
  <c r="AD81" i="18" l="1"/>
  <c r="AD106" i="18"/>
  <c r="AD107" i="18" s="1"/>
  <c r="AD194" i="45"/>
  <c r="AE196" i="45" s="1"/>
  <c r="AE199" i="45" s="1"/>
  <c r="AD12" i="18"/>
  <c r="AD24" i="18" s="1"/>
  <c r="AD85" i="18"/>
  <c r="AD61" i="16"/>
  <c r="AD82" i="18" l="1"/>
  <c r="AE31" i="15"/>
  <c r="AE203" i="45"/>
  <c r="AD62" i="18"/>
  <c r="AD61" i="18"/>
  <c r="AD108" i="18"/>
  <c r="AD120" i="18" s="1"/>
  <c r="AD110" i="18"/>
  <c r="AD112" i="18"/>
  <c r="AD114" i="18" s="1"/>
  <c r="AD115" i="18" s="1"/>
  <c r="AD116" i="18" l="1"/>
  <c r="AD118" i="18" s="1"/>
  <c r="AE34" i="15"/>
  <c r="AD117" i="18" l="1"/>
  <c r="AE37" i="15"/>
  <c r="AE35" i="15"/>
  <c r="AE40" i="15" l="1"/>
  <c r="AE44" i="15" s="1"/>
  <c r="AE41" i="15" l="1"/>
  <c r="AE55" i="15"/>
  <c r="AE45" i="15"/>
  <c r="AE49" i="15"/>
  <c r="AE52" i="15"/>
  <c r="AE124" i="15" l="1"/>
  <c r="AE56" i="15"/>
  <c r="AE4" i="16"/>
  <c r="AE21" i="16" s="1"/>
  <c r="AE50" i="15"/>
  <c r="AE53" i="15"/>
  <c r="AE51" i="18"/>
  <c r="AE54" i="18" l="1"/>
  <c r="AE58" i="18" s="1"/>
  <c r="AE60" i="18" s="1"/>
  <c r="AM71" i="18"/>
  <c r="AE72" i="16"/>
  <c r="AE54" i="16"/>
  <c r="AE57" i="16" s="1"/>
  <c r="AE73" i="16" l="1"/>
  <c r="AM73" i="18" s="1"/>
  <c r="AM72" i="18"/>
  <c r="AE74" i="16"/>
  <c r="AE77" i="16"/>
  <c r="AF56" i="16"/>
  <c r="AE60" i="16"/>
  <c r="AE5" i="18" l="1"/>
  <c r="AE81" i="18" l="1"/>
  <c r="AE82" i="18" s="1"/>
  <c r="AE194" i="45"/>
  <c r="AF196" i="45" s="1"/>
  <c r="AF199" i="45" s="1"/>
  <c r="AE12" i="18"/>
  <c r="AE24" i="18" s="1"/>
  <c r="AE85" i="18"/>
  <c r="AE106" i="18"/>
  <c r="AE107" i="18" s="1"/>
  <c r="AE61" i="16"/>
  <c r="AE112" i="18" l="1"/>
  <c r="AE114" i="18" s="1"/>
  <c r="AE115" i="18" s="1"/>
  <c r="AE108" i="18"/>
  <c r="AE120" i="18" s="1"/>
  <c r="AE110" i="18"/>
  <c r="AE62" i="18"/>
  <c r="AE61" i="18"/>
  <c r="AF203" i="45"/>
  <c r="AF31" i="15"/>
  <c r="AF34" i="15" l="1"/>
  <c r="AE116" i="18"/>
  <c r="AE118" i="18" l="1"/>
  <c r="AE117" i="18"/>
  <c r="AF37" i="15"/>
  <c r="AF35" i="15"/>
  <c r="AF40" i="15" l="1"/>
  <c r="AF41" i="15" s="1"/>
  <c r="AF44" i="15" l="1"/>
  <c r="AF45" i="15" s="1"/>
  <c r="AF52" i="15" l="1"/>
  <c r="AF55" i="15"/>
  <c r="AF49" i="15"/>
  <c r="AF50" i="15" s="1"/>
  <c r="AF51" i="18" l="1"/>
  <c r="AF54" i="18" s="1"/>
  <c r="AF58" i="18" s="1"/>
  <c r="AF60" i="18" s="1"/>
  <c r="AF53" i="15"/>
  <c r="AF4" i="16"/>
  <c r="AF21" i="16" s="1"/>
  <c r="AF54" i="16" s="1"/>
  <c r="AF57" i="16" s="1"/>
  <c r="AF60" i="16" s="1"/>
  <c r="AF56" i="15"/>
  <c r="AF72" i="16" l="1"/>
  <c r="AF77" i="16" s="1"/>
  <c r="AF5" i="18"/>
  <c r="AF61" i="16" s="1"/>
  <c r="AF74" i="16" l="1"/>
  <c r="AF73" i="16"/>
  <c r="AF85" i="18"/>
  <c r="AF81" i="18"/>
  <c r="AF82" i="18" s="1"/>
  <c r="AF106" i="18"/>
  <c r="AF107" i="18" s="1"/>
  <c r="AF12" i="18"/>
  <c r="AF24" i="18" s="1"/>
  <c r="AF62" i="18" l="1"/>
  <c r="AF61" i="18"/>
  <c r="AF112" i="18"/>
  <c r="AF114" i="18" s="1"/>
  <c r="AF115" i="18" s="1"/>
  <c r="AF108" i="18"/>
  <c r="AF120" i="18" s="1"/>
  <c r="AF110" i="18"/>
  <c r="AF116" i="18" l="1"/>
  <c r="AF118" i="18" l="1"/>
  <c r="AF117" i="18"/>
  <c r="AB86" i="18"/>
  <c r="AC86" i="18"/>
  <c r="AD86" i="18"/>
  <c r="AE86" i="18"/>
  <c r="AF86" i="18"/>
  <c r="AB87" i="18"/>
  <c r="AC87" i="18"/>
  <c r="AD87" i="18"/>
  <c r="AE87" i="18"/>
  <c r="AF87" i="18"/>
  <c r="AB89" i="18"/>
  <c r="AC89" i="18"/>
  <c r="AD89" i="18"/>
  <c r="AE89" i="18"/>
  <c r="AF89" i="18"/>
  <c r="AB90" i="18"/>
  <c r="AC90" i="18"/>
  <c r="AD90" i="18"/>
  <c r="AE90" i="18"/>
  <c r="AF90" i="18"/>
  <c r="AB94" i="18"/>
  <c r="AC94" i="18"/>
  <c r="AD94" i="18"/>
  <c r="AE94" i="18"/>
  <c r="AF94" i="18"/>
  <c r="AB95" i="18"/>
  <c r="AC95" i="18"/>
  <c r="AD95" i="18"/>
  <c r="AE95" i="18"/>
  <c r="AF95" i="18"/>
  <c r="AB97" i="18"/>
  <c r="AC97" i="18"/>
  <c r="AD97" i="18"/>
  <c r="AE97" i="18"/>
  <c r="AF97" i="18"/>
  <c r="AB98" i="18"/>
  <c r="AC98" i="18"/>
  <c r="AD98" i="18"/>
  <c r="AE98" i="18"/>
  <c r="AF98" i="18"/>
  <c r="AB99" i="18"/>
  <c r="AC99" i="18"/>
  <c r="AD99" i="18"/>
  <c r="AE99" i="18"/>
  <c r="AF99" i="18"/>
  <c r="AB101" i="18"/>
  <c r="AC101" i="18"/>
  <c r="AD101" i="18"/>
  <c r="AE101" i="18"/>
  <c r="AF101" i="18"/>
  <c r="AB102" i="18"/>
  <c r="AC102" i="18"/>
  <c r="AD102" i="18"/>
  <c r="AE102" i="18"/>
  <c r="AF102" i="18"/>
  <c r="AB103" i="18"/>
  <c r="AC103" i="18"/>
  <c r="AD103" i="18"/>
  <c r="AE103" i="18"/>
  <c r="AF103" i="18"/>
  <c r="BG86" i="17"/>
  <c r="BH86" i="17"/>
  <c r="BI86" i="17"/>
  <c r="BG87" i="17"/>
  <c r="BH87" i="17"/>
  <c r="BI87" i="17"/>
  <c r="BG89" i="17"/>
  <c r="BH89" i="17"/>
  <c r="BI89" i="17"/>
  <c r="BG90" i="17"/>
  <c r="BH90" i="17"/>
  <c r="BI90" i="17"/>
  <c r="BG94" i="17"/>
  <c r="BH94" i="17"/>
  <c r="BI94" i="17"/>
  <c r="BG95" i="17"/>
  <c r="BH95" i="17"/>
  <c r="BI95" i="17"/>
  <c r="BG97" i="17"/>
  <c r="BH97" i="17"/>
  <c r="BI97" i="17"/>
  <c r="BG98" i="17"/>
  <c r="BH98" i="17"/>
  <c r="BI98" i="17"/>
  <c r="BG99" i="17"/>
  <c r="BH99" i="17"/>
  <c r="BI99" i="17"/>
  <c r="BG101" i="17"/>
  <c r="BH101" i="17"/>
  <c r="BI101" i="17"/>
  <c r="BG102" i="17"/>
  <c r="BH102" i="17"/>
  <c r="BI102" i="17"/>
  <c r="BG103" i="17"/>
  <c r="BH103" i="17"/>
  <c r="BI103" i="17"/>
  <c r="Y191" i="45"/>
  <c r="Z191" i="45"/>
  <c r="AA191" i="45"/>
  <c r="AJ191" i="45"/>
  <c r="Y192" i="45"/>
  <c r="Z192" i="45"/>
  <c r="AA192" i="45"/>
  <c r="AJ192" i="45"/>
  <c r="Y196" i="45"/>
  <c r="Z196" i="45"/>
  <c r="AA196" i="45"/>
  <c r="Y197" i="45"/>
  <c r="Z197" i="45"/>
  <c r="AA197" i="45"/>
  <c r="Y199" i="45"/>
  <c r="Z199" i="45"/>
  <c r="AA199" i="45"/>
  <c r="AB203" i="45"/>
  <c r="AS191" i="46"/>
  <c r="AT191" i="46"/>
  <c r="AX191" i="46"/>
  <c r="AY191" i="46"/>
  <c r="BC191" i="46"/>
  <c r="BD191" i="46"/>
  <c r="AS192" i="46"/>
  <c r="AT192" i="46"/>
  <c r="AX192" i="46"/>
  <c r="AY192" i="46"/>
  <c r="BC192" i="46"/>
  <c r="BD192" i="46"/>
  <c r="AS196" i="46"/>
  <c r="AT196" i="46"/>
  <c r="AX196" i="46"/>
  <c r="AY196" i="46"/>
  <c r="BC196" i="46"/>
  <c r="BD196" i="46"/>
  <c r="AS197" i="46"/>
  <c r="AT197" i="46"/>
  <c r="AX197" i="46"/>
  <c r="AY197" i="46"/>
  <c r="BC197" i="46"/>
  <c r="BD197" i="46"/>
  <c r="AT199" i="46"/>
  <c r="AY199" i="46"/>
  <c r="BD199" i="46"/>
  <c r="AB32" i="20"/>
  <c r="AB34" i="20"/>
  <c r="AB35"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Holcomb, Jason T (Research)</author>
  </authors>
  <commentList>
    <comment ref="Y2" authorId="0" shapeId="0" xr:uid="{AA408528-FDD2-4B34-9697-D9A53F6E8A39}">
      <text>
        <r>
          <rPr>
            <b/>
            <sz val="9"/>
            <color indexed="81"/>
            <rFont val="Tahoma"/>
            <family val="2"/>
          </rPr>
          <t>Holcomb, Jason T (Research):</t>
        </r>
        <r>
          <rPr>
            <sz val="9"/>
            <color indexed="81"/>
            <rFont val="Tahoma"/>
            <family val="2"/>
          </rPr>
          <t xml:space="preserve">
Recast numbers begin here</t>
        </r>
      </text>
    </comment>
    <comment ref="Y32" authorId="0" shapeId="0" xr:uid="{33A8D227-9D8D-4981-8C6A-0A078E703044}">
      <text>
        <r>
          <rPr>
            <b/>
            <sz val="9"/>
            <color indexed="81"/>
            <rFont val="Tahoma"/>
            <family val="2"/>
          </rPr>
          <t>Holcomb, Jason T (Research):</t>
        </r>
        <r>
          <rPr>
            <sz val="9"/>
            <color indexed="81"/>
            <rFont val="Tahoma"/>
            <family val="2"/>
          </rPr>
          <t xml:space="preserve">
Additionally, as we sit here today, we
see pressure from increasing interest rates and market volatility and anticipate a pension headwind next year that could be about $0.40
on a year-over-year basis due to current market conditions.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 Hemalatha (Research)</author>
    <author>Holcomb, Jason T (Research)</author>
    <author>Sharpe, Matt (Research)</author>
    <author>Sanchez, Alvaro (Research)</author>
    <author>Murillo, Alberto (Research)</author>
  </authors>
  <commentList>
    <comment ref="V2" authorId="0" shapeId="0" xr:uid="{00000000-0006-0000-0B00-000001000000}">
      <text>
        <r>
          <rPr>
            <sz val="9"/>
            <color indexed="81"/>
            <rFont val="Tahoma"/>
            <family val="2"/>
          </rPr>
          <t>Pro Forma
Source: 2Q20 earnings presentation</t>
        </r>
      </text>
    </comment>
    <comment ref="W2" authorId="0" shapeId="0" xr:uid="{00000000-0006-0000-0B00-000002000000}">
      <text>
        <r>
          <rPr>
            <sz val="9"/>
            <color indexed="81"/>
            <rFont val="Tahoma"/>
            <family val="2"/>
          </rPr>
          <t>Pro Forma
Source: 2Q20 earnings presentation</t>
        </r>
      </text>
    </comment>
    <comment ref="X2" authorId="0" shapeId="0" xr:uid="{00000000-0006-0000-0B00-000003000000}">
      <text>
        <r>
          <rPr>
            <sz val="9"/>
            <color indexed="81"/>
            <rFont val="Tahoma"/>
            <family val="2"/>
          </rPr>
          <t>Pro Forma
Source: 2Q20 earnings presentation</t>
        </r>
      </text>
    </comment>
    <comment ref="Z2" authorId="0" shapeId="0" xr:uid="{00000000-0006-0000-0B00-000004000000}">
      <text>
        <r>
          <rPr>
            <sz val="9"/>
            <color indexed="81"/>
            <rFont val="Tahoma"/>
            <family val="2"/>
          </rPr>
          <t>Pro Forma
Source: 2Q20 earnings presentation</t>
        </r>
      </text>
    </comment>
    <comment ref="AA2" authorId="0" shapeId="0" xr:uid="{00000000-0006-0000-0B00-000005000000}">
      <text>
        <r>
          <rPr>
            <sz val="9"/>
            <color indexed="81"/>
            <rFont val="Tahoma"/>
            <family val="2"/>
          </rPr>
          <t>Pro Forma
Source: 2Q20 earnings presentation</t>
        </r>
      </text>
    </comment>
    <comment ref="AP2" authorId="1" shapeId="0" xr:uid="{55429122-721E-4294-ADE7-6EAC9A0330EA}">
      <text>
        <r>
          <rPr>
            <b/>
            <sz val="9"/>
            <color indexed="81"/>
            <rFont val="Tahoma"/>
            <family val="2"/>
          </rPr>
          <t>Holcomb, Jason T (Research):</t>
        </r>
        <r>
          <rPr>
            <sz val="9"/>
            <color indexed="81"/>
            <rFont val="Tahoma"/>
            <family val="2"/>
          </rPr>
          <t xml:space="preserve">
Recast numbers begin here</t>
        </r>
      </text>
    </comment>
    <comment ref="U8" authorId="0" shapeId="0" xr:uid="{00000000-0006-0000-0B00-000006000000}">
      <text>
        <r>
          <rPr>
            <sz val="9"/>
            <color indexed="81"/>
            <rFont val="Tahoma"/>
            <family val="2"/>
          </rPr>
          <t>Not added RTN  + UTC, as we don't have UTC corporate, eliminations numbers excluding Otis and Carrier.</t>
        </r>
      </text>
    </comment>
    <comment ref="AB8" authorId="2" shapeId="0" xr:uid="{00000000-0006-0000-0B00-000007000000}">
      <text>
        <r>
          <rPr>
            <b/>
            <sz val="9"/>
            <color indexed="81"/>
            <rFont val="Tahoma"/>
            <family val="2"/>
          </rPr>
          <t>Certain smaller non-reportable business segments, including Forcepoint</t>
        </r>
      </text>
    </comment>
    <comment ref="U17" authorId="0" shapeId="0" xr:uid="{00000000-0006-0000-0B00-000008000000}">
      <text>
        <r>
          <rPr>
            <sz val="9"/>
            <color indexed="81"/>
            <rFont val="Tahoma"/>
            <family val="2"/>
          </rPr>
          <t>Not added RTN  + UTC, as we don't have UTC corporate, eliminations numbers excluding Otis and Carrier.</t>
        </r>
      </text>
    </comment>
    <comment ref="AB24" authorId="0" shapeId="0" xr:uid="{00000000-0006-0000-0B00-000009000000}">
      <text>
        <r>
          <rPr>
            <sz val="9"/>
            <color indexed="81"/>
            <rFont val="Tahoma"/>
            <family val="2"/>
          </rPr>
          <t>Adjusted for:
$169mn: Restructuring
$14mn: Costs associated with the separation of the commercial businesses
$70mn: Transaction expenses associated with the Raytheon Merger</t>
        </r>
      </text>
    </comment>
    <comment ref="AB25" authorId="0" shapeId="0" xr:uid="{00000000-0006-0000-0B00-00000A000000}">
      <text>
        <r>
          <rPr>
            <sz val="9"/>
            <color indexed="81"/>
            <rFont val="Tahoma"/>
            <family val="2"/>
          </rPr>
          <t>Adjusted for:
$17mn: Intangible impairment
$3,183mn: Goodwill impairment
$545mn: Acquisition accounting adjustments</t>
        </r>
      </text>
    </comment>
    <comment ref="AB32" authorId="0" shapeId="0" xr:uid="{00000000-0006-0000-0B00-00000B000000}">
      <text>
        <r>
          <rPr>
            <sz val="9"/>
            <color indexed="81"/>
            <rFont val="Tahoma"/>
            <family val="2"/>
          </rPr>
          <t>Adjusted for $25mn of Pension curtailment</t>
        </r>
      </text>
    </comment>
    <comment ref="AB33" authorId="0" shapeId="0" xr:uid="{00000000-0006-0000-0B00-00000C000000}">
      <text>
        <r>
          <rPr>
            <sz val="9"/>
            <color indexed="81"/>
            <rFont val="Tahoma"/>
            <family val="2"/>
          </rPr>
          <t>Adjusted for $4mn of Deferred compensation</t>
        </r>
      </text>
    </comment>
    <comment ref="AH33" authorId="3" shapeId="0" xr:uid="{00000000-0006-0000-0B00-00000D000000}">
      <text>
        <r>
          <rPr>
            <b/>
            <sz val="9"/>
            <color indexed="81"/>
            <rFont val="Tahoma"/>
            <family val="2"/>
          </rPr>
          <t>Sanchez, Alvaro (Research):</t>
        </r>
        <r>
          <rPr>
            <sz val="9"/>
            <color indexed="81"/>
            <rFont val="Tahoma"/>
            <family val="2"/>
          </rPr>
          <t xml:space="preserve">
Debt extinguishment costs</t>
        </r>
      </text>
    </comment>
    <comment ref="AI33" authorId="3" shapeId="0" xr:uid="{00000000-0006-0000-0B00-00000E000000}">
      <text>
        <r>
          <rPr>
            <b/>
            <sz val="9"/>
            <color indexed="81"/>
            <rFont val="Tahoma"/>
            <family val="2"/>
          </rPr>
          <t>Sanchez, Alvaro (Research):</t>
        </r>
        <r>
          <rPr>
            <sz val="9"/>
            <color indexed="81"/>
            <rFont val="Tahoma"/>
            <family val="2"/>
          </rPr>
          <t xml:space="preserve">
Debt extinguishment costs</t>
        </r>
      </text>
    </comment>
    <comment ref="AB37" authorId="0" shapeId="0" xr:uid="{00000000-0006-0000-0B00-00000F000000}">
      <text>
        <r>
          <rPr>
            <sz val="9"/>
            <color indexed="81"/>
            <rFont val="Tahoma"/>
            <family val="2"/>
          </rPr>
          <t>Adjusted for:
$22mn: Tax impact from business disposal
$60mn:Tax impact related to debt exchange
$46mn:  Revaluation of certain international tax incentives
$31mn: Revaluation of deferred taxes related to Raytheon merger and the Company's separation of Otis and Carrier
$321mn: Tax effect of restructuring and significant non-recurring and non-operational items</t>
        </r>
      </text>
    </comment>
    <comment ref="A43" authorId="2" shapeId="0" xr:uid="{00000000-0006-0000-0B00-000010000000}">
      <text>
        <r>
          <rPr>
            <b/>
            <sz val="9"/>
            <color indexed="81"/>
            <rFont val="Tahoma"/>
            <family val="2"/>
          </rPr>
          <t>RTN IIS JVs and other non-consolidated business arrangements</t>
        </r>
        <r>
          <rPr>
            <sz val="9"/>
            <color indexed="81"/>
            <rFont val="Tahoma"/>
            <family val="2"/>
          </rPr>
          <t xml:space="preserve">
</t>
        </r>
      </text>
    </comment>
    <comment ref="V47" authorId="0" shapeId="0" xr:uid="{00000000-0006-0000-0B00-000011000000}">
      <text>
        <r>
          <rPr>
            <sz val="9"/>
            <color indexed="81"/>
            <rFont val="Tahoma"/>
            <family val="2"/>
          </rPr>
          <t>Adjusted for difference in proforma reported number and  proforma adjusted number
$(61-51mn: Corporate expenses and other unallocated items
$588mn: Acquisition accounting adjustments
Source: 2Q20 earnings presentation, pg.: 21</t>
        </r>
      </text>
    </comment>
    <comment ref="W47" authorId="0" shapeId="0" xr:uid="{00000000-0006-0000-0B00-000012000000}">
      <text>
        <r>
          <rPr>
            <sz val="9"/>
            <color indexed="81"/>
            <rFont val="Tahoma"/>
            <family val="2"/>
          </rPr>
          <t>Adjusted for difference in proforma reported number and  proforma adjusted number
$(51-40)mn: Corporate expenses and other unallocated items
$571mn: Acquisition accounting adjustments
Source: 2Q20 earnings presentation, pg: 21</t>
        </r>
      </text>
    </comment>
    <comment ref="X47" authorId="0" shapeId="0" xr:uid="{00000000-0006-0000-0B00-000013000000}">
      <text>
        <r>
          <rPr>
            <sz val="9"/>
            <color indexed="81"/>
            <rFont val="Tahoma"/>
            <family val="2"/>
          </rPr>
          <t>Adjusted for difference in proforma reported number and  proforma adjusted number
$(52-40)mn: Corporate expenses and other unallocated items
$581mn: Acquisition accounting adjustments
Source: 2Q20 earnings presentation, pg: 21</t>
        </r>
      </text>
    </comment>
    <comment ref="Z47" authorId="0" shapeId="0" xr:uid="{00000000-0006-0000-0B00-000014000000}">
      <text>
        <r>
          <rPr>
            <sz val="9"/>
            <color indexed="81"/>
            <rFont val="Tahoma"/>
            <family val="2"/>
          </rPr>
          <t>Adjusted for difference in proforma reported number and  proforma adjusted number
$(316-260)mn: Corporate expenses and other unallocated items
$2332mn: Acquisition accounting adjustments
Source: 2Q20 earnings presentation, pg: 21</t>
        </r>
      </text>
    </comment>
    <comment ref="AA47" authorId="0" shapeId="0" xr:uid="{00000000-0006-0000-0B00-000015000000}">
      <text>
        <r>
          <rPr>
            <sz val="9"/>
            <color indexed="81"/>
            <rFont val="Tahoma"/>
            <family val="2"/>
          </rPr>
          <t>Adjusted for difference in proforma reported number and  proforma adjusted number
$(142-140mn: Corporate expenses and other unallocated items
$644mn: Acquisition accounting adjustments
Source: 2Q20 earnings presentation, pg: 21
(271+29+2)mn: back calculated the one time adjustment from historical tab at total unallocated item level, as at proforma it is different</t>
        </r>
      </text>
    </comment>
    <comment ref="AB47" authorId="0" shapeId="0" xr:uid="{00000000-0006-0000-0B00-000016000000}">
      <text>
        <r>
          <rPr>
            <sz val="9"/>
            <color indexed="81"/>
            <rFont val="Tahoma"/>
            <family val="2"/>
          </rPr>
          <t>Includes:
$427mn: Total Restructuring Costs
$545mn: Total Acquisition accounting adjustments
$3,673mn: Total significant non-recurring and non-operational items included in Operating Profit
$25mn: Pension curtailment
$4mn: Deferred compensation
$321mn: Tax effect of restructuring and significant non-recurring and non-operational items 
$22mn: Tax impact from business disposal
$60mn: Tax impact related to debt exchange
$46mn: Revaluation of certain international tax incentives
$31mn: Revaluation of deferred taxes related to Raytheon merger and the Company's separation of Otis and Carrier</t>
        </r>
      </text>
    </comment>
    <comment ref="AB48" authorId="0" shapeId="0" xr:uid="{00000000-0006-0000-0B00-000017000000}">
      <text>
        <r>
          <rPr>
            <sz val="9"/>
            <color indexed="81"/>
            <rFont val="Tahoma"/>
            <family val="2"/>
          </rPr>
          <t>Includes:
$56mn: Income (loss) from discontinued operations
$65mn:  Income tax expense (benefit) from discontinued operations</t>
        </r>
      </text>
    </comment>
    <comment ref="AJ56" authorId="4" shapeId="0" xr:uid="{00000000-0006-0000-0B00-000018000000}">
      <text>
        <r>
          <rPr>
            <b/>
            <sz val="9"/>
            <color indexed="81"/>
            <rFont val="Tahoma"/>
            <family val="2"/>
          </rPr>
          <t>Murillo, Alberto (Research):</t>
        </r>
        <r>
          <rPr>
            <sz val="9"/>
            <color indexed="81"/>
            <rFont val="Tahoma"/>
            <family val="2"/>
          </rPr>
          <t xml:space="preserve">
GAAP EPS is 2.58 excluding discontinued operations</t>
        </r>
      </text>
    </comment>
    <comment ref="AB73" authorId="0" shapeId="0" xr:uid="{00000000-0006-0000-0B00-000019000000}">
      <text>
        <r>
          <rPr>
            <sz val="9"/>
            <color indexed="81"/>
            <rFont val="Tahoma"/>
            <family val="2"/>
          </rPr>
          <t>No shares were reacquired during the quarter ended June 30, 2020.</t>
        </r>
      </text>
    </comment>
    <comment ref="AC73" authorId="0" shapeId="0" xr:uid="{00000000-0006-0000-0B00-00001A000000}">
      <text>
        <r>
          <rPr>
            <sz val="9"/>
            <color indexed="81"/>
            <rFont val="Tahoma"/>
            <family val="2"/>
          </rPr>
          <t>No shares were reacquired during the quarter ended September 30, 2020.</t>
        </r>
      </text>
    </comment>
    <comment ref="AD73" authorId="3" shapeId="0" xr:uid="{00000000-0006-0000-0B00-00001B000000}">
      <text>
        <r>
          <rPr>
            <b/>
            <sz val="9"/>
            <color indexed="81"/>
            <rFont val="Tahoma"/>
            <family val="2"/>
          </rPr>
          <t>Sanchez, Alvaro (Research):</t>
        </r>
        <r>
          <rPr>
            <sz val="9"/>
            <color indexed="81"/>
            <rFont val="Tahoma"/>
            <family val="2"/>
          </rPr>
          <t xml:space="preserve">
No shares were reacquired in transactions
outside the program during the quarter ended December 31, 2020.</t>
        </r>
      </text>
    </comment>
    <comment ref="X85" authorId="0" shapeId="0" xr:uid="{00000000-0006-0000-0B00-00001C000000}">
      <text>
        <r>
          <rPr>
            <sz val="9"/>
            <color indexed="81"/>
            <rFont val="Tahoma"/>
            <family val="2"/>
          </rPr>
          <t>UTC's COGS excl. Otis and Carrier not reported.</t>
        </r>
      </text>
    </comment>
    <comment ref="Z85" authorId="0" shapeId="0" xr:uid="{00000000-0006-0000-0B00-00001D000000}">
      <text>
        <r>
          <rPr>
            <sz val="9"/>
            <color indexed="81"/>
            <rFont val="Tahoma"/>
            <family val="2"/>
          </rPr>
          <t>UTC's COGS excl. Otis and Carrier not reported.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Sandeep, Anchoori (Research)</author>
  </authors>
  <commentList>
    <comment ref="U2" authorId="0" shapeId="0" xr:uid="{00000000-0006-0000-0D00-000001000000}">
      <text>
        <r>
          <rPr>
            <sz val="9"/>
            <color indexed="81"/>
            <rFont val="Tahoma"/>
            <family val="2"/>
          </rPr>
          <t>Linked few numbers, which are required for MW Validation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Holcomb, Jason T (Research)</author>
    <author>K, Hemalatha (Research)</author>
  </authors>
  <commentList>
    <comment ref="Y15" authorId="0" shapeId="0" xr:uid="{3D77CFD6-6816-47CE-82FB-43A9234DA01C}">
      <text>
        <r>
          <rPr>
            <b/>
            <sz val="9"/>
            <color indexed="81"/>
            <rFont val="Tahoma"/>
            <family val="2"/>
          </rPr>
          <t>Holcomb, Jason T (Research):</t>
        </r>
        <r>
          <rPr>
            <sz val="9"/>
            <color indexed="81"/>
            <rFont val="Tahoma"/>
            <family val="2"/>
          </rPr>
          <t xml:space="preserve">
Realizing 3bn charge on GTF, cash component to come in future</t>
        </r>
      </text>
    </comment>
    <comment ref="Y24" authorId="0" shapeId="0" xr:uid="{273E905B-FED7-49A9-8C41-E0748376C5BB}">
      <text>
        <r>
          <rPr>
            <b/>
            <sz val="9"/>
            <color indexed="81"/>
            <rFont val="Tahoma"/>
            <family val="2"/>
          </rPr>
          <t>Holcomb, Jason T (Research):</t>
        </r>
        <r>
          <rPr>
            <sz val="9"/>
            <color indexed="81"/>
            <rFont val="Tahoma"/>
            <family val="2"/>
          </rPr>
          <t xml:space="preserve">
3Q22 CFO: . I expect a little bit of headwind on capital as that inches up
just a tad as we finish off some of these large investments, particularly an upgrade of our facilities in Texas at the RIS business as well as
the completion of the Asheville facility for Pratt.
</t>
        </r>
      </text>
    </comment>
    <comment ref="Y66" authorId="1" shapeId="0" xr:uid="{00000000-0006-0000-0E00-000001000000}">
      <text>
        <r>
          <rPr>
            <sz val="9"/>
            <color indexed="81"/>
            <rFont val="Tahoma"/>
            <family val="2"/>
          </rPr>
          <t>Expected amortization expenses
Source: 2Q20, 10-Q, pg.: 26</t>
        </r>
      </text>
    </comment>
    <comment ref="AC66" authorId="1" shapeId="0" xr:uid="{01279E2F-7F29-4132-9550-3EFFD7D1ADC6}">
      <text>
        <r>
          <rPr>
            <sz val="9"/>
            <color indexed="81"/>
            <rFont val="Tahoma"/>
            <family val="2"/>
          </rPr>
          <t>Expected amortization expenses
Source: 2Q20, 10-Q, pg.: 26</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Holcomb, Jason T (Research)</author>
    <author>Murillo, Alberto (Research)</author>
    <author>Brenes, Miguel (Research)</author>
    <author>Knafelman, Gaby (Research)</author>
    <author>K, Hemalatha (Research)</author>
    <author>Sanchez, Alvaro (Research)</author>
  </authors>
  <commentList>
    <comment ref="AZ15" authorId="0" shapeId="0" xr:uid="{8B1B7133-FA52-4935-A1B9-D7C05E5E3A67}">
      <text>
        <r>
          <rPr>
            <b/>
            <sz val="9"/>
            <color indexed="81"/>
            <rFont val="Tahoma"/>
            <family val="2"/>
          </rPr>
          <t>~$200mn in powdered metal</t>
        </r>
        <r>
          <rPr>
            <sz val="9"/>
            <color indexed="81"/>
            <rFont val="Tahoma"/>
            <family val="2"/>
          </rPr>
          <t xml:space="preserve">
</t>
        </r>
      </text>
    </comment>
    <comment ref="BE15" authorId="0" shapeId="0" xr:uid="{CA5251C9-DBBE-40FE-B9F0-79ECE7C3BE3E}">
      <text>
        <r>
          <rPr>
            <b/>
            <sz val="9"/>
            <color indexed="81"/>
            <rFont val="Tahoma"/>
            <family val="2"/>
          </rPr>
          <t>~$200mn in powdered metal</t>
        </r>
        <r>
          <rPr>
            <sz val="9"/>
            <color indexed="81"/>
            <rFont val="Tahoma"/>
            <family val="2"/>
          </rPr>
          <t xml:space="preserve">
</t>
        </r>
      </text>
    </comment>
    <comment ref="AJ20" authorId="1" shapeId="0" xr:uid="{00000000-0006-0000-0F00-000001000000}">
      <text>
        <r>
          <rPr>
            <b/>
            <sz val="9"/>
            <color indexed="81"/>
            <rFont val="Tahoma"/>
            <family val="2"/>
          </rPr>
          <t>Murillo, Alberto (Research):</t>
        </r>
        <r>
          <rPr>
            <sz val="9"/>
            <color indexed="81"/>
            <rFont val="Tahoma"/>
            <family val="2"/>
          </rPr>
          <t xml:space="preserve">
Includes $649 of Debt extinguishment costs
</t>
        </r>
      </text>
    </comment>
    <comment ref="AU20" authorId="2" shapeId="0" xr:uid="{0C8AA2CA-7FDA-454C-8D91-1CB88A7D0C9B}">
      <text>
        <r>
          <rPr>
            <sz val="9"/>
            <color indexed="81"/>
            <rFont val="Tahoma"/>
            <family val="2"/>
          </rPr>
          <t>Includes "Gain on sale of Cybersecurity, Intelligence and Services business, net of transaction costs"</t>
        </r>
      </text>
    </comment>
    <comment ref="AZ20" authorId="3" shapeId="0" xr:uid="{17B49625-5E7E-488D-91BE-5C6A303FABE7}">
      <text>
        <r>
          <rPr>
            <sz val="9"/>
            <color indexed="81"/>
            <rFont val="Tahoma"/>
            <family val="2"/>
          </rPr>
          <t>also includes share-based 401(k) matching contributions</t>
        </r>
      </text>
    </comment>
    <comment ref="BE20" authorId="3" shapeId="0" xr:uid="{53895B63-5424-4588-856D-0E55559971FB}">
      <text>
        <r>
          <rPr>
            <sz val="9"/>
            <color indexed="81"/>
            <rFont val="Tahoma"/>
            <family val="2"/>
          </rPr>
          <t>also includes share-based 401(k) matching contributions</t>
        </r>
      </text>
    </comment>
    <comment ref="BI25" authorId="3" shapeId="0" xr:uid="{4EC4F351-C86C-4854-A749-7126BDD7C3BB}">
      <text>
        <r>
          <rPr>
            <sz val="9"/>
            <color indexed="81"/>
            <rFont val="Tahoma"/>
            <charset val="1"/>
          </rPr>
          <t>blue canyon divestiture</t>
        </r>
      </text>
    </comment>
    <comment ref="BA35" authorId="3" shapeId="0" xr:uid="{22B01C86-964B-4B16-82BB-55123BCC9278}">
      <text>
        <r>
          <rPr>
            <sz val="9"/>
            <color indexed="81"/>
            <rFont val="Tahoma"/>
            <family val="2"/>
          </rPr>
          <t>includes change in commercial paper</t>
        </r>
      </text>
    </comment>
    <comment ref="BB37" authorId="3" shapeId="0" xr:uid="{7343FE3E-A10F-4B0A-B2D5-F0201FCCDF05}">
      <text>
        <r>
          <rPr>
            <sz val="9"/>
            <color indexed="81"/>
            <rFont val="Tahoma"/>
            <family val="2"/>
          </rPr>
          <t>incl. change in comml paper</t>
        </r>
      </text>
    </comment>
    <comment ref="AJ43" authorId="1" shapeId="0" xr:uid="{00000000-0006-0000-0F00-000002000000}">
      <text>
        <r>
          <rPr>
            <b/>
            <sz val="9"/>
            <color indexed="81"/>
            <rFont val="Tahoma"/>
            <family val="2"/>
          </rPr>
          <t>Murillo, Alberto (Research):</t>
        </r>
        <r>
          <rPr>
            <sz val="9"/>
            <color indexed="81"/>
            <rFont val="Tahoma"/>
            <family val="2"/>
          </rPr>
          <t xml:space="preserve">
Includes $-649 of Debt extinguishment costs</t>
        </r>
      </text>
    </comment>
    <comment ref="AM43" authorId="1" shapeId="0" xr:uid="{7BCF6560-6710-4ACA-B127-FED8EB466897}">
      <text>
        <r>
          <rPr>
            <b/>
            <sz val="9"/>
            <color indexed="81"/>
            <rFont val="Tahoma"/>
            <family val="2"/>
          </rPr>
          <t>Murillo, Alberto (Research):</t>
        </r>
        <r>
          <rPr>
            <sz val="9"/>
            <color indexed="81"/>
            <rFont val="Tahoma"/>
            <family val="2"/>
          </rPr>
          <t xml:space="preserve">
Includes Change in Commercial Paper, net $2067</t>
        </r>
      </text>
    </comment>
    <comment ref="AO43" authorId="1" shapeId="0" xr:uid="{103C5E0C-31B0-4FC8-976C-5EB7E7F9BC65}">
      <text>
        <r>
          <rPr>
            <b/>
            <sz val="9"/>
            <color indexed="81"/>
            <rFont val="Tahoma"/>
            <family val="2"/>
          </rPr>
          <t>Murillo, Alberto (Research):</t>
        </r>
        <r>
          <rPr>
            <sz val="9"/>
            <color indexed="81"/>
            <rFont val="Tahoma"/>
            <family val="2"/>
          </rPr>
          <t xml:space="preserve">
Includes Change in commercial paper, net $518</t>
        </r>
      </text>
    </comment>
    <comment ref="AP43" authorId="1" shapeId="0" xr:uid="{D29B45BE-5FFB-4F61-9361-919B0ABD9B76}">
      <text>
        <r>
          <rPr>
            <b/>
            <sz val="9"/>
            <color indexed="81"/>
            <rFont val="Tahoma"/>
            <family val="2"/>
          </rPr>
          <t>Murillo, Alberto (Research):</t>
        </r>
        <r>
          <rPr>
            <sz val="9"/>
            <color indexed="81"/>
            <rFont val="Tahoma"/>
            <family val="2"/>
          </rPr>
          <t xml:space="preserve">
Includes Change in Commercial Paper, net $-427</t>
        </r>
      </text>
    </comment>
    <comment ref="AQ43" authorId="0" shapeId="0" xr:uid="{4F85B03E-6CCC-4B52-91F0-8954E3B20952}">
      <text>
        <r>
          <rPr>
            <b/>
            <sz val="9"/>
            <color indexed="81"/>
            <rFont val="Tahoma"/>
            <family val="2"/>
          </rPr>
          <t>Holcomb, Jason T (Research):</t>
        </r>
        <r>
          <rPr>
            <sz val="9"/>
            <color indexed="81"/>
            <rFont val="Tahoma"/>
            <family val="2"/>
          </rPr>
          <t xml:space="preserve">
Change in commecial paper</t>
        </r>
      </text>
    </comment>
    <comment ref="BA43" authorId="3" shapeId="0" xr:uid="{91C84955-4BDA-4D31-9693-100F2827EFB0}">
      <text>
        <r>
          <rPr>
            <sz val="9"/>
            <color indexed="81"/>
            <rFont val="Tahoma"/>
            <family val="2"/>
          </rPr>
          <t xml:space="preserve">includes change in commercial paper </t>
        </r>
      </text>
    </comment>
    <comment ref="W52" authorId="4" shapeId="0" xr:uid="{00000000-0006-0000-0F00-000003000000}">
      <text>
        <r>
          <rPr>
            <sz val="9"/>
            <color indexed="81"/>
            <rFont val="Tahoma"/>
            <family val="2"/>
          </rPr>
          <t>Effect of foreign exchange rate changes on cash and cash equivalents from discontinued operations</t>
        </r>
      </text>
    </comment>
    <comment ref="Z53" authorId="4" shapeId="0" xr:uid="{00000000-0006-0000-0F00-000004000000}">
      <text>
        <r>
          <rPr>
            <sz val="9"/>
            <color indexed="81"/>
            <rFont val="Tahoma"/>
            <family val="2"/>
          </rPr>
          <t>Adjusted to match cash and cash equivalent of BS and ending cash cash equivalent of CFS.
$4,937mn: cash and cash equivalent of BS (excl. discontinued operation impact)
$4,961mn: Cash, cash equivalents and restricted cash, beginning of period
$2,459mn: Cash, cash equivalents and restricted cash within assets related to discontinued operations, beginning of period</t>
        </r>
      </text>
    </comment>
    <comment ref="AA53" authorId="4" shapeId="0" xr:uid="{00000000-0006-0000-0F00-000005000000}">
      <text>
        <r>
          <rPr>
            <sz val="9"/>
            <color indexed="81"/>
            <rFont val="Tahoma"/>
            <family val="2"/>
          </rPr>
          <t>Adjusted for difference in six month minus three month net income (-3328+3820) (excludes RTN results) and derived proforma net income (includes UTC (excl. Otis &amp; carrier) + RTN)
$((4961+2459)-4937) - back calculated the adjustment made in FY19  to match ending cash &amp; cash equivalent of 2Q20 as reported with discontinued operation impact.</t>
        </r>
      </text>
    </comment>
    <comment ref="V56" authorId="4" shapeId="0" xr:uid="{00000000-0006-0000-0F00-000006000000}">
      <text>
        <r>
          <rPr>
            <sz val="9"/>
            <color indexed="81"/>
            <rFont val="Tahoma"/>
            <family val="2"/>
          </rPr>
          <t>$3,731mn: Cash, cash equivalents and restricted cash, beginning of period
$2,481mn: Cash, cash equivalents and restricted cash within assets related to discontinued operations, beginning of period</t>
        </r>
      </text>
    </comment>
    <comment ref="AE59" authorId="5" shapeId="0" xr:uid="{00000000-0006-0000-0F00-000007000000}">
      <text>
        <r>
          <rPr>
            <b/>
            <sz val="9"/>
            <color indexed="81"/>
            <rFont val="Tahoma"/>
            <family val="2"/>
          </rPr>
          <t>Sanchez, Alvaro (Research):</t>
        </r>
        <r>
          <rPr>
            <sz val="9"/>
            <color indexed="81"/>
            <rFont val="Tahoma"/>
            <family val="2"/>
          </rPr>
          <t xml:space="preserve">
MW validation adjustment</t>
        </r>
      </text>
    </comment>
    <comment ref="V66" authorId="5" shapeId="0" xr:uid="{00000000-0006-0000-0F00-000008000000}">
      <text>
        <r>
          <rPr>
            <b/>
            <sz val="9"/>
            <color indexed="81"/>
            <rFont val="Tahoma"/>
            <family val="2"/>
          </rPr>
          <t>Sanchez, Alvaro (Research):</t>
        </r>
        <r>
          <rPr>
            <sz val="9"/>
            <color indexed="81"/>
            <rFont val="Tahoma"/>
            <family val="2"/>
          </rPr>
          <t xml:space="preserve">
Amortization of intangible assets for the quarters ended March 31, 2020 and 2019 were $354 million and $374 million, respectively.</t>
        </r>
      </text>
    </comment>
    <comment ref="W66" authorId="5" shapeId="0" xr:uid="{00000000-0006-0000-0F00-000009000000}">
      <text>
        <r>
          <rPr>
            <b/>
            <sz val="9"/>
            <color indexed="81"/>
            <rFont val="Tahoma"/>
            <family val="2"/>
          </rPr>
          <t>Sanchez, Alvaro (Research):</t>
        </r>
        <r>
          <rPr>
            <sz val="9"/>
            <color indexed="81"/>
            <rFont val="Tahoma"/>
            <family val="2"/>
          </rPr>
          <t xml:space="preserve">
Amortization of intangible assets for the quarters and six months ended June 30, 2020 and 2019 were $600 million and $907 million and $296 million
and $615 million, respectively.</t>
        </r>
      </text>
    </comment>
    <comment ref="AA66" authorId="5" shapeId="0" xr:uid="{00000000-0006-0000-0F00-00000A000000}">
      <text>
        <r>
          <rPr>
            <b/>
            <sz val="9"/>
            <color indexed="81"/>
            <rFont val="Tahoma"/>
            <family val="2"/>
          </rPr>
          <t>Sanchez, Alvaro (Research):</t>
        </r>
        <r>
          <rPr>
            <sz val="9"/>
            <color indexed="81"/>
            <rFont val="Tahoma"/>
            <family val="2"/>
          </rPr>
          <t xml:space="preserve">
Amortization of intangible assets for the quarters ended March 31, 2020 and 2019 were $354 million and $374 million, respectively.</t>
        </r>
      </text>
    </comment>
    <comment ref="AB66" authorId="5" shapeId="0" xr:uid="{00000000-0006-0000-0F00-00000B000000}">
      <text>
        <r>
          <rPr>
            <b/>
            <sz val="9"/>
            <color indexed="81"/>
            <rFont val="Tahoma"/>
            <family val="2"/>
          </rPr>
          <t>Sanchez, Alvaro (Research):</t>
        </r>
        <r>
          <rPr>
            <sz val="9"/>
            <color indexed="81"/>
            <rFont val="Tahoma"/>
            <family val="2"/>
          </rPr>
          <t xml:space="preserve">
Amortization of intangible assets for the quarters and six months ended June 30, 2020 and 2019 were $600 million and $907 million and $296 million
and $615 million, respectively.</t>
        </r>
      </text>
    </comment>
    <comment ref="BI66" authorId="4" shapeId="0" xr:uid="{F1C16F35-7377-450C-AFE9-52C513D9E051}">
      <text>
        <r>
          <rPr>
            <sz val="9"/>
            <color indexed="81"/>
            <rFont val="Tahoma"/>
            <family val="2"/>
          </rPr>
          <t>Expected amortization expenses
Source: 2Q20, 10-Q, pg.: 26</t>
        </r>
      </text>
    </comment>
    <comment ref="W79" authorId="4" shapeId="0" xr:uid="{00000000-0006-0000-0F00-00000C000000}">
      <text>
        <r>
          <rPr>
            <sz val="9"/>
            <color indexed="81"/>
            <rFont val="Tahoma"/>
            <family val="2"/>
          </rPr>
          <t>$1.470 per share: six  months dividend paid per share</t>
        </r>
      </text>
    </comment>
    <comment ref="AA79" authorId="5" shapeId="0" xr:uid="{00000000-0006-0000-0F00-00000D000000}">
      <text>
        <r>
          <rPr>
            <b/>
            <sz val="9"/>
            <color indexed="81"/>
            <rFont val="Tahoma"/>
            <family val="2"/>
          </rPr>
          <t>Sanchez, Alvaro (Research):</t>
        </r>
        <r>
          <rPr>
            <sz val="9"/>
            <color indexed="81"/>
            <rFont val="Tahoma"/>
            <family val="2"/>
          </rPr>
          <t xml:space="preserve">
We paid dividends on common stock of $0.735 per share, totaling approximately $614 million in the aggregate for the quarter ended March 31,
2020.</t>
        </r>
      </text>
    </comment>
    <comment ref="AB79" authorId="5" shapeId="0" xr:uid="{00000000-0006-0000-0F00-00000E000000}">
      <text>
        <r>
          <rPr>
            <b/>
            <sz val="9"/>
            <color indexed="81"/>
            <rFont val="Tahoma"/>
            <family val="2"/>
          </rPr>
          <t>Sanchez, Alvaro (Research):</t>
        </r>
        <r>
          <rPr>
            <sz val="9"/>
            <color indexed="81"/>
            <rFont val="Tahoma"/>
            <family val="2"/>
          </rPr>
          <t xml:space="preserve">
On April 27, 2020, the Board of Directors declared a dividend of $0.475 per share payable June 18, 2020 to shareowners of record at the close of
business on May 15, 2020.</t>
        </r>
      </text>
    </comment>
    <comment ref="AC79" authorId="5" shapeId="0" xr:uid="{00000000-0006-0000-0F00-00000F000000}">
      <text>
        <r>
          <rPr>
            <b/>
            <sz val="9"/>
            <color indexed="81"/>
            <rFont val="Tahoma"/>
            <family val="2"/>
          </rPr>
          <t>Sanchez, Alvaro (Research):</t>
        </r>
        <r>
          <rPr>
            <sz val="9"/>
            <color indexed="81"/>
            <rFont val="Tahoma"/>
            <family val="2"/>
          </rPr>
          <t xml:space="preserve">
On June 8, 2020 the Board of Directors declared a dividend of $0.475 per share payable September 10, 2020 to shareowners of record at the close of
business on August 14, 2020.</t>
        </r>
      </text>
    </comment>
    <comment ref="AH79" authorId="5" shapeId="0" xr:uid="{00000000-0006-0000-0F00-000010000000}">
      <text>
        <r>
          <rPr>
            <b/>
            <sz val="9"/>
            <color indexed="81"/>
            <rFont val="Tahoma"/>
            <family val="2"/>
          </rPr>
          <t>Sanchez, Alvaro (Research):</t>
        </r>
        <r>
          <rPr>
            <sz val="9"/>
            <color indexed="81"/>
            <rFont val="Tahoma"/>
            <family val="2"/>
          </rPr>
          <t xml:space="preserve">
On June 21, 2021 the Board of Directors declared a dividend of $0.51 per share payable September 9, 2021 to shareowners of record at the close of business on August 20, 2021. Also, on October 13, 2021, the Board of Directors declared a dividend of $0.51 per share payable December 16, 2021 to shareowners of record at the close of business on November 19, 2021.</t>
        </r>
      </text>
    </comment>
    <comment ref="AL79" authorId="1" shapeId="0" xr:uid="{FC3453DE-B006-44E6-A2D8-A85F6CB30095}">
      <text>
        <r>
          <rPr>
            <b/>
            <sz val="9"/>
            <color indexed="81"/>
            <rFont val="Tahoma"/>
            <family val="2"/>
          </rPr>
          <t>On June 6, 2022, the Board of Directors declared a dividend of $0.55 per share payable September 8, 2022 to shareowners of record at the close of business
on August 19, 2022</t>
        </r>
      </text>
    </comment>
    <comment ref="AM79" authorId="5" shapeId="0" xr:uid="{BCFED5E0-2F24-4372-BFC6-9B27F68D0E2E}">
      <text>
        <r>
          <rPr>
            <b/>
            <sz val="9"/>
            <color indexed="81"/>
            <rFont val="Tahoma"/>
            <family val="2"/>
          </rPr>
          <t>On June 6, 2022, the Board of Directors declared a dividend of $0.55 per share payable September 8, 2022 to shareowners of record at the close of business
on August 19, 2022. Also, on October 12, 2022, the Board of Directors declared a dividend of $0.55 per share payable December 15, 2022 to shareowners
of record at the close of business on November 18, 2022</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Singh, Abhishek (Research)</author>
  </authors>
  <commentList>
    <comment ref="X7" authorId="0" shapeId="0" xr:uid="{00000000-0006-0000-1000-000001000000}">
      <text>
        <r>
          <rPr>
            <sz val="9"/>
            <color indexed="81"/>
            <rFont val="Tahoma"/>
            <family val="2"/>
          </rPr>
          <t>Repaid</t>
        </r>
      </text>
    </comment>
    <comment ref="X8" authorId="0" shapeId="0" xr:uid="{00000000-0006-0000-1000-000002000000}">
      <text>
        <r>
          <rPr>
            <sz val="9"/>
            <color indexed="81"/>
            <rFont val="Tahoma"/>
            <family val="2"/>
          </rPr>
          <t>Repaid</t>
        </r>
      </text>
    </comment>
    <comment ref="Y9" authorId="0" shapeId="0" xr:uid="{00000000-0006-0000-1000-000003000000}">
      <text>
        <r>
          <rPr>
            <sz val="9"/>
            <color indexed="81"/>
            <rFont val="Tahoma"/>
            <family val="2"/>
          </rPr>
          <t>Repaid</t>
        </r>
      </text>
    </comment>
    <comment ref="Y10" authorId="0" shapeId="0" xr:uid="{00000000-0006-0000-1000-000004000000}">
      <text>
        <r>
          <rPr>
            <sz val="9"/>
            <color indexed="81"/>
            <rFont val="Tahoma"/>
            <family val="2"/>
          </rPr>
          <t>Repaid</t>
        </r>
      </text>
    </comment>
    <comment ref="AC14" authorId="0" shapeId="0" xr:uid="{C52C7240-00CF-4D9D-8F9E-51783EF87799}">
      <text>
        <r>
          <rPr>
            <sz val="9"/>
            <color indexed="81"/>
            <rFont val="Tahoma"/>
            <family val="2"/>
          </rPr>
          <t>Repaid</t>
        </r>
      </text>
    </comment>
    <comment ref="Y63" authorId="0" shapeId="0" xr:uid="{00000000-0006-0000-1000-000009000000}">
      <text>
        <r>
          <rPr>
            <sz val="9"/>
            <color indexed="81"/>
            <rFont val="Tahoma"/>
            <family val="2"/>
          </rPr>
          <t xml:space="preserve">$950mn: 3.200% notes due 2024 and,
$300mn : 3.150% notes due 2024 as current portion of Debt. </t>
        </r>
      </text>
    </comment>
    <comment ref="AC63" authorId="0" shapeId="0" xr:uid="{80852B6A-EEF0-4E03-A59C-076573DE8525}">
      <text>
        <r>
          <rPr>
            <sz val="9"/>
            <color indexed="81"/>
            <rFont val="Tahoma"/>
            <family val="2"/>
          </rPr>
          <t xml:space="preserve">$719mn: 2.650% notes due 2026 as current portion.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Singh, Abhishek (Research)</author>
    <author>Sanchez, Alvaro (Research)</author>
    <author>Knafelman, Gaby (Research)</author>
  </authors>
  <commentList>
    <comment ref="AD4" authorId="0" shapeId="0" xr:uid="{00000000-0006-0000-1100-000001000000}">
      <text>
        <r>
          <rPr>
            <sz val="9"/>
            <color indexed="81"/>
            <rFont val="Tahoma"/>
            <family val="2"/>
          </rPr>
          <t>Repaid</t>
        </r>
      </text>
    </comment>
    <comment ref="AF5" authorId="1" shapeId="0" xr:uid="{00000000-0006-0000-1100-000002000000}">
      <text>
        <r>
          <rPr>
            <b/>
            <sz val="9"/>
            <color indexed="81"/>
            <rFont val="Tahoma"/>
            <family val="2"/>
          </rPr>
          <t>Repaid
Source: 1Q21-10Q</t>
        </r>
        <r>
          <rPr>
            <sz val="9"/>
            <color indexed="81"/>
            <rFont val="Tahoma"/>
            <family val="2"/>
          </rPr>
          <t xml:space="preserve">
</t>
        </r>
      </text>
    </comment>
    <comment ref="AI5" authorId="0" shapeId="0" xr:uid="{00000000-0006-0000-1100-000003000000}">
      <text>
        <r>
          <rPr>
            <sz val="9"/>
            <color indexed="81"/>
            <rFont val="Tahoma"/>
            <family val="2"/>
          </rPr>
          <t>Repaid</t>
        </r>
      </text>
    </comment>
    <comment ref="AI6" authorId="0" shapeId="0" xr:uid="{00000000-0006-0000-1100-000004000000}">
      <text>
        <r>
          <rPr>
            <sz val="9"/>
            <color indexed="81"/>
            <rFont val="Tahoma"/>
            <family val="2"/>
          </rPr>
          <t>Repaid</t>
        </r>
      </text>
    </comment>
    <comment ref="BD14" authorId="0" shapeId="0" xr:uid="{B6C912D4-BDC3-4F47-9694-DAA3ED87A88C}">
      <text>
        <r>
          <rPr>
            <sz val="9"/>
            <color indexed="81"/>
            <rFont val="Tahoma"/>
            <family val="2"/>
          </rPr>
          <t>Repaid</t>
        </r>
      </text>
    </comment>
    <comment ref="AG58" authorId="0" shapeId="0" xr:uid="{00000000-0006-0000-1100-000005000000}">
      <text>
        <r>
          <rPr>
            <sz val="9"/>
            <color indexed="81"/>
            <rFont val="Tahoma"/>
            <family val="2"/>
          </rPr>
          <t>Repaid</t>
        </r>
      </text>
    </comment>
    <comment ref="BA58" authorId="2" shapeId="0" xr:uid="{A442FCE2-DA5B-4ECE-97F5-2EA62EC74CAB}">
      <text>
        <r>
          <rPr>
            <sz val="9"/>
            <color indexed="81"/>
            <rFont val="Tahoma"/>
            <family val="2"/>
          </rPr>
          <t xml:space="preserve">At June 30, 2025 we had $1.4 billion of commercial paper borrowings outstanding. At June 30, 2025, short-term commercial paper borrowings outstanding had a weighted-average interest rate of 4.7%.
</t>
        </r>
      </text>
    </comment>
    <comment ref="AG59" authorId="0" shapeId="0" xr:uid="{00000000-0006-0000-1100-000006000000}">
      <text>
        <r>
          <rPr>
            <sz val="9"/>
            <color indexed="81"/>
            <rFont val="Tahoma"/>
            <family val="2"/>
          </rPr>
          <t>Repaid</t>
        </r>
      </text>
    </comment>
    <comment ref="AD63" authorId="0" shapeId="0" xr:uid="{00000000-0006-0000-1100-000007000000}">
      <text>
        <r>
          <rPr>
            <sz val="9"/>
            <color indexed="81"/>
            <rFont val="Tahoma"/>
            <family val="2"/>
          </rPr>
          <t>$250mn:8.750% notes due 2021,
$250mn:3.100% notes due 2021 as current portion.</t>
        </r>
      </text>
    </comment>
    <comment ref="AF63" authorId="0" shapeId="0" xr:uid="{00000000-0006-0000-1100-000008000000}">
      <text>
        <r>
          <rPr>
            <sz val="9"/>
            <color indexed="81"/>
            <rFont val="Tahoma"/>
            <family val="2"/>
          </rPr>
          <t>$250mn:8.750% notes due 2021,
$250mn:3.100% notes due 2021 as current portion.</t>
        </r>
      </text>
    </comment>
    <comment ref="AI63" authorId="0" shapeId="0" xr:uid="{00000000-0006-0000-1100-000009000000}">
      <text>
        <r>
          <rPr>
            <sz val="9"/>
            <color indexed="81"/>
            <rFont val="Tahoma"/>
            <family val="2"/>
          </rPr>
          <t>$1100mn: 2.800% notes due 2022 and,
$1100mn: 2.500% notes due 2022 as current portion.</t>
        </r>
      </text>
    </comment>
    <comment ref="AK63" authorId="0" shapeId="0" xr:uid="{00000000-0006-0000-1100-00000A000000}">
      <text>
        <r>
          <rPr>
            <sz val="9"/>
            <color indexed="81"/>
            <rFont val="Tahoma"/>
            <family val="2"/>
          </rPr>
          <t>$1100mn: 2.800% notes due 2022 and,
$1100mn: 2.500% notes due 2022 as current portion.</t>
        </r>
      </text>
    </comment>
    <comment ref="AB125" authorId="0" shapeId="0" xr:uid="{00000000-0006-0000-1100-00000B000000}">
      <text>
        <r>
          <rPr>
            <sz val="9"/>
            <color indexed="81"/>
            <rFont val="Tahoma"/>
            <family val="2"/>
          </rPr>
          <t>Assumed Equal to Average Interest Expense on Total Debt.</t>
        </r>
      </text>
    </comment>
    <comment ref="AB126" authorId="0" shapeId="0" xr:uid="{00000000-0006-0000-1100-00000C000000}">
      <text>
        <r>
          <rPr>
            <sz val="9"/>
            <color indexed="81"/>
            <rFont val="Tahoma"/>
            <family val="2"/>
          </rPr>
          <t>Assumed Equal to Average Interest Expense on Total Debt.</t>
        </r>
      </text>
    </comment>
    <comment ref="AB127" authorId="0" shapeId="0" xr:uid="{00000000-0006-0000-1100-00000D000000}">
      <text>
        <r>
          <rPr>
            <sz val="9"/>
            <color indexed="81"/>
            <rFont val="Tahoma"/>
            <family val="2"/>
          </rPr>
          <t>Assumed Equal to Average Interest Expense on Total Debt.</t>
        </r>
      </text>
    </comment>
    <comment ref="AE196" authorId="1" shapeId="0" xr:uid="{00000000-0006-0000-1100-00000E000000}">
      <text>
        <r>
          <rPr>
            <b/>
            <sz val="9"/>
            <color indexed="81"/>
            <rFont val="Tahoma"/>
            <family val="2"/>
          </rPr>
          <t>Sanchez, Alvaro (Research):</t>
        </r>
        <r>
          <rPr>
            <sz val="9"/>
            <color indexed="81"/>
            <rFont val="Tahoma"/>
            <family val="2"/>
          </rPr>
          <t xml:space="preserve">
Interest income for 2020 was 42 according to 2020 10-K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 Hemalatha (Research)</author>
  </authors>
  <commentList>
    <comment ref="M2" authorId="0" shapeId="0" xr:uid="{7C45C8A7-3E41-47CC-B819-3C6964FE7972}">
      <text>
        <r>
          <rPr>
            <sz val="9"/>
            <color indexed="81"/>
            <rFont val="Tahoma"/>
            <family val="2"/>
          </rPr>
          <t>The acquired Goodrich business and the legacy Hamilton Sundstrand business have been combined to form a new segment named UTC Aerospace Systems.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 Hemalatha (Research)</author>
    <author>Sanchez, Alvaro (Research)</author>
    <author>Knafelman, Gaby (Research)</author>
    <author>Sharpe, Matt (Research)</author>
  </authors>
  <commentList>
    <comment ref="U2" authorId="0" shapeId="0" xr:uid="{4101DD99-E726-4A17-A63D-E2D8427B54CE}">
      <text>
        <r>
          <rPr>
            <b/>
            <sz val="9"/>
            <color indexed="81"/>
            <rFont val="Tahoma"/>
            <family val="2"/>
          </rPr>
          <t>F</t>
        </r>
        <r>
          <rPr>
            <sz val="9"/>
            <color indexed="81"/>
            <rFont val="Tahoma"/>
            <family val="2"/>
          </rPr>
          <t>rom FY2018 to going back, data is taken from UTC model. 
Please note the product and services sales breakup is given for 2018 in UTC but, that is inclusive of intersegment sales. In the new RTX reporting intersegment sales is reported separately. Hence taken sales data from net sales level.</t>
        </r>
      </text>
    </comment>
    <comment ref="AA2" authorId="1" shapeId="0" xr:uid="{E794C8FE-A9EF-422B-BF5F-FF28D23E6D5B}">
      <text>
        <r>
          <rPr>
            <b/>
            <sz val="9"/>
            <color indexed="81"/>
            <rFont val="Tahoma"/>
            <family val="2"/>
          </rPr>
          <t>Sanchez, Alvaro (Research):</t>
        </r>
        <r>
          <rPr>
            <sz val="9"/>
            <color indexed="81"/>
            <rFont val="Tahoma"/>
            <family val="2"/>
          </rPr>
          <t xml:space="preserve">
Segment sales disaggregated by sales type for the quarters ended March 31, 2020 and 2019 are as follows</t>
        </r>
      </text>
    </comment>
    <comment ref="F15" authorId="0" shapeId="0" xr:uid="{E65F2C8C-DB79-46A8-B12E-172251DD09A7}">
      <text>
        <r>
          <rPr>
            <sz val="9"/>
            <color indexed="81"/>
            <rFont val="Tahoma"/>
            <family val="2"/>
          </rPr>
          <t>charge resulting from customer contract negotiations</t>
        </r>
      </text>
    </comment>
    <comment ref="F27" authorId="0" shapeId="0" xr:uid="{B4B310EE-F4B4-4BBE-B052-7B712699E866}">
      <text>
        <r>
          <rPr>
            <sz val="9"/>
            <color indexed="81"/>
            <rFont val="Tahoma"/>
            <family val="2"/>
          </rPr>
          <t>Includes:
$295mn: Charge resulting from customer contract negotiations
$61mn: Charge for impairment of assets held for sale</t>
        </r>
      </text>
    </comment>
    <comment ref="R27" authorId="0" shapeId="0" xr:uid="{5E2ED7EF-4746-420F-B0D4-6B14C4A0A2A1}">
      <text>
        <r>
          <rPr>
            <sz val="9"/>
            <color indexed="81"/>
            <rFont val="Tahoma"/>
            <family val="2"/>
          </rPr>
          <t>Asset impairment</t>
        </r>
      </text>
    </comment>
    <comment ref="U27" authorId="0" shapeId="0" xr:uid="{8C7CA2FD-484E-4D10-AB26-B8A3DECEAEB6}">
      <text>
        <r>
          <rPr>
            <sz val="9"/>
            <color indexed="81"/>
            <rFont val="Tahoma"/>
            <family val="2"/>
          </rPr>
          <t>$102mn: Amortization of Rockwell Collins inventory fair value adjustment
$48mn: Asset impairment</t>
        </r>
      </text>
    </comment>
    <comment ref="V27" authorId="0" shapeId="0" xr:uid="{0FD2D21E-8380-4BC0-9254-DB84C34B3C96}">
      <text>
        <r>
          <rPr>
            <sz val="9"/>
            <color indexed="81"/>
            <rFont val="Tahoma"/>
            <family val="2"/>
          </rPr>
          <t xml:space="preserve">Includes:
$25mn: Loss on sale of business
$181mn: Amortization of Rockwell Collins inventory fair value adjustment
</t>
        </r>
      </text>
    </comment>
    <comment ref="BB27" authorId="2" shapeId="0" xr:uid="{69FA5418-8EEB-452E-8EE2-D6EB8AE5F57D}">
      <text>
        <r>
          <rPr>
            <sz val="9"/>
            <color indexed="81"/>
            <rFont val="Tahoma"/>
            <family val="2"/>
          </rPr>
          <t xml:space="preserve">incl. gain on sale of business, net of transaction and other costs </t>
        </r>
      </text>
    </comment>
    <comment ref="Z47" authorId="3" shapeId="0" xr:uid="{82E732B4-1D29-4AA3-99E7-F423C343BE35}">
      <text>
        <r>
          <rPr>
            <b/>
            <sz val="9"/>
            <color indexed="81"/>
            <rFont val="Tahoma"/>
            <family val="2"/>
          </rPr>
          <t>2019 Pairs Airshow slide deck, slide 5</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 Hemalatha (Research)</author>
  </authors>
  <commentList>
    <comment ref="M41" authorId="0" shapeId="0" xr:uid="{00000000-0006-0000-1400-000001000000}">
      <text>
        <r>
          <rPr>
            <sz val="9"/>
            <color indexed="81"/>
            <rFont val="Tahoma"/>
            <family val="2"/>
          </rPr>
          <t xml:space="preserve">Approximately $41 million gain recognized from the sale of an equity investment.
</t>
        </r>
      </text>
    </comment>
    <comment ref="O41" authorId="0" shapeId="0" xr:uid="{00000000-0006-0000-1400-000002000000}">
      <text>
        <r>
          <rPr>
            <sz val="9"/>
            <color indexed="81"/>
            <rFont val="Tahoma"/>
            <family val="2"/>
          </rPr>
          <t>$193mn: gain from the sale of the Pratt &amp; Whitney Power Systems business.
$25mn: charge to adjust the fair value of a Pratt &amp; Whitney joint venture investment.</t>
        </r>
      </text>
    </comment>
    <comment ref="P41" authorId="0" shapeId="0" xr:uid="{00000000-0006-0000-1400-000003000000}">
      <text>
        <r>
          <rPr>
            <sz val="9"/>
            <color indexed="81"/>
            <rFont val="Tahoma"/>
            <family val="2"/>
          </rPr>
          <t>Includes:
$ 83mn: Net gain on fair value adjustment related to a business acquisition
$60mn: Adjustment to fair value of a joint venture investment
$22mn: Charge for impairment of assets related to a joint venture investment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 Hemalatha (Research)</author>
    <author>Knafelman, Gaby (Research)</author>
  </authors>
  <commentList>
    <comment ref="U2" authorId="0" shapeId="0" xr:uid="{00000000-0006-0000-1500-000001000000}">
      <text>
        <r>
          <rPr>
            <b/>
            <sz val="9"/>
            <color indexed="81"/>
            <rFont val="Tahoma"/>
            <family val="2"/>
          </rPr>
          <t>F</t>
        </r>
        <r>
          <rPr>
            <sz val="9"/>
            <color indexed="81"/>
            <rFont val="Tahoma"/>
            <family val="2"/>
          </rPr>
          <t>rom FY2018 to going back, data is taken from UTC model. 
Please note the product and services sales breakup is given for 2018 in UTC but, that is inclusive of intersegment sales. In the new RTX reporting intersegment sales is reported separately. Hence taken sales data from net sales level.</t>
        </r>
      </text>
    </comment>
    <comment ref="F29" authorId="0" shapeId="0" xr:uid="{00000000-0006-0000-1500-000002000000}">
      <text>
        <r>
          <rPr>
            <sz val="9"/>
            <color indexed="81"/>
            <rFont val="Tahoma"/>
            <family val="2"/>
          </rPr>
          <t xml:space="preserve"> charge resulting from ongoing customer contract negotiations</t>
        </r>
      </text>
    </comment>
    <comment ref="N29" authorId="0" shapeId="0" xr:uid="{00000000-0006-0000-1500-000003000000}">
      <text>
        <r>
          <rPr>
            <sz val="9"/>
            <color indexed="81"/>
            <rFont val="Tahoma"/>
            <family val="2"/>
          </rPr>
          <t>charge resulting from customer contract matters</t>
        </r>
      </text>
    </comment>
    <comment ref="P29" authorId="0" shapeId="0" xr:uid="{00000000-0006-0000-1500-000004000000}">
      <text>
        <r>
          <rPr>
            <sz val="9"/>
            <color indexed="81"/>
            <rFont val="Tahoma"/>
            <family val="2"/>
          </rPr>
          <t>charge resulting from customer contract matters</t>
        </r>
      </text>
    </comment>
    <comment ref="AA29" authorId="0" shapeId="0" xr:uid="{00000000-0006-0000-1500-000005000000}">
      <text>
        <r>
          <rPr>
            <sz val="9"/>
            <color indexed="81"/>
            <rFont val="Tahoma"/>
            <family val="2"/>
          </rPr>
          <t>Favorable impact of a contract termination</t>
        </r>
      </text>
    </comment>
    <comment ref="AB29" authorId="0" shapeId="0" xr:uid="{00000000-0006-0000-1500-000006000000}">
      <text>
        <r>
          <rPr>
            <sz val="9"/>
            <color indexed="81"/>
            <rFont val="Tahoma"/>
            <family val="2"/>
          </rPr>
          <t>Significant unfavorable contract adjustments</t>
        </r>
      </text>
    </comment>
    <comment ref="F41" authorId="0" shapeId="0" xr:uid="{00000000-0006-0000-1500-000007000000}">
      <text>
        <r>
          <rPr>
            <sz val="9"/>
            <color indexed="81"/>
            <rFont val="Tahoma"/>
            <family val="2"/>
          </rPr>
          <t>Includes:
$867mn: Charge related to a research and development support agreement with the Canadian government
$80mn: Charge resulting from ongoing customer contract negotiations</t>
        </r>
      </text>
    </comment>
    <comment ref="I41" authorId="0" shapeId="0" xr:uid="{00000000-0006-0000-1500-000008000000}">
      <text>
        <r>
          <rPr>
            <sz val="9"/>
            <color indexed="81"/>
            <rFont val="Tahoma"/>
            <family val="2"/>
          </rPr>
          <t>Charge resulting from customer contract matters</t>
        </r>
      </text>
    </comment>
    <comment ref="K41" authorId="0" shapeId="0" xr:uid="{00000000-0006-0000-1500-000009000000}">
      <text>
        <r>
          <rPr>
            <sz val="9"/>
            <color indexed="81"/>
            <rFont val="Tahoma"/>
            <family val="2"/>
          </rPr>
          <t>Charge resulting from customer contract matters</t>
        </r>
      </text>
    </comment>
    <comment ref="N41" authorId="0" shapeId="0" xr:uid="{00000000-0006-0000-1500-00000A000000}">
      <text>
        <r>
          <rPr>
            <sz val="9"/>
            <color indexed="81"/>
            <rFont val="Tahoma"/>
            <family val="2"/>
          </rPr>
          <t>Charge resulting from customer contract matters</t>
        </r>
      </text>
    </comment>
    <comment ref="S41" authorId="0" shapeId="0" xr:uid="{00000000-0006-0000-1500-00000B000000}">
      <text>
        <r>
          <rPr>
            <sz val="9"/>
            <color indexed="81"/>
            <rFont val="Tahoma"/>
            <family val="2"/>
          </rPr>
          <t>Charge resulting from customer contract matters</t>
        </r>
      </text>
    </comment>
    <comment ref="AA41" authorId="0" shapeId="0" xr:uid="{00000000-0006-0000-1500-00000C000000}">
      <text>
        <r>
          <rPr>
            <sz val="9"/>
            <color indexed="81"/>
            <rFont val="Tahoma"/>
            <family val="2"/>
          </rPr>
          <t>Includes:
$210mn: Bad debt expense driven by customer bankruptcies and collectability risk
$110mn: Significant unfavorable contract adjustments
$59mn: Government wage subsidies
$22mn: Favorable impact of a contract termination</t>
        </r>
      </text>
    </comment>
    <comment ref="AB41" authorId="0" shapeId="0" xr:uid="{00000000-0006-0000-1500-00000D000000}">
      <text>
        <r>
          <rPr>
            <sz val="9"/>
            <color indexed="81"/>
            <rFont val="Tahoma"/>
            <family val="2"/>
          </rPr>
          <t>Includes:
$148mn: Bad debt expense driven by customer bankruptcies and collectability risk
$110mn: Significant unfavorable contract adjustments
$59mn: Government wage subsidies</t>
        </r>
      </text>
    </comment>
    <comment ref="BA41" authorId="1" shapeId="0" xr:uid="{97E6BF8F-2E16-4B8F-8056-5731D63B2439}">
      <text>
        <r>
          <rPr>
            <sz val="9"/>
            <color indexed="81"/>
            <rFont val="Tahoma"/>
            <family val="2"/>
          </rPr>
          <t>customer bankruptcy</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 Hemalatha (Research)</author>
    <author>Sharpe, Matt (Research)</author>
    <author>Liwag, Kristine T (Research)</author>
    <author>Knafelman, Gaby (Research)</author>
    <author>Holcomb, Jason T (Research)</author>
  </authors>
  <commentList>
    <comment ref="U2" authorId="0" shapeId="0" xr:uid="{19234333-4B63-4DDD-83B4-5EF8F0DB8F96}">
      <text>
        <r>
          <rPr>
            <sz val="9"/>
            <color indexed="81"/>
            <rFont val="Tahoma"/>
            <family val="2"/>
          </rPr>
          <t xml:space="preserve">Post merger, The RIS and RMD segments were created based on the reorganization of Raytheon’s historical business segments, where Raytheon’s Intelligence, Information and Services and Space and Airborne Systems segments were combined to form the RIS segment, and Raytheon’s Integrated Defense Systems and Missiles Systems segments were combined to form the RMD segment
</t>
        </r>
      </text>
    </comment>
    <comment ref="V2" authorId="0" shapeId="0" xr:uid="{C35EB203-4E0F-48B1-866A-29E03193A853}">
      <text>
        <r>
          <rPr>
            <sz val="9"/>
            <color indexed="81"/>
            <rFont val="Tahoma"/>
            <family val="2"/>
          </rPr>
          <t>Pro Forma Segment Data</t>
        </r>
      </text>
    </comment>
    <comment ref="W2" authorId="0" shapeId="0" xr:uid="{342DFEE5-76E8-4D9E-BC88-0E1BC7901EA3}">
      <text>
        <r>
          <rPr>
            <sz val="9"/>
            <color indexed="81"/>
            <rFont val="Tahoma"/>
            <family val="2"/>
          </rPr>
          <t>Pro Forma Segment Data</t>
        </r>
      </text>
    </comment>
    <comment ref="X2" authorId="0" shapeId="0" xr:uid="{BD21AB01-CF09-4D62-87B0-E8149A091A2B}">
      <text>
        <r>
          <rPr>
            <sz val="9"/>
            <color indexed="81"/>
            <rFont val="Tahoma"/>
            <family val="2"/>
          </rPr>
          <t>Pro Forma Segment Data</t>
        </r>
      </text>
    </comment>
    <comment ref="Z2" authorId="0" shapeId="0" xr:uid="{0A25F905-7A00-4F1E-9FB5-749FB82C4757}">
      <text>
        <r>
          <rPr>
            <sz val="9"/>
            <color indexed="81"/>
            <rFont val="Tahoma"/>
            <family val="2"/>
          </rPr>
          <t>Pro Forma Segment Data</t>
        </r>
      </text>
    </comment>
    <comment ref="AA2" authorId="0" shapeId="0" xr:uid="{7077946B-7211-420A-B0DF-F5019037672F}">
      <text>
        <r>
          <rPr>
            <sz val="9"/>
            <color indexed="81"/>
            <rFont val="Tahoma"/>
            <family val="2"/>
          </rPr>
          <t>Pro Forma Segment Data</t>
        </r>
      </text>
    </comment>
    <comment ref="AB11" authorId="1" shapeId="0" xr:uid="{3B5EA538-4B65-4523-991E-6E4ADD7AD28E}">
      <text>
        <r>
          <rPr>
            <b/>
            <sz val="9"/>
            <color indexed="81"/>
            <rFont val="Tahoma"/>
            <family val="2"/>
          </rPr>
          <t>Does not include stub period sales of ~$200mn</t>
        </r>
      </text>
    </comment>
    <comment ref="AA14" authorId="2" shapeId="0" xr:uid="{C287CD55-AFA5-4E70-A32A-5FA5B7A4ABAB}">
      <text>
        <r>
          <rPr>
            <b/>
            <sz val="9"/>
            <color indexed="81"/>
            <rFont val="Tahoma"/>
            <family val="2"/>
          </rPr>
          <t>Pre-deal close RIS (per 4Q20 restatement)</t>
        </r>
      </text>
    </comment>
    <comment ref="AB14" authorId="2" shapeId="0" xr:uid="{9D050732-BFCB-4C8F-AC74-E33DCCD0B426}">
      <text>
        <r>
          <rPr>
            <b/>
            <sz val="9"/>
            <color indexed="81"/>
            <rFont val="Tahoma"/>
            <family val="2"/>
          </rPr>
          <t>Stub quarter pre-RTN and UTX deal close</t>
        </r>
      </text>
    </comment>
    <comment ref="AB21" authorId="1" shapeId="0" xr:uid="{F0CD51CB-7F66-4E8B-B85D-50F3C05A733F}">
      <text>
        <r>
          <rPr>
            <b/>
            <sz val="9"/>
            <color indexed="81"/>
            <rFont val="Tahoma"/>
            <family val="2"/>
          </rPr>
          <t>Does not include stub period profit of ~$20mn</t>
        </r>
      </text>
    </comment>
    <comment ref="AA26" authorId="2" shapeId="0" xr:uid="{4E4E4063-5A2E-40E4-BE25-EE231D9BE784}">
      <text>
        <r>
          <rPr>
            <b/>
            <sz val="9"/>
            <color indexed="81"/>
            <rFont val="Tahoma"/>
            <family val="2"/>
          </rPr>
          <t>Pre-deal close RIS</t>
        </r>
      </text>
    </comment>
    <comment ref="AY26" authorId="3" shapeId="0" xr:uid="{769741EB-524B-44E4-9009-9B583A7F341E}">
      <text>
        <r>
          <rPr>
            <sz val="9"/>
            <color indexed="81"/>
            <rFont val="Tahoma"/>
            <family val="2"/>
          </rPr>
          <t>gain on sale of business,contract termination, middle east contracts restart adjustments</t>
        </r>
      </text>
    </comment>
    <comment ref="AS51" authorId="4" shapeId="0" xr:uid="{554CD149-945B-49BA-95CF-DC43795D1B20}">
      <text>
        <r>
          <rPr>
            <b/>
            <sz val="9"/>
            <color indexed="81"/>
            <rFont val="Tahoma"/>
            <family val="2"/>
          </rPr>
          <t>1Q25 Earnings - on the defense side, Raytheon's backlog continues its favorable mix shift and is now 44% international, up 8 points year-over-year.</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<sst xmlns="http://schemas.openxmlformats.org/spreadsheetml/2006/main" count="1438" uniqueCount="941">
  <si>
    <t>Net Sales</t>
  </si>
  <si>
    <t>Products</t>
  </si>
  <si>
    <t>Services</t>
  </si>
  <si>
    <t>Operating Margin</t>
  </si>
  <si>
    <t>YoY</t>
  </si>
  <si>
    <t>1Q19A</t>
  </si>
  <si>
    <t>2Q19A</t>
  </si>
  <si>
    <t>3Q19A</t>
  </si>
  <si>
    <t>4Q19A</t>
  </si>
  <si>
    <t>Operating Profit</t>
  </si>
  <si>
    <t>Operating Expenses</t>
  </si>
  <si>
    <t>Total</t>
  </si>
  <si>
    <t>Gross Margin</t>
  </si>
  <si>
    <t>Gross Profit</t>
  </si>
  <si>
    <t>Total Net Sales</t>
  </si>
  <si>
    <t>Total Cost of Sales</t>
  </si>
  <si>
    <t>GAAP Net Earnings</t>
  </si>
  <si>
    <t>Business Segment Operating Profit</t>
  </si>
  <si>
    <t>Financial Metrics</t>
  </si>
  <si>
    <t>Income Statement Quarter</t>
  </si>
  <si>
    <t>Cash Flow Quarter</t>
  </si>
  <si>
    <t>Income Statement Annual</t>
  </si>
  <si>
    <t>Inventories</t>
  </si>
  <si>
    <t>Capital Expenditures</t>
  </si>
  <si>
    <t>As a % of Net Revenue</t>
  </si>
  <si>
    <t>As a % of Beginning Net PP&amp;E</t>
  </si>
  <si>
    <t>Free Cash Flow</t>
  </si>
  <si>
    <t>FCF Conversion %</t>
  </si>
  <si>
    <t>Per Share</t>
  </si>
  <si>
    <t>Operating activities</t>
  </si>
  <si>
    <t>Working Capital</t>
  </si>
  <si>
    <t>Cash Flow Annual</t>
  </si>
  <si>
    <t>Balance Sheet Quarter</t>
  </si>
  <si>
    <t>Assets</t>
  </si>
  <si>
    <t>Goodwill</t>
  </si>
  <si>
    <t>Liabilities</t>
  </si>
  <si>
    <t>Noncurrent Assets</t>
  </si>
  <si>
    <t>Equity</t>
  </si>
  <si>
    <t>Check</t>
  </si>
  <si>
    <t>Balance Sheet Annual</t>
  </si>
  <si>
    <t>EBITDA</t>
  </si>
  <si>
    <t>EBITDA Margin</t>
  </si>
  <si>
    <t>Average Stock Price</t>
  </si>
  <si>
    <t>Shares Repurchased</t>
  </si>
  <si>
    <t>FAS Pension Service Cost</t>
  </si>
  <si>
    <t>CAS Pension Cost</t>
  </si>
  <si>
    <t>FAS/CAS Operating Adjustment</t>
  </si>
  <si>
    <t>Other, Net</t>
  </si>
  <si>
    <t>Total Unallocated Items</t>
  </si>
  <si>
    <t>Interest Expense</t>
  </si>
  <si>
    <t>Other Non-Operating Expense, Net</t>
  </si>
  <si>
    <t>Pre-Tax Income</t>
  </si>
  <si>
    <t>Tax Rate</t>
  </si>
  <si>
    <t>Discontinued Operations</t>
  </si>
  <si>
    <t>EPS from Continuing Operations - Diluted</t>
  </si>
  <si>
    <t>GAAP EPS - Diluted</t>
  </si>
  <si>
    <t>EPS from Continuing Operations - Basic</t>
  </si>
  <si>
    <t>GAAP EPS - Basic</t>
  </si>
  <si>
    <t>Weighted Average Common Shares - Basic</t>
  </si>
  <si>
    <t>Weighted Average Common Shares - Diluted</t>
  </si>
  <si>
    <t>Depreciation &amp; Amortization</t>
  </si>
  <si>
    <t>FAS Pension Expense</t>
  </si>
  <si>
    <t>Non-Recurring Charges</t>
  </si>
  <si>
    <t>Total FAS Expense and CAS Costs</t>
  </si>
  <si>
    <t>Total Net FAS/CAS Pension Adjustment</t>
  </si>
  <si>
    <t>Intersegment Sales</t>
  </si>
  <si>
    <t>As a % of Total Revenue</t>
  </si>
  <si>
    <t>Seasonality: Q as a % of Year</t>
  </si>
  <si>
    <t>Total Book to Bill</t>
  </si>
  <si>
    <t>Net Earnings</t>
  </si>
  <si>
    <t>Depreciation and Amortization</t>
  </si>
  <si>
    <t>Stock-Based Compensation</t>
  </si>
  <si>
    <t>Deferred Income Taxes</t>
  </si>
  <si>
    <t>Changes in Assets and Liabilities</t>
  </si>
  <si>
    <t>Receivables, Net</t>
  </si>
  <si>
    <t>Contract Assets</t>
  </si>
  <si>
    <t>Accounts Payable</t>
  </si>
  <si>
    <t>Contract Liabilities</t>
  </si>
  <si>
    <t>Net Cash from Operating Activities</t>
  </si>
  <si>
    <t>Investing Activities</t>
  </si>
  <si>
    <t>Net Cash from Investing</t>
  </si>
  <si>
    <t>Financing Activities</t>
  </si>
  <si>
    <t>Repurchases of Common Stock</t>
  </si>
  <si>
    <t>Net Cash from Financing</t>
  </si>
  <si>
    <t>Effect of Exchange Rates on Cash &amp; Cash Equivalents</t>
  </si>
  <si>
    <t>Amortization of Acquired Intangibles</t>
  </si>
  <si>
    <t>Free Cash Flow Returned to Shareholders</t>
  </si>
  <si>
    <t>FCF Returned to Shareholders %</t>
  </si>
  <si>
    <t>Current Assets</t>
  </si>
  <si>
    <t>Cash and Cash Equivalents</t>
  </si>
  <si>
    <t>Other Current Assets</t>
  </si>
  <si>
    <t>Property, Plant and Equipment, Net</t>
  </si>
  <si>
    <t>Intangible Assets, Net</t>
  </si>
  <si>
    <t>Other Noncurrent Assets</t>
  </si>
  <si>
    <t>Total Noncurrent Assets</t>
  </si>
  <si>
    <t>Total Assets</t>
  </si>
  <si>
    <t>Current Liabilities</t>
  </si>
  <si>
    <t>Total Current Liabilities</t>
  </si>
  <si>
    <t>Noncurrent Liabilities</t>
  </si>
  <si>
    <t>Long-Term Debt, Net</t>
  </si>
  <si>
    <t>Other Noncurrent Liabilities</t>
  </si>
  <si>
    <t>Total Noncurrent Liabilities</t>
  </si>
  <si>
    <t>Total Liabilities</t>
  </si>
  <si>
    <t>Stockholders' Equity</t>
  </si>
  <si>
    <t>Accumulated Other Comprehensive Loss</t>
  </si>
  <si>
    <t>Retained Earnings</t>
  </si>
  <si>
    <t>Total Stockholder's Equity</t>
  </si>
  <si>
    <t>Noncontrolling Interests in Subsidiary</t>
  </si>
  <si>
    <t>Total Equity</t>
  </si>
  <si>
    <t>Total Liabilities and Equity</t>
  </si>
  <si>
    <t>Days Sales Outstanding (Receivables)</t>
  </si>
  <si>
    <t>Days Payable Outstanding (Accounts Payable)</t>
  </si>
  <si>
    <t>Days COGS Inventory</t>
  </si>
  <si>
    <t>Days Sales in Contract Liabilities</t>
  </si>
  <si>
    <t>Total Debt</t>
  </si>
  <si>
    <t>Net Debt</t>
  </si>
  <si>
    <t>Net Debt to EBITDA</t>
  </si>
  <si>
    <t>Leverage Metrics</t>
  </si>
  <si>
    <t>Cash</t>
  </si>
  <si>
    <t>Incremental Debt</t>
  </si>
  <si>
    <t>Acquired EBITDA</t>
  </si>
  <si>
    <t>Implied Deal Valuation (EV/EBITDA)</t>
  </si>
  <si>
    <t>Incremental Cost of Debt</t>
  </si>
  <si>
    <t>Incremental Interest Expense</t>
  </si>
  <si>
    <t>Incremental Net Income</t>
  </si>
  <si>
    <t>Incremental EPS</t>
  </si>
  <si>
    <t>Incremental Tax Rate</t>
  </si>
  <si>
    <t>Incremental Tax Expense</t>
  </si>
  <si>
    <t>D&amp;A as a % of EBITDA</t>
  </si>
  <si>
    <t>D&amp;A Expense</t>
  </si>
  <si>
    <t>Incremental EBIT</t>
  </si>
  <si>
    <t>EPS Accretion</t>
  </si>
  <si>
    <t>Dry Powder Calculation for M&amp;A</t>
  </si>
  <si>
    <t>Annualized EPS Accretion</t>
  </si>
  <si>
    <t>Dry Powder Calculation for Share Buybacks</t>
  </si>
  <si>
    <t>Assumed Share Price</t>
  </si>
  <si>
    <t>Post-Buyback EPS</t>
  </si>
  <si>
    <t>Marginal Tax Rate</t>
  </si>
  <si>
    <t>Post-Buyback Net Income</t>
  </si>
  <si>
    <t>Tax Effected Cost of Incremental Interest</t>
  </si>
  <si>
    <t>Financial Summary</t>
  </si>
  <si>
    <t>Income Statement</t>
  </si>
  <si>
    <t>Revenue</t>
  </si>
  <si>
    <t>Revenue Growth</t>
  </si>
  <si>
    <t>EBIT</t>
  </si>
  <si>
    <t>EBIT Margin</t>
  </si>
  <si>
    <t>Net Income</t>
  </si>
  <si>
    <t>EPS</t>
  </si>
  <si>
    <t>Cash Flow Statement</t>
  </si>
  <si>
    <t>Capex</t>
  </si>
  <si>
    <t>FCF Conversion</t>
  </si>
  <si>
    <t>FCF Returned to Shareholders</t>
  </si>
  <si>
    <t>% of FCF Returned to Shareholders</t>
  </si>
  <si>
    <t>Balance Sheet</t>
  </si>
  <si>
    <t>Total Cash</t>
  </si>
  <si>
    <t>Capital Deployment</t>
  </si>
  <si>
    <t>Dry Powder for M&amp;A</t>
  </si>
  <si>
    <t>Target EV/EBITDA</t>
  </si>
  <si>
    <t>Dry Powder for Incremental Buybacks</t>
  </si>
  <si>
    <t>Reporting Segment Metrics</t>
  </si>
  <si>
    <t>Book to Bill</t>
  </si>
  <si>
    <t>Operating Cash Flow</t>
  </si>
  <si>
    <t>Incremental Shares Repurchased (mn)</t>
  </si>
  <si>
    <t>Diluted Shares Outstanding (mn)</t>
  </si>
  <si>
    <t>Post-Deal Net Debt to EBITDA</t>
  </si>
  <si>
    <t>Post-Buyback Net Debt to EBITDA</t>
  </si>
  <si>
    <t>Dry Powder for Buybacks</t>
  </si>
  <si>
    <t>Target Post-Deal Net Debt to EBITDA</t>
  </si>
  <si>
    <t>Target Post-Buyback Net Debt to EBITDA</t>
  </si>
  <si>
    <t>CY2019A</t>
  </si>
  <si>
    <t>1Q18A</t>
  </si>
  <si>
    <t>2Q18A</t>
  </si>
  <si>
    <t>3Q18A</t>
  </si>
  <si>
    <t>4Q18A</t>
  </si>
  <si>
    <t>CY2018A</t>
  </si>
  <si>
    <t>1Q17A</t>
  </si>
  <si>
    <t>2Q17A</t>
  </si>
  <si>
    <t>3Q17A</t>
  </si>
  <si>
    <t>4Q17A</t>
  </si>
  <si>
    <t>CY2017A</t>
  </si>
  <si>
    <t>1Q16A</t>
  </si>
  <si>
    <t>2Q16A</t>
  </si>
  <si>
    <t>3Q16A</t>
  </si>
  <si>
    <t>4Q16A</t>
  </si>
  <si>
    <t>CY2016A</t>
  </si>
  <si>
    <t>1Q15A</t>
  </si>
  <si>
    <t>2Q15A</t>
  </si>
  <si>
    <t>3Q15A</t>
  </si>
  <si>
    <t>4Q15A</t>
  </si>
  <si>
    <t>CY2015A</t>
  </si>
  <si>
    <t>CY2014A</t>
  </si>
  <si>
    <t>CY2013A</t>
  </si>
  <si>
    <t>CY2012A</t>
  </si>
  <si>
    <t>CY2011A</t>
  </si>
  <si>
    <t>CY2010A</t>
  </si>
  <si>
    <t>CY2009A</t>
  </si>
  <si>
    <t>CY2008A</t>
  </si>
  <si>
    <t>CY2007A</t>
  </si>
  <si>
    <t>CY2006A</t>
  </si>
  <si>
    <t>CY2005A</t>
  </si>
  <si>
    <t>CY2004A</t>
  </si>
  <si>
    <t>CY2003A</t>
  </si>
  <si>
    <t>CY2002A</t>
  </si>
  <si>
    <t>CY2001A</t>
  </si>
  <si>
    <t>CY2000A</t>
  </si>
  <si>
    <t>1Q20A</t>
  </si>
  <si>
    <t>Issuance of Long-Term Debt</t>
  </si>
  <si>
    <t>Corporate and Others</t>
  </si>
  <si>
    <t>Debt Quarter</t>
  </si>
  <si>
    <t>Debt Details</t>
  </si>
  <si>
    <t>Issuance of New Debt</t>
  </si>
  <si>
    <t>Repayment of Debt</t>
  </si>
  <si>
    <t>Net New Debt/ (Repayment)</t>
  </si>
  <si>
    <t>Interest Rate</t>
  </si>
  <si>
    <t>Total Interest</t>
  </si>
  <si>
    <t>CY2020E</t>
  </si>
  <si>
    <t>Dividend Per Share</t>
  </si>
  <si>
    <t>CY2021E</t>
  </si>
  <si>
    <t>CY2022E</t>
  </si>
  <si>
    <t>CY2023E</t>
  </si>
  <si>
    <t>CY2024E</t>
  </si>
  <si>
    <t>CY2025E</t>
  </si>
  <si>
    <t>Depreciation Expenses</t>
  </si>
  <si>
    <t>Adjusted Operating Profit</t>
  </si>
  <si>
    <t>Adjusted Operating Margin</t>
  </si>
  <si>
    <t>% Margin</t>
  </si>
  <si>
    <t>USD</t>
  </si>
  <si>
    <t>Other Operating Expenses</t>
  </si>
  <si>
    <t>Unrecorded Goodwill</t>
  </si>
  <si>
    <t>MW Tags</t>
  </si>
  <si>
    <t>Segment Adjusted Profit</t>
  </si>
  <si>
    <t>Segment Adjusted Profit Margin</t>
  </si>
  <si>
    <t>Repayments of Long-Term Debt</t>
  </si>
  <si>
    <t>Non-Recurring and Unusual Charges</t>
  </si>
  <si>
    <t>Restricted Cash</t>
  </si>
  <si>
    <t xml:space="preserve">Other Adjustments </t>
  </si>
  <si>
    <t>Days Sales in Contract Asset</t>
  </si>
  <si>
    <t>Cash, Cash Equivalents and Restricted Cash at End of Period</t>
  </si>
  <si>
    <t>Cash, Cash Equivalents and Restricted Cash at Beginning of Period</t>
  </si>
  <si>
    <t>Additional Debt</t>
  </si>
  <si>
    <t>Commercial Paper</t>
  </si>
  <si>
    <t>Total Debt, Net</t>
  </si>
  <si>
    <t xml:space="preserve">Cash and Cash Equivalents at the End of Period </t>
  </si>
  <si>
    <t>Statutory Tax Rate</t>
  </si>
  <si>
    <t>Net Issuance of Common Stock</t>
  </si>
  <si>
    <t>Liabilities of Discontinued Operations</t>
  </si>
  <si>
    <t>Net Issuance Of Common Stock</t>
  </si>
  <si>
    <t>Total Current Assets</t>
  </si>
  <si>
    <t>Less: Restricted Cash Balance</t>
  </si>
  <si>
    <t>Number of Weeks</t>
  </si>
  <si>
    <t>Pension Contribution</t>
  </si>
  <si>
    <t>Collins Aerospace Systems Annual</t>
  </si>
  <si>
    <t>Collins Aerospace Systems Quarter</t>
  </si>
  <si>
    <t>Pratt &amp; Whitney Annual</t>
  </si>
  <si>
    <t>Pratt &amp; Whitney Quarter</t>
  </si>
  <si>
    <t xml:space="preserve"> Income Tax (Expense) Benefit</t>
  </si>
  <si>
    <t>Noncontrolling Interest in Subsidiaries' Earnings from Continuing Operations</t>
  </si>
  <si>
    <t>Accounts Receivables, Net</t>
  </si>
  <si>
    <t>Assets Related to Discontinued Operations</t>
  </si>
  <si>
    <t>Customer Financing Assets</t>
  </si>
  <si>
    <t>Future Income Tax Benefits</t>
  </si>
  <si>
    <t>Accrued liabilities</t>
  </si>
  <si>
    <t>Future Pension and Postretirement Benefit Obligations</t>
  </si>
  <si>
    <t>Operating Lease Liabilities, Non-Current</t>
  </si>
  <si>
    <t>Long-Term Debt Currently Due</t>
  </si>
  <si>
    <t>Common Stock</t>
  </si>
  <si>
    <t>Treasury Stock</t>
  </si>
  <si>
    <t>Short-Term Borrowings</t>
  </si>
  <si>
    <t>Redeemable NonControlling Interest</t>
  </si>
  <si>
    <t>Net Periodic Pension and Other Postretirement Benefit</t>
  </si>
  <si>
    <t>Goodwill impairment loss</t>
  </si>
  <si>
    <t>Accounts Payable and Accrued Liabilities</t>
  </si>
  <si>
    <t>Global Pension Contributions</t>
  </si>
  <si>
    <t>Canadian Government Settlement</t>
  </si>
  <si>
    <t>Increase in Customer Financing Assets, net</t>
  </si>
  <si>
    <t>Increase in Collaboration Intangible Assets</t>
  </si>
  <si>
    <t>Receipts (Payments) from Settlements of Derivative Contracts</t>
  </si>
  <si>
    <t>Dispositions of Businesses</t>
  </si>
  <si>
    <t>Cash Acquired in Raytheon Merger</t>
  </si>
  <si>
    <t>Dividend from Discontinued Operations</t>
  </si>
  <si>
    <t>Net Transfers (to) from Discontinued Operations</t>
  </si>
  <si>
    <t>Decrease in Short-Term Borrowings, net</t>
  </si>
  <si>
    <t>Proceeds from Common Stock Issued Under Employee Stock Plans</t>
  </si>
  <si>
    <t>Dividends Paid on Common Stock</t>
  </si>
  <si>
    <t>Discontinued Operations:</t>
  </si>
  <si>
    <t>Net Cash (used in) Provided by Operating Activities</t>
  </si>
  <si>
    <t>Net Cash Used in Investing Activities</t>
  </si>
  <si>
    <t>Net Cash Used in Financing Activities</t>
  </si>
  <si>
    <t>Net Cash Flows (used in) Provided by Discontinued Operations</t>
  </si>
  <si>
    <t>R&amp;D</t>
  </si>
  <si>
    <t>SG&amp;A</t>
  </si>
  <si>
    <t>Net Earnings from Continuing Operations Attributable to Common Shareowners</t>
  </si>
  <si>
    <t>Restructuring</t>
  </si>
  <si>
    <t>Adjusted Sales</t>
  </si>
  <si>
    <t>Collins Aerospace Systems</t>
  </si>
  <si>
    <t>Pratt &amp; Whitney</t>
  </si>
  <si>
    <t>Raytheon Intelligence &amp; Space (RIS)</t>
  </si>
  <si>
    <t>Raytheon Missiles &amp; Defense (RMD)</t>
  </si>
  <si>
    <t>Corporate, Eliminations, and Other</t>
  </si>
  <si>
    <t>Other Non-Recurring and Unusual Charges</t>
  </si>
  <si>
    <t>Other Debts</t>
  </si>
  <si>
    <t>Less: Current Portion of Long Term Debt</t>
  </si>
  <si>
    <t>Less: Short-Term Debt</t>
  </si>
  <si>
    <t>3-Months LIBOR rate</t>
  </si>
  <si>
    <t>3-Months EURIBOR rate</t>
  </si>
  <si>
    <t>Others</t>
  </si>
  <si>
    <t>Interest Income</t>
  </si>
  <si>
    <t>% of Beginning Cash</t>
  </si>
  <si>
    <t>Interest Expense, net</t>
  </si>
  <si>
    <t>2Q20A</t>
  </si>
  <si>
    <t>ND</t>
  </si>
  <si>
    <t>Interest Expense, Net</t>
  </si>
  <si>
    <t>Non-Service Pension (Benefit)</t>
  </si>
  <si>
    <t>Adjusted Weighted Average Common Shares - Diluted</t>
  </si>
  <si>
    <t>Operating Expenses as % of Sales</t>
  </si>
  <si>
    <t>Employer Contributions (Pension Plan)</t>
  </si>
  <si>
    <t>Employer Contributions (Postretirement Benefit Plans)</t>
  </si>
  <si>
    <t>Global Defined Benefit Pension Plans</t>
  </si>
  <si>
    <t>PRB contributions</t>
  </si>
  <si>
    <t>Unearned ESOP Shares</t>
  </si>
  <si>
    <t>Acquisitions of Businesses</t>
  </si>
  <si>
    <t>Less: Cash, Cash Equivalents and Restricted Cash for Discontinued Operations</t>
  </si>
  <si>
    <t>Goodwill Impairment</t>
  </si>
  <si>
    <t>RTX.N</t>
  </si>
  <si>
    <t>Collins Aerospace</t>
  </si>
  <si>
    <t>As a % of Total COGS</t>
  </si>
  <si>
    <t>Corporate Expenses and Other Unallocated Items</t>
  </si>
  <si>
    <t>Acquisition Accounting Adjustments</t>
  </si>
  <si>
    <t>Net Income (loss) from Continuing Operations</t>
  </si>
  <si>
    <t>Operating Lease Right-of-Use Assets</t>
  </si>
  <si>
    <t>8.750% Notes due 2021</t>
  </si>
  <si>
    <t>3.100% Notes due 2021</t>
  </si>
  <si>
    <t>2.800% Notes due 2022</t>
  </si>
  <si>
    <t>2.500% Notes due 2022</t>
  </si>
  <si>
    <t xml:space="preserve">3.650% Notes due 2023 </t>
  </si>
  <si>
    <t xml:space="preserve">3.700% Notes due 2023 </t>
  </si>
  <si>
    <t xml:space="preserve">3.200% Notes due 2024 </t>
  </si>
  <si>
    <t>3.150% Notes due 2024</t>
  </si>
  <si>
    <t>3.950% Notes due 2025</t>
  </si>
  <si>
    <t xml:space="preserve">2.650% Notes due 2026 </t>
  </si>
  <si>
    <t>3.125% Notes due 2027</t>
  </si>
  <si>
    <t>3.500% Notes due 2027</t>
  </si>
  <si>
    <t>7.200% Notes due 2027</t>
  </si>
  <si>
    <t>7.100% Notes due 2027</t>
  </si>
  <si>
    <t>6.700% Notes due 2028</t>
  </si>
  <si>
    <t>7.000% Notes due 2028</t>
  </si>
  <si>
    <t>4.125% Notes due 2028</t>
  </si>
  <si>
    <t>7.500% Notes due 2029</t>
  </si>
  <si>
    <t>2.250% Notes due 2030</t>
  </si>
  <si>
    <t>5.400% Notes due 2035</t>
  </si>
  <si>
    <t>6.050% Notes due 2036</t>
  </si>
  <si>
    <t>6.800% Notes due 2036</t>
  </si>
  <si>
    <t>7.000% Notes due 2038</t>
  </si>
  <si>
    <t>6.125% Notes due 2038</t>
  </si>
  <si>
    <t>4.450% Notes due 2038</t>
  </si>
  <si>
    <t>5.700% Notes due 2040</t>
  </si>
  <si>
    <t>4.875% Notes due 2040</t>
  </si>
  <si>
    <t>4.700% Notes due 2041</t>
  </si>
  <si>
    <t>4.500% Notes due 2042</t>
  </si>
  <si>
    <t>4.800% Notes due 2043</t>
  </si>
  <si>
    <t>4.200% Notes due 2044</t>
  </si>
  <si>
    <t>4.150% Notes due 2045</t>
  </si>
  <si>
    <t>3.750% Notes due 2046</t>
  </si>
  <si>
    <t>4.050% Notes due 2047</t>
  </si>
  <si>
    <t>4.350% Notes due 2047</t>
  </si>
  <si>
    <t>4.625% Notes due 2048</t>
  </si>
  <si>
    <t>3.125% Notes due 2050</t>
  </si>
  <si>
    <t>3.125% Notes due 2020</t>
  </si>
  <si>
    <t>2.150% Notes due 2030 (€500 million Principal Value)</t>
  </si>
  <si>
    <t>Other (Including Finance Leases)</t>
  </si>
  <si>
    <t>Other (Fair Market Value Adjustments, (Discounts)/Premiums, and Debt Issuance Costs)</t>
  </si>
  <si>
    <t>NM</t>
  </si>
  <si>
    <t>Accrued Liabilities</t>
  </si>
  <si>
    <t>2020 Outlook</t>
  </si>
  <si>
    <t>Services (Warfighter FOCUS, DOMino)</t>
  </si>
  <si>
    <t>FCF</t>
  </si>
  <si>
    <t>GTF</t>
  </si>
  <si>
    <t>Products (F/A-18 &amp; F-15 radar, MTS, NGJ)</t>
  </si>
  <si>
    <t>Services (Training, ATC solutions)</t>
  </si>
  <si>
    <t>Products (Avionics, Interiors, Communications)</t>
  </si>
  <si>
    <t>Other (Depot and Sustainment)</t>
  </si>
  <si>
    <t>GTF (Aftermarket)</t>
  </si>
  <si>
    <t>Pratt Canada (PW800)</t>
  </si>
  <si>
    <t>Other (F135)</t>
  </si>
  <si>
    <t>Markets</t>
  </si>
  <si>
    <t>Defense</t>
  </si>
  <si>
    <t>Commercial Aftermarket</t>
  </si>
  <si>
    <t>Commercial Engines</t>
  </si>
  <si>
    <t>Military Engines</t>
  </si>
  <si>
    <t>Pratt &amp; Whitney Canada</t>
  </si>
  <si>
    <t>Commercial OEM SFE</t>
  </si>
  <si>
    <t>Commercial OEM BFE</t>
  </si>
  <si>
    <t>Markets Distibution of Revenue</t>
  </si>
  <si>
    <t>Implied Distribution of Revenue</t>
  </si>
  <si>
    <t>Markets Growth Rates</t>
  </si>
  <si>
    <t>Change</t>
  </si>
  <si>
    <t>Impact of Dilutive Instruments</t>
  </si>
  <si>
    <t>3Q20A</t>
  </si>
  <si>
    <t>FCF (OLD)</t>
  </si>
  <si>
    <t>4Q20A</t>
  </si>
  <si>
    <t>CY2020A</t>
  </si>
  <si>
    <t>Net Change in Cash and Cash Equivalents</t>
  </si>
  <si>
    <t>Shares Outstanding at the End of the Period - Basic</t>
  </si>
  <si>
    <t>1Q21A</t>
  </si>
  <si>
    <t>Incremental Margins</t>
  </si>
  <si>
    <t>Company</t>
  </si>
  <si>
    <t>Adj. Sales</t>
  </si>
  <si>
    <t>Adj. Op Profit</t>
  </si>
  <si>
    <t>Adj. Op Mgn</t>
  </si>
  <si>
    <t>Post-Tax Contribution to CF</t>
  </si>
  <si>
    <t>FCF Contribution</t>
  </si>
  <si>
    <t>Presentation Net Cash</t>
  </si>
  <si>
    <t>Adjustment Needed to FCF in our model</t>
  </si>
  <si>
    <t>Pension Contribution/Cash Reconciliation</t>
  </si>
  <si>
    <t>2Q21A</t>
  </si>
  <si>
    <t>3Q21A</t>
  </si>
  <si>
    <t>1.900% Notes due 2031</t>
  </si>
  <si>
    <t>2.820% Notes due 2051</t>
  </si>
  <si>
    <t>2022 Outlook</t>
  </si>
  <si>
    <t>CY2026E</t>
  </si>
  <si>
    <t>Outlook</t>
  </si>
  <si>
    <t>4Q21A</t>
  </si>
  <si>
    <t>CY2021A</t>
  </si>
  <si>
    <t>Incrementals</t>
  </si>
  <si>
    <t>incrementals</t>
  </si>
  <si>
    <t>Net Non-Cash Pension</t>
  </si>
  <si>
    <t>2.375% Notes due 2032</t>
  </si>
  <si>
    <t>3.030% Notes due 2052</t>
  </si>
  <si>
    <t>Debt</t>
  </si>
  <si>
    <t>1Q22A</t>
  </si>
  <si>
    <t>OCF</t>
  </si>
  <si>
    <t>Current Stock Price</t>
  </si>
  <si>
    <t>2Q22A</t>
  </si>
  <si>
    <t>3Q22A</t>
  </si>
  <si>
    <t>FCF Old</t>
  </si>
  <si>
    <t>CY2027E</t>
  </si>
  <si>
    <t>4Q22A</t>
  </si>
  <si>
    <t>CY2022A</t>
  </si>
  <si>
    <t>Prev</t>
  </si>
  <si>
    <t>1Q23A</t>
  </si>
  <si>
    <t>5.000% Notes due 2026</t>
  </si>
  <si>
    <t>5.150% Notes due 2033</t>
  </si>
  <si>
    <t>5.375 Notes due 2053</t>
  </si>
  <si>
    <t>3.030% Notes due 2053</t>
  </si>
  <si>
    <t>2020 Re-cast</t>
  </si>
  <si>
    <t>RTN 2020 Re-Cast</t>
  </si>
  <si>
    <t>2020-2025 CAGR</t>
  </si>
  <si>
    <t>6 to 7% CAGR</t>
  </si>
  <si>
    <t>Investor Day Outlook</t>
  </si>
  <si>
    <t>2025 Adj, for Restructuring</t>
  </si>
  <si>
    <t>2025 RIS and RMD (inclusive of retructuring)</t>
  </si>
  <si>
    <t>Raytheon</t>
  </si>
  <si>
    <t>2Q23A</t>
  </si>
  <si>
    <t>3Q23A</t>
  </si>
  <si>
    <t>Incremental Margin</t>
  </si>
  <si>
    <t>36-37bn through 2025</t>
  </si>
  <si>
    <t>CY2028E</t>
  </si>
  <si>
    <t>4Q23A</t>
  </si>
  <si>
    <t>CY2023A</t>
  </si>
  <si>
    <t>Actuation divestiture</t>
  </si>
  <si>
    <t>New Base</t>
  </si>
  <si>
    <t>Training</t>
  </si>
  <si>
    <t>Cyber</t>
  </si>
  <si>
    <t>Adjusted</t>
  </si>
  <si>
    <t>3% to 3.5% CAGR</t>
  </si>
  <si>
    <t>1% to 2.5% CAGR</t>
  </si>
  <si>
    <t>22% to 25%</t>
  </si>
  <si>
    <t>Actuation</t>
  </si>
  <si>
    <t>D&amp;A Estimate</t>
  </si>
  <si>
    <t>9 to 10% CAGR</t>
  </si>
  <si>
    <t>44 to 47% CAGR</t>
  </si>
  <si>
    <t>3 Month SOFR plus 1.225% term loan due 2025</t>
  </si>
  <si>
    <t>3 Month SOFR plus 1.225% term loan due 2026</t>
  </si>
  <si>
    <t>5.750% Notes due 2026</t>
  </si>
  <si>
    <t>6.100% Notes due 2034</t>
  </si>
  <si>
    <t>6.400% Notes due 2054</t>
  </si>
  <si>
    <t>6.000% Notes due 2031</t>
  </si>
  <si>
    <t>5.750% Notes due 2029</t>
  </si>
  <si>
    <t>1Q24A</t>
  </si>
  <si>
    <t>2Q24A</t>
  </si>
  <si>
    <t>YoY Change</t>
  </si>
  <si>
    <t>3Q24A</t>
  </si>
  <si>
    <t>4Q25E</t>
  </si>
  <si>
    <t>1Q25E</t>
  </si>
  <si>
    <t>2Q25E</t>
  </si>
  <si>
    <t>3Q25E</t>
  </si>
  <si>
    <t>CY2029E</t>
  </si>
  <si>
    <t>2025 Outlook</t>
  </si>
  <si>
    <t>4Q24A</t>
  </si>
  <si>
    <t>CY2024A</t>
  </si>
  <si>
    <t>1Q25A</t>
  </si>
  <si>
    <t>Tariff Impact</t>
  </si>
  <si>
    <t>2Q25A</t>
  </si>
  <si>
    <t>3Q25A</t>
  </si>
  <si>
    <t>Commercial OEM</t>
  </si>
  <si>
    <t>End market</t>
  </si>
  <si>
    <t>flat</t>
  </si>
  <si>
    <t>Organic growth</t>
  </si>
  <si>
    <t>International Backlog</t>
  </si>
  <si>
    <t>Domestic Backlog</t>
  </si>
  <si>
    <t>% International Backlog</t>
  </si>
  <si>
    <t>% Domestic Backlog</t>
  </si>
  <si>
    <t>Raytheon Defense Backlog</t>
  </si>
  <si>
    <t>Interest</t>
  </si>
  <si>
    <t>4Q26E</t>
  </si>
  <si>
    <t>3Q26E</t>
  </si>
  <si>
    <t>CY2030E</t>
  </si>
  <si>
    <t>2026 Outlook</t>
  </si>
  <si>
    <t>CY2025A</t>
  </si>
  <si>
    <t>4Q25A</t>
  </si>
  <si>
    <t>18-18.5%</t>
  </si>
  <si>
    <t>~650mn</t>
  </si>
  <si>
    <t>~$3,100</t>
  </si>
  <si>
    <t xml:space="preserve">~$700mn powder metal impact </t>
  </si>
  <si>
    <t>HSD%</t>
  </si>
  <si>
    <t>1Q26A</t>
  </si>
  <si>
    <t>2Q26A</t>
  </si>
  <si>
    <t>HSD to LDD</t>
  </si>
  <si>
    <t>575-650</t>
  </si>
  <si>
    <t>550 to 625</t>
  </si>
  <si>
    <t>MSD to HSD%</t>
  </si>
  <si>
    <t>275 to 350</t>
  </si>
  <si>
    <t>95bn to 96bn</t>
  </si>
  <si>
    <t>~8.5bn to 8.75bn</t>
  </si>
  <si>
    <t>~$1,625</t>
  </si>
  <si>
    <t>~$1,400</t>
  </si>
  <si>
    <t>~225mn</t>
  </si>
  <si>
    <t>$7.10-$7.25</t>
  </si>
  <si>
    <t xml:space="preserve">1585 Broadway </t>
  </si>
  <si>
    <t xml:space="preserve">New York, NY  10036-8293 </t>
  </si>
  <si>
    <t xml:space="preserve">United States </t>
  </si>
  <si>
    <t>Authors: Kristine Liwag</t>
  </si>
  <si>
    <t>Date: 27 Jul 2026</t>
  </si>
  <si>
    <t>Ticker: RTX.N</t>
  </si>
  <si>
    <t>Stock Rating: Overweight</t>
  </si>
  <si>
    <t>Industry: Aerospace</t>
  </si>
  <si>
    <t>Industry View: Attractive</t>
  </si>
  <si>
    <t>Price as of 27 Jul 2026: 212.79</t>
  </si>
  <si>
    <t>Target Price: 240.00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</si>
  <si>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</si>
  <si>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</si>
  <si>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</si>
  <si>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</si>
  <si>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</si>
  <si>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</si>
  <si>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</si>
  <si>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</si>
  <si>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</si>
  <si>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</si>
  <si>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</si>
  <si>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</si>
  <si>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</si>
  <si>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</si>
  <si>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</si>
  <si>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</si>
  <si>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</si>
  <si>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</si>
  <si>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</si>
  <si>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</si>
  <si>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</si>
  <si>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</si>
  <si>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</si>
  <si>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</si>
  <si>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</si>
  <si>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</si>
  <si>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Kristine T Liwag.</t>
  </si>
  <si>
    <t>.</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</si>
  <si>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</si>
  <si>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</si>
  <si>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</si>
  <si>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</si>
  <si>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</si>
  <si>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As of June 30, 2026, Morgan Stanley beneficially owned 1% or more of a class of common equity securities</t>
  </si>
  <si>
    <t>of the following companies covered in Morgan Stanley Research: RTX Corp.</t>
  </si>
  <si>
    <t>In the next 3 months, Morgan Stanley expects to receive or intends to seek compensation for investment</t>
  </si>
  <si>
    <t>banking services from RTX Corp.</t>
  </si>
  <si>
    <t>Within the last 12 months, Morgan Stanley has received compensation for products and services other than</t>
  </si>
  <si>
    <t>investment banking services from RTX Corp.</t>
  </si>
  <si>
    <t>Within the last 12 months, Morgan Stanley has provided or is providing investment banking services to,</t>
  </si>
  <si>
    <t>or has an investment banking client relationship with, the following company: RTX Corp.</t>
  </si>
  <si>
    <t>Within the last 12 months, Morgan Stanley has either provided or is providing non-investment banking,</t>
  </si>
  <si>
    <t>securities-related services to and/or in the past has entered into an agreement to provide services or</t>
  </si>
  <si>
    <t>has a client relationship with the following company: RTX Corp.</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</si>
  <si>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</si>
  <si>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</si>
  <si>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</si>
  <si>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</si>
  <si>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</si>
  <si>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</si>
  <si>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</si>
  <si>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</si>
  <si>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</si>
  <si>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</si>
  <si>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</si>
  <si>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</si>
  <si>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</si>
  <si>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</si>
  <si>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</si>
  <si>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</si>
  <si>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</si>
  <si>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</si>
  <si>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</si>
  <si>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</si>
  <si>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</si>
  <si>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</si>
  <si>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</si>
  <si>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</si>
  <si>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</si>
  <si>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</si>
  <si>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June 30, 2026)</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</si>
  <si>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</si>
  <si>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</si>
  <si>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</si>
  <si>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</si>
  <si>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</si>
  <si>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</si>
  <si>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</si>
  <si>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</si>
  <si>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</si>
  <si>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</si>
  <si>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</si>
  <si>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</si>
  <si>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</si>
  <si>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Count</t>
  </si>
  <si>
    <t>% of Total</t>
  </si>
  <si>
    <t>% of Total IBC</t>
  </si>
  <si>
    <t>% of Rating Category</t>
  </si>
  <si>
    <t>% of Total Other MISC</t>
  </si>
  <si>
    <t>Overweight/Buy</t>
  </si>
  <si>
    <t>Equal-weight/Hold</t>
  </si>
  <si>
    <t>Not-Rated/Hold</t>
  </si>
  <si>
    <t>Underweight/Sell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</si>
  <si>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</si>
  <si>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</si>
  <si>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</si>
  <si>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</si>
  <si>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</si>
  <si>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</si>
  <si>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</si>
  <si>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</si>
  <si>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</si>
  <si>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</si>
  <si>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</si>
  <si>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</si>
  <si>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</si>
  <si>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</si>
  <si>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</si>
  <si>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</si>
  <si>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</si>
  <si>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</si>
  <si>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</si>
  <si>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</si>
  <si>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</si>
  <si>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</si>
  <si>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</si>
  <si>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</si>
  <si>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</si>
  <si>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</si>
  <si>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</si>
  <si>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</si>
  <si>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</si>
  <si>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</si>
  <si>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</si>
  <si>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</si>
  <si>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</si>
  <si>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</si>
  <si>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</si>
  <si>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</si>
  <si>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</si>
  <si>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</si>
  <si>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</si>
  <si>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</si>
  <si>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</si>
  <si>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</si>
  <si>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</si>
  <si>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</si>
  <si>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</si>
  <si>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</si>
  <si>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</si>
  <si>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</si>
  <si>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</si>
  <si>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</si>
  <si>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</si>
  <si>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</si>
  <si>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</si>
  <si>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</si>
  <si>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</si>
  <si>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</si>
  <si>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</si>
  <si>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</si>
  <si>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</si>
  <si>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</si>
  <si>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</si>
  <si>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</si>
  <si>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</si>
  <si>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</si>
  <si>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</si>
  <si>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</si>
  <si>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</si>
  <si>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</si>
  <si>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</si>
  <si>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</si>
  <si>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</si>
  <si>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</si>
  <si>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</si>
  <si>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(https://ny.matrix.ms.com/eqr/research/webapp/researchdocs/MSICPL_Morgan_Stanley_Research_Audit_Report.pdf).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</si>
  <si>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</si>
  <si>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</si>
  <si>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</si>
  <si>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</si>
  <si>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</si>
  <si>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</si>
  <si>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</si>
  <si>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</si>
  <si>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</si>
  <si>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</si>
  <si>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</si>
  <si>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</si>
  <si>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</si>
  <si>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</si>
  <si>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</si>
  <si>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</si>
  <si>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</si>
  <si>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</si>
  <si>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</si>
  <si>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</si>
  <si>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</si>
  <si>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</si>
  <si>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</si>
  <si>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</si>
  <si>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</si>
  <si>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</si>
  <si>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</si>
  <si>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</si>
  <si>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</si>
  <si>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</si>
  <si>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</si>
  <si>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</si>
  <si>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</si>
  <si>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</si>
  <si>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</si>
  <si>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</si>
  <si>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</si>
  <si>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</si>
  <si>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</si>
  <si>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</si>
  <si>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</si>
  <si>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</si>
  <si>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</si>
  <si>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</si>
  <si>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</si>
  <si>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</si>
  <si>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</si>
  <si>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</si>
  <si>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</si>
  <si>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</si>
  <si>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</si>
  <si>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</si>
  <si>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</si>
  <si>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</si>
  <si>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</si>
  <si>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</si>
  <si>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</si>
  <si>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</si>
  <si>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</si>
  <si>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</si>
  <si>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</si>
  <si>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</si>
  <si>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</si>
  <si>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</si>
  <si>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</si>
  <si>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</si>
  <si>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</si>
  <si>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</si>
  <si>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</si>
  <si>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</si>
  <si>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</si>
  <si>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</si>
  <si>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</si>
  <si>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</si>
  <si>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</si>
  <si>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</si>
  <si>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</si>
  <si>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</si>
  <si>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</si>
  <si>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</si>
  <si>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</si>
  <si>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</si>
  <si>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</si>
  <si>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</si>
  <si>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</si>
  <si>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</si>
  <si>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</si>
  <si>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</si>
  <si>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</si>
  <si>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</si>
  <si>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</si>
  <si>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</si>
  <si>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</si>
  <si>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</si>
  <si>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</si>
  <si>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</si>
  <si>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</si>
  <si>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</si>
  <si>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</si>
  <si>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</si>
  <si>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</si>
  <si>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</si>
  <si>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</si>
  <si>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</si>
  <si>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</si>
  <si>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</si>
  <si>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</si>
  <si>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</si>
  <si>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</si>
  <si>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</si>
  <si>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</si>
  <si>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</si>
  <si>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</si>
  <si>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</si>
  <si>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</si>
  <si>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</si>
  <si>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</si>
  <si>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</si>
  <si>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</si>
  <si>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</si>
  <si>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</si>
  <si>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</si>
  <si>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</si>
  <si>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</si>
  <si>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</si>
  <si>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</si>
  <si>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</si>
  <si>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</si>
  <si>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</si>
  <si>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</si>
  <si>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</si>
  <si>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</si>
  <si>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</si>
  <si>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</si>
  <si>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</si>
  <si>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</si>
  <si>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</si>
  <si>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</si>
  <si>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</si>
  <si>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</si>
  <si>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</si>
  <si>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</si>
  <si>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</si>
  <si>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</si>
  <si>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</si>
  <si>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</si>
  <si>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</si>
  <si>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</si>
  <si>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</si>
  <si>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MacroVersion</t>
  </si>
  <si>
    <t>6.10</t>
  </si>
  <si>
    <t>PublishDate</t>
  </si>
  <si>
    <t>07/27/26 08:15</t>
  </si>
  <si>
    <t>Discipline</t>
  </si>
  <si>
    <t>Research</t>
  </si>
  <si>
    <t>ResearchTopic</t>
  </si>
  <si>
    <t>DocType</t>
  </si>
  <si>
    <t>Model</t>
  </si>
  <si>
    <t>SubjectCode</t>
  </si>
  <si>
    <t>Description</t>
  </si>
  <si>
    <t>RTX Corp</t>
  </si>
  <si>
    <t>KeepVersions</t>
  </si>
  <si>
    <t>All</t>
  </si>
  <si>
    <t>Rating</t>
  </si>
  <si>
    <t>Overweight / Attractive</t>
  </si>
  <si>
    <t>CurrYearTotalRevenue*</t>
  </si>
  <si>
    <t>CurrYearEPS*</t>
  </si>
  <si>
    <t>NextYearTotalRevenue*</t>
  </si>
  <si>
    <t>NextYearEPS*</t>
  </si>
  <si>
    <t>FollowingYearTotalRevenue*</t>
  </si>
  <si>
    <t>FollowingYearEPS*</t>
  </si>
  <si>
    <t>5YearGrowthRate</t>
  </si>
  <si>
    <t>UpdateReason</t>
  </si>
  <si>
    <t>Regular Update</t>
  </si>
  <si>
    <t>Authors</t>
  </si>
  <si>
    <t>MSA67VJY</t>
  </si>
  <si>
    <t>Tickers</t>
  </si>
  <si>
    <t>CUSIP</t>
  </si>
  <si>
    <t>75513E101</t>
  </si>
  <si>
    <t>RIC</t>
  </si>
  <si>
    <t>SEDOL</t>
  </si>
  <si>
    <t>BM5M5Y3</t>
  </si>
  <si>
    <t>212.79</t>
  </si>
  <si>
    <t>Currency</t>
  </si>
  <si>
    <t>PathName</t>
  </si>
  <si>
    <t>L:\AERO\A&amp;D MODELS\RTX.Model.2026_Current_Pre2Q_Actuals_GK1_10Q.xlsm</t>
  </si>
  <si>
    <t>Distribution</t>
  </si>
  <si>
    <t>0</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</si>
  <si>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</si>
  <si>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</si>
  <si>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</si>
  <si>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</si>
  <si>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</si>
  <si>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</si>
  <si>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</si>
  <si>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</si>
  <si>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</si>
  <si>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</si>
  <si>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</si>
  <si>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</si>
  <si>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</si>
  <si>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NorthAmerica</t>
  </si>
  <si>
    <t>ObjectType</t>
  </si>
  <si>
    <t>excel</t>
  </si>
  <si>
    <t>LanguageCode</t>
  </si>
  <si>
    <t>en-US</t>
  </si>
  <si>
    <t>SubmitterUserId</t>
  </si>
  <si>
    <t>knafegab</t>
  </si>
  <si>
    <t>IndustryId</t>
  </si>
  <si>
    <t>1500000156</t>
  </si>
  <si>
    <t>TickerRegion</t>
  </si>
  <si>
    <t>1</t>
  </si>
  <si>
    <t>AdditionalInstructions</t>
  </si>
  <si>
    <t>*Estimated</t>
  </si>
  <si>
    <t>OwnerTeam</t>
  </si>
  <si>
    <t>I1500005409</t>
  </si>
  <si>
    <t>[BRO MSA]</t>
  </si>
  <si>
    <t>[DOCDAT 2026-07-27]</t>
  </si>
  <si>
    <t>[DOCTIME 08:15]</t>
  </si>
  <si>
    <t>[PSYM RTX.N(S&amp;P) (None)]</t>
  </si>
  <si>
    <t>[COU United States of America]</t>
  </si>
  <si>
    <t>[PRODUCT MODEL]</t>
  </si>
  <si>
    <t>[ANA ]</t>
  </si>
  <si>
    <t>[HL RTX.N Model]</t>
  </si>
  <si>
    <t>[IND Aerospace &amp; Defense]</t>
  </si>
  <si>
    <t>[EMAIL_ALERT YES]</t>
  </si>
  <si>
    <t>[PANA  MSA67VJY]</t>
  </si>
  <si>
    <t>[DISCIPLINE Company]</t>
  </si>
  <si>
    <t>[SUPPRESSED NO]</t>
  </si>
  <si>
    <t>This workbook contains formulas which intentionally use circular reference calculation. These calculations can be resolved as intended by the originating analyst by applying the following settings in the File &gt;&gt; Options &gt;&gt; Formulas:</t>
  </si>
  <si>
    <t>1) Select the Enable iterative calculation check box</t>
  </si>
  <si>
    <t>2) Set Maximum Iterations = 100</t>
  </si>
  <si>
    <t>3) Set Maximum Change = 0.001</t>
  </si>
  <si>
    <t>Failure to apply these settings can result in incorrect calculation or unexpected termination of your Microsoft Excel session.</t>
  </si>
  <si>
    <t>Tel: +1 212 761 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</si>
</sst>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_);\(&quot;$&quot;#,##0\)"/>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0\x"/>
    <numFmt numFmtId="166" formatCode="#,##0.0"/>
    <numFmt numFmtId="167" formatCode="#,##0.0_);\(#,##0.0\)"/>
    <numFmt numFmtId="168" formatCode="#,##0.0\x_);\(#,##0.0\)\x"/>
    <numFmt numFmtId="169" formatCode="_ * #,##0.00_ ;_ * \-#,##0.00_ ;_ * &quot;-&quot;??_ ;_ @_ "/>
    <numFmt numFmtId="170" formatCode="&quot;$&quot;#,##0.000_);\(&quot;$&quot;#,##0.000\)"/>
    <numFmt numFmtId="171" formatCode="_(* #,##0_);_(* \(#,##0\);_(* &quot;-&quot;??_);_(@_)"/>
    <numFmt numFmtId="172" formatCode="0.0"/>
    <numFmt numFmtId="173" formatCode="_(&quot;$&quot;* #,##0_);_(&quot;$&quot;* \(#,##0\);_(&quot;$&quot;* &quot;-&quot;??_);_(@_)"/>
    <numFmt numFmtId="174" formatCode="#,##0.000_);\(#,##0.000\)"/>
    <numFmt numFmtId="175" formatCode="0.000"/>
    <numFmt numFmtId="176" formatCode="0.000%"/>
    <numFmt numFmtId="177" formatCode="&quot;$&quot;#,##0.00"/>
    <numFmt numFmtId="178" formatCode="&quot;$&quot;#,##0"/>
    <numFmt numFmtId="179" formatCode="&quot;$&quot;#,##0.0_);\(&quot;$&quot;#,##0.0\)"/>
    <numFmt numFmtId="180" formatCode="&quot;$&quot;#,##0.00000_);\(&quot;$&quot;#,##0.00000\)"/>
    <numFmt numFmtId="181" formatCode="&quot;$&quot;#,##0.0000000_);\(&quot;$&quot;#,##0.0000000\)"/>
  </numFmts>
  <fonts count="42">
    <font>
      <sz val="11"/>
      <color rgb="FF000000"/>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color rgb="FF0000FF"/>
      <name val="Calibri"/>
      <family val="2"/>
      <scheme val="minor"/>
    </font>
    <font>
      <sz val="11"/>
      <color rgb="FF006600"/>
      <name val="Calibri"/>
      <family val="2"/>
      <scheme val="minor"/>
    </font>
    <font>
      <b/>
      <i/>
      <sz val="11"/>
      <color theme="1"/>
      <name val="Calibri"/>
      <family val="2"/>
      <scheme val="minor"/>
    </font>
    <font>
      <b/>
      <sz val="11"/>
      <name val="Calibri"/>
      <family val="2"/>
      <scheme val="minor"/>
    </font>
    <font>
      <b/>
      <sz val="11"/>
      <color rgb="FF0000FF"/>
      <name val="Calibri"/>
      <family val="2"/>
      <scheme val="minor"/>
    </font>
    <font>
      <sz val="11"/>
      <name val="Calibri"/>
      <family val="2"/>
      <scheme val="minor"/>
    </font>
    <font>
      <b/>
      <sz val="11"/>
      <color rgb="FF006600"/>
      <name val="Calibri"/>
      <family val="2"/>
      <scheme val="minor"/>
    </font>
    <font>
      <sz val="11"/>
      <color rgb="FFFF0000"/>
      <name val="Calibri"/>
      <family val="2"/>
      <scheme val="minor"/>
    </font>
    <font>
      <sz val="10"/>
      <name val="Arial"/>
      <family val="2"/>
    </font>
    <font>
      <sz val="10"/>
      <name val="Helv"/>
      <charset val="204"/>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2"/>
      <name val="바탕체"/>
      <family val="3"/>
    </font>
    <font>
      <sz val="9"/>
      <color indexed="81"/>
      <name val="Tahoma"/>
      <family val="2"/>
    </font>
    <font>
      <b/>
      <sz val="9"/>
      <color indexed="81"/>
      <name val="Tahoma"/>
      <family val="2"/>
    </font>
    <font>
      <b/>
      <sz val="11"/>
      <color rgb="FF7030A0"/>
      <name val="Calibri"/>
      <family val="2"/>
      <scheme val="minor"/>
    </font>
    <font>
      <sz val="11"/>
      <color rgb="FF7030A0"/>
      <name val="Calibri"/>
      <family val="2"/>
      <scheme val="minor"/>
    </font>
    <font>
      <b/>
      <sz val="11"/>
      <color rgb="FFFF0000"/>
      <name val="Calibri"/>
      <family val="2"/>
      <scheme val="minor"/>
    </font>
    <font>
      <b/>
      <sz val="11"/>
      <color rgb="FFC00000"/>
      <name val="Calibri"/>
      <family val="2"/>
      <scheme val="minor"/>
    </font>
    <font>
      <sz val="11"/>
      <color rgb="FFC00000"/>
      <name val="Calibri"/>
      <family val="2"/>
      <scheme val="minor"/>
    </font>
    <font>
      <sz val="11"/>
      <color rgb="FFFF00FF"/>
      <name val="Calibri"/>
      <family val="2"/>
      <scheme val="minor"/>
    </font>
    <font>
      <b/>
      <u/>
      <sz val="11"/>
      <color theme="1"/>
      <name val="Calibri"/>
      <family val="2"/>
      <scheme val="minor"/>
    </font>
    <font>
      <b/>
      <sz val="11"/>
      <color rgb="FFFF00FF"/>
      <name val="Calibri"/>
      <family val="2"/>
      <scheme val="minor"/>
    </font>
    <font>
      <sz val="10"/>
      <color theme="1"/>
      <name val="Arial"/>
      <family val="2"/>
    </font>
    <font>
      <b/>
      <sz val="11"/>
      <color theme="4" tint="0.79998168889431442"/>
      <name val="Calibri"/>
      <family val="2"/>
      <scheme val="minor"/>
    </font>
    <font>
      <sz val="8"/>
      <name val="Calibri"/>
      <family val="2"/>
      <scheme val="minor"/>
    </font>
    <font>
      <sz val="11"/>
      <color theme="7"/>
      <name val="Calibri"/>
      <family val="2"/>
      <scheme val="minor"/>
    </font>
    <font>
      <sz val="11"/>
      <color rgb="FF00B0F0"/>
      <name val="Calibri"/>
      <family val="2"/>
      <scheme val="minor"/>
    </font>
    <font>
      <sz val="9"/>
      <color indexed="81"/>
      <name val="Tahoma"/>
      <charset val="1"/>
    </font>
    <font>
      <sz val="10"/>
      <color rgb="FF000000"/>
      <name val="Arial"/>
      <family val="2"/>
    </font>
    <font>
      <i/>
      <sz val="10"/>
      <color rgb="FF000000"/>
      <name val="Arial"/>
      <family val="2"/>
    </font>
    <font>
      <sz val="11"/>
      <color theme="1"/>
      <name val="Arial"/>
      <family val="2"/>
    </font>
    <font>
      <b/>
      <sz val="12"/>
      <color rgb="FF000080"/>
      <name val="Arial"/>
      <family val="2"/>
    </font>
    <font>
      <sz val="14"/>
      <color rgb="FF000000"/>
      <name val="Arial"/>
      <family val="2"/>
    </font>
    <font>
      <b/>
      <u/>
      <sz val="14"/>
      <color rgb="FFFF0000"/>
      <name val="Arial"/>
      <family val="2"/>
    </font>
  </fonts>
  <fills count="1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D3D3D3"/>
        <bgColor indexed="64"/>
      </patternFill>
    </fill>
    <fill>
      <patternFill patternType="solid">
        <fgColor rgb="FFFFFF00"/>
        <bgColor indexed="64"/>
      </patternFill>
    </fill>
    <fill>
      <patternFill patternType="solid">
        <fgColor rgb="FFFFFF99"/>
        <bgColor indexed="64"/>
      </patternFill>
    </fill>
    <fill>
      <patternFill patternType="solid">
        <fgColor rgb="FFFFFFCC"/>
        <bgColor indexed="64"/>
      </patternFill>
    </fill>
    <fill>
      <patternFill patternType="solid">
        <fgColor theme="3" tint="0.79998168889431442"/>
        <bgColor indexed="64"/>
      </patternFill>
    </fill>
    <fill>
      <patternFill patternType="solid">
        <fgColor theme="5" tint="-0.249977111117893"/>
        <bgColor indexed="64"/>
      </patternFill>
    </fill>
    <fill>
      <patternFill patternType="solid">
        <fgColor theme="6"/>
        <bgColor indexed="64"/>
      </patternFill>
    </fill>
    <fill>
      <patternFill patternType="solid">
        <fgColor rgb="FFFFFFFF"/>
        <bgColor indexed="64"/>
      </patternFill>
    </fill>
    <fill>
      <patternFill patternType="solid">
        <fgColor theme="7" tint="0.59999389629810485"/>
        <bgColor indexed="64"/>
      </patternFill>
    </fill>
    <fill>
      <patternFill patternType="solid">
        <fgColor indexed="65"/>
        <bgColor indexed="64"/>
      </patternFill>
    </fill>
  </fills>
  <borders count="12">
    <border>
      <left/>
      <right/>
      <top/>
      <bottom/>
      <diagonal/>
    </border>
    <border>
      <left style="hair">
        <color auto="1"/>
      </left>
      <right style="hair">
        <color auto="1"/>
      </right>
      <top/>
      <bottom/>
      <diagonal/>
    </border>
    <border>
      <left style="hair">
        <color auto="1"/>
      </left>
      <right/>
      <top/>
      <bottom/>
      <diagonal/>
    </border>
    <border>
      <left/>
      <right style="hair">
        <color auto="1"/>
      </right>
      <top/>
      <bottom/>
      <diagonal/>
    </border>
    <border>
      <left/>
      <right/>
      <top/>
      <bottom style="thin">
        <color indexed="8"/>
      </bottom>
      <diagonal/>
    </border>
    <border>
      <left/>
      <right/>
      <top style="hair">
        <color auto="1"/>
      </top>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style="hair">
        <color auto="1"/>
      </left>
      <right/>
      <top/>
      <bottom style="hair">
        <color indexed="64"/>
      </bottom>
      <diagonal/>
    </border>
    <border>
      <left style="hair">
        <color indexed="64"/>
      </left>
      <right style="hair">
        <color indexed="64"/>
      </right>
      <top style="hair">
        <color indexed="64"/>
      </top>
      <bottom style="hair">
        <color indexed="64"/>
      </bottom>
      <diagonal/>
    </border>
    <border>
      <left/>
      <right/>
      <top/>
      <bottom style="thin">
        <color auto="1"/>
      </bottom>
      <diagonal/>
    </border>
    <border>
      <left style="hair">
        <color auto="1"/>
      </left>
      <right style="hair">
        <color auto="1"/>
      </right>
      <top/>
      <bottom style="hair">
        <color auto="1"/>
      </bottom>
      <diagonal/>
    </border>
  </borders>
  <cellStyleXfs count="23">
    <xf numFmtId="0" fontId="0" fillId="0" borderId="0"/>
    <xf numFmtId="9" fontId="1" fillId="0" borderId="0" applyFont="0" applyFill="0" applyBorder="0" applyAlignment="0" applyProtection="0"/>
    <xf numFmtId="43" fontId="1" fillId="0" borderId="0" applyFont="0" applyFill="0" applyBorder="0" applyAlignment="0" applyProtection="0"/>
    <xf numFmtId="0" fontId="13" fillId="0" borderId="0"/>
    <xf numFmtId="0" fontId="12" fillId="0" borderId="0"/>
    <xf numFmtId="0" fontId="12" fillId="0" borderId="0"/>
    <xf numFmtId="0" fontId="12" fillId="0" borderId="0"/>
    <xf numFmtId="0" fontId="12" fillId="0" borderId="0"/>
    <xf numFmtId="0" fontId="14" fillId="0" borderId="0"/>
    <xf numFmtId="0" fontId="14" fillId="0" borderId="0"/>
    <xf numFmtId="0" fontId="15" fillId="0" borderId="0"/>
    <xf numFmtId="169" fontId="12" fillId="0" borderId="0" applyFont="0" applyFill="0" applyBorder="0" applyAlignment="0" applyProtection="0"/>
    <xf numFmtId="0" fontId="12" fillId="0" borderId="0" applyFont="0" applyFill="0" applyBorder="0" applyAlignment="0" applyProtection="0"/>
    <xf numFmtId="0" fontId="16" fillId="0" borderId="0">
      <alignment vertical="center"/>
    </xf>
    <xf numFmtId="0" fontId="17" fillId="0" borderId="0"/>
    <xf numFmtId="0" fontId="17" fillId="0" borderId="4">
      <alignment horizontal="centerContinuous"/>
    </xf>
    <xf numFmtId="0" fontId="18" fillId="0" borderId="4"/>
    <xf numFmtId="0" fontId="19" fillId="0" borderId="0"/>
    <xf numFmtId="44" fontId="1" fillId="0" borderId="0" applyFont="0" applyFill="0" applyBorder="0" applyAlignment="0" applyProtection="0"/>
    <xf numFmtId="0" fontId="12" fillId="0" borderId="0"/>
    <xf numFmtId="9" fontId="12" fillId="0" borderId="0" applyFont="0" applyFill="0" applyBorder="0" applyAlignment="0" applyProtection="0"/>
    <xf numFmtId="0" fontId="12" fillId="0" borderId="10">
      <alignment horizontal="left" vertical="center"/>
    </xf>
    <xf numFmtId="43" fontId="12" fillId="0" borderId="0" applyFont="0" applyFill="0" applyBorder="0" applyAlignment="0" applyProtection="0"/>
  </cellStyleXfs>
  <cellXfs count="572">
    <xf numFmtId="0" fontId="0" fillId="0" borderId="0" xfId="0"/>
    <xf numFmtId="0" fontId="0" fillId="0" borderId="0" xfId="0" applyAlignment="1">
      <alignment horizontal="left" indent="1"/>
    </xf>
    <xf numFmtId="0" fontId="3" fillId="0" borderId="0" xfId="0" applyFont="1" applyAlignment="1">
      <alignment horizontal="left" indent="1"/>
    </xf>
    <xf numFmtId="0" fontId="0" fillId="0" borderId="0" xfId="0" applyAlignment="1">
      <alignment horizontal="left" indent="2"/>
    </xf>
    <xf numFmtId="0" fontId="2" fillId="0" borderId="0" xfId="0" applyFont="1"/>
    <xf numFmtId="0" fontId="3" fillId="0" borderId="0" xfId="0" applyFont="1" applyAlignment="1">
      <alignment horizontal="left"/>
    </xf>
    <xf numFmtId="0" fontId="0" fillId="3" borderId="0" xfId="0" applyFill="1"/>
    <xf numFmtId="0" fontId="2" fillId="3" borderId="0" xfId="0" applyFont="1" applyFill="1" applyAlignment="1">
      <alignment horizontal="right"/>
    </xf>
    <xf numFmtId="0" fontId="2" fillId="2" borderId="0" xfId="0" applyFont="1" applyFill="1"/>
    <xf numFmtId="37" fontId="2" fillId="3" borderId="0" xfId="0" applyNumberFormat="1" applyFont="1" applyFill="1"/>
    <xf numFmtId="0" fontId="2" fillId="3" borderId="1" xfId="0" applyFont="1" applyFill="1" applyBorder="1" applyAlignment="1">
      <alignment horizontal="right"/>
    </xf>
    <xf numFmtId="0" fontId="2" fillId="0" borderId="0" xfId="0" applyFont="1" applyAlignment="1">
      <alignment horizontal="left" indent="1"/>
    </xf>
    <xf numFmtId="0" fontId="0" fillId="0" borderId="0" xfId="0" applyAlignment="1">
      <alignment horizontal="left"/>
    </xf>
    <xf numFmtId="0" fontId="2" fillId="0" borderId="0" xfId="0" applyFont="1" applyAlignment="1">
      <alignment horizontal="left"/>
    </xf>
    <xf numFmtId="0" fontId="2" fillId="4" borderId="0" xfId="0" applyFont="1" applyFill="1"/>
    <xf numFmtId="0" fontId="2" fillId="2" borderId="0" xfId="0" applyFont="1" applyFill="1" applyAlignment="1">
      <alignment horizontal="left"/>
    </xf>
    <xf numFmtId="5" fontId="0" fillId="0" borderId="0" xfId="0" applyNumberFormat="1" applyAlignment="1">
      <alignment horizontal="left" indent="1"/>
    </xf>
    <xf numFmtId="0" fontId="6" fillId="0" borderId="0" xfId="0" applyFont="1"/>
    <xf numFmtId="37" fontId="4" fillId="3" borderId="0" xfId="0" applyNumberFormat="1" applyFont="1" applyFill="1" applyAlignment="1">
      <alignment horizontal="right"/>
    </xf>
    <xf numFmtId="37" fontId="0" fillId="3" borderId="0" xfId="0" applyNumberFormat="1" applyFill="1" applyAlignment="1">
      <alignment horizontal="right"/>
    </xf>
    <xf numFmtId="37" fontId="4" fillId="3" borderId="1" xfId="0" applyNumberFormat="1" applyFont="1" applyFill="1" applyBorder="1" applyAlignment="1">
      <alignment horizontal="right"/>
    </xf>
    <xf numFmtId="37" fontId="0" fillId="0" borderId="0" xfId="0" applyNumberFormat="1" applyAlignment="1">
      <alignment horizontal="right"/>
    </xf>
    <xf numFmtId="37" fontId="0" fillId="0" borderId="1" xfId="0" applyNumberFormat="1" applyBorder="1" applyAlignment="1">
      <alignment horizontal="right"/>
    </xf>
    <xf numFmtId="5" fontId="2" fillId="2" borderId="0" xfId="0" applyNumberFormat="1" applyFont="1" applyFill="1" applyAlignment="1">
      <alignment horizontal="right"/>
    </xf>
    <xf numFmtId="5" fontId="2" fillId="2" borderId="1" xfId="0" applyNumberFormat="1" applyFont="1" applyFill="1" applyBorder="1" applyAlignment="1">
      <alignment horizontal="right"/>
    </xf>
    <xf numFmtId="0" fontId="0" fillId="0" borderId="0" xfId="0" applyAlignment="1">
      <alignment horizontal="right"/>
    </xf>
    <xf numFmtId="0" fontId="0" fillId="0" borderId="1" xfId="0" applyBorder="1" applyAlignment="1">
      <alignment horizontal="right"/>
    </xf>
    <xf numFmtId="37" fontId="2" fillId="3" borderId="0" xfId="0" applyNumberFormat="1" applyFont="1" applyFill="1" applyAlignment="1">
      <alignment horizontal="right"/>
    </xf>
    <xf numFmtId="37" fontId="2" fillId="3" borderId="1" xfId="0" applyNumberFormat="1" applyFont="1" applyFill="1" applyBorder="1" applyAlignment="1">
      <alignment horizontal="right"/>
    </xf>
    <xf numFmtId="5" fontId="8" fillId="2" borderId="0" xfId="0" applyNumberFormat="1" applyFont="1" applyFill="1" applyAlignment="1">
      <alignment horizontal="right"/>
    </xf>
    <xf numFmtId="5" fontId="8" fillId="2" borderId="1" xfId="0" applyNumberFormat="1" applyFont="1" applyFill="1" applyBorder="1" applyAlignment="1">
      <alignment horizontal="right"/>
    </xf>
    <xf numFmtId="164" fontId="9" fillId="0" borderId="0" xfId="1" applyNumberFormat="1" applyFont="1" applyFill="1" applyBorder="1" applyAlignment="1">
      <alignment horizontal="right"/>
    </xf>
    <xf numFmtId="164" fontId="9" fillId="0" borderId="0" xfId="1" applyNumberFormat="1" applyFont="1" applyFill="1" applyAlignment="1">
      <alignment horizontal="right"/>
    </xf>
    <xf numFmtId="164" fontId="0" fillId="0" borderId="0" xfId="1" applyNumberFormat="1" applyFont="1" applyFill="1" applyAlignment="1">
      <alignment horizontal="right"/>
    </xf>
    <xf numFmtId="164" fontId="0" fillId="0" borderId="0" xfId="1" applyNumberFormat="1" applyFont="1" applyBorder="1" applyAlignment="1">
      <alignment horizontal="right"/>
    </xf>
    <xf numFmtId="164" fontId="0" fillId="0" borderId="0" xfId="1" applyNumberFormat="1" applyFont="1" applyAlignment="1">
      <alignment horizontal="right"/>
    </xf>
    <xf numFmtId="164" fontId="0" fillId="0" borderId="1" xfId="1" applyNumberFormat="1" applyFont="1" applyBorder="1" applyAlignment="1">
      <alignment horizontal="right"/>
    </xf>
    <xf numFmtId="37" fontId="5" fillId="0" borderId="0" xfId="0" applyNumberFormat="1" applyFont="1" applyAlignment="1">
      <alignment horizontal="right"/>
    </xf>
    <xf numFmtId="37" fontId="5" fillId="0" borderId="1" xfId="0" applyNumberFormat="1" applyFont="1" applyBorder="1" applyAlignment="1">
      <alignment horizontal="right"/>
    </xf>
    <xf numFmtId="37" fontId="2" fillId="0" borderId="0" xfId="0" applyNumberFormat="1" applyFont="1" applyAlignment="1">
      <alignment horizontal="right"/>
    </xf>
    <xf numFmtId="37" fontId="2" fillId="0" borderId="1" xfId="0" applyNumberFormat="1" applyFont="1" applyBorder="1" applyAlignment="1">
      <alignment horizontal="right"/>
    </xf>
    <xf numFmtId="37" fontId="4" fillId="0" borderId="0" xfId="0" applyNumberFormat="1" applyFont="1" applyAlignment="1">
      <alignment horizontal="right"/>
    </xf>
    <xf numFmtId="37" fontId="9" fillId="0" borderId="0" xfId="0" applyNumberFormat="1" applyFont="1" applyAlignment="1">
      <alignment horizontal="right"/>
    </xf>
    <xf numFmtId="37" fontId="4" fillId="0" borderId="1" xfId="0" applyNumberFormat="1" applyFont="1" applyBorder="1" applyAlignment="1">
      <alignment horizontal="right"/>
    </xf>
    <xf numFmtId="164" fontId="3" fillId="0" borderId="0" xfId="1" applyNumberFormat="1" applyFont="1" applyBorder="1" applyAlignment="1">
      <alignment horizontal="right"/>
    </xf>
    <xf numFmtId="37" fontId="9" fillId="0" borderId="3" xfId="0" applyNumberFormat="1" applyFont="1" applyBorder="1" applyAlignment="1">
      <alignment horizontal="right"/>
    </xf>
    <xf numFmtId="3" fontId="2" fillId="0" borderId="0" xfId="0" applyNumberFormat="1" applyFont="1" applyAlignment="1">
      <alignment horizontal="right"/>
    </xf>
    <xf numFmtId="3" fontId="2" fillId="0" borderId="1" xfId="0" applyNumberFormat="1" applyFont="1" applyBorder="1" applyAlignment="1">
      <alignment horizontal="right"/>
    </xf>
    <xf numFmtId="37" fontId="2" fillId="0" borderId="0" xfId="1" applyNumberFormat="1" applyFont="1" applyBorder="1" applyAlignment="1">
      <alignment horizontal="right"/>
    </xf>
    <xf numFmtId="37" fontId="2" fillId="0" borderId="0" xfId="1" applyNumberFormat="1" applyFont="1" applyAlignment="1">
      <alignment horizontal="right"/>
    </xf>
    <xf numFmtId="7" fontId="2" fillId="2" borderId="0" xfId="0" applyNumberFormat="1" applyFont="1" applyFill="1" applyAlignment="1">
      <alignment horizontal="right"/>
    </xf>
    <xf numFmtId="7" fontId="2" fillId="2" borderId="1" xfId="0" applyNumberFormat="1" applyFont="1" applyFill="1" applyBorder="1" applyAlignment="1">
      <alignment horizontal="right"/>
    </xf>
    <xf numFmtId="7" fontId="0" fillId="0" borderId="0" xfId="0" applyNumberFormat="1" applyAlignment="1">
      <alignment horizontal="right"/>
    </xf>
    <xf numFmtId="7" fontId="0" fillId="0" borderId="1" xfId="0" applyNumberFormat="1" applyBorder="1" applyAlignment="1">
      <alignment horizontal="right"/>
    </xf>
    <xf numFmtId="7" fontId="2" fillId="0" borderId="0" xfId="0" applyNumberFormat="1" applyFont="1" applyAlignment="1">
      <alignment horizontal="right"/>
    </xf>
    <xf numFmtId="7" fontId="2" fillId="0" borderId="1" xfId="0" applyNumberFormat="1" applyFont="1" applyBorder="1" applyAlignment="1">
      <alignment horizontal="right"/>
    </xf>
    <xf numFmtId="167" fontId="8" fillId="0" borderId="0" xfId="0" applyNumberFormat="1" applyFont="1" applyAlignment="1">
      <alignment horizontal="right"/>
    </xf>
    <xf numFmtId="167" fontId="7" fillId="0" borderId="1" xfId="0" applyNumberFormat="1" applyFont="1" applyBorder="1" applyAlignment="1">
      <alignment horizontal="right"/>
    </xf>
    <xf numFmtId="166" fontId="4" fillId="0" borderId="0" xfId="0" applyNumberFormat="1" applyFont="1" applyAlignment="1">
      <alignment horizontal="right"/>
    </xf>
    <xf numFmtId="166" fontId="0" fillId="0" borderId="0" xfId="0" applyNumberFormat="1" applyAlignment="1">
      <alignment horizontal="right"/>
    </xf>
    <xf numFmtId="166" fontId="4" fillId="0" borderId="1" xfId="0" applyNumberFormat="1" applyFont="1" applyBorder="1" applyAlignment="1">
      <alignment horizontal="right"/>
    </xf>
    <xf numFmtId="167" fontId="2" fillId="0" borderId="1" xfId="0" applyNumberFormat="1" applyFont="1" applyBorder="1" applyAlignment="1">
      <alignment horizontal="right"/>
    </xf>
    <xf numFmtId="0" fontId="0" fillId="2" borderId="0" xfId="0" applyFill="1" applyAlignment="1">
      <alignment horizontal="right"/>
    </xf>
    <xf numFmtId="0" fontId="0" fillId="2" borderId="1" xfId="0" applyFill="1" applyBorder="1" applyAlignment="1">
      <alignment horizontal="right"/>
    </xf>
    <xf numFmtId="37" fontId="0" fillId="0" borderId="0" xfId="1" applyNumberFormat="1" applyFont="1" applyAlignment="1">
      <alignment horizontal="right"/>
    </xf>
    <xf numFmtId="37" fontId="4" fillId="0" borderId="0" xfId="1" applyNumberFormat="1" applyFont="1" applyBorder="1" applyAlignment="1">
      <alignment horizontal="right"/>
    </xf>
    <xf numFmtId="37" fontId="4" fillId="0" borderId="0" xfId="1" applyNumberFormat="1" applyFont="1" applyAlignment="1">
      <alignment horizontal="right"/>
    </xf>
    <xf numFmtId="37" fontId="4" fillId="0" borderId="1" xfId="1" applyNumberFormat="1" applyFont="1" applyBorder="1" applyAlignment="1">
      <alignment horizontal="right"/>
    </xf>
    <xf numFmtId="3" fontId="2" fillId="0" borderId="0" xfId="1" applyNumberFormat="1" applyFont="1" applyBorder="1" applyAlignment="1">
      <alignment horizontal="right"/>
    </xf>
    <xf numFmtId="3" fontId="2" fillId="0" borderId="0" xfId="1" applyNumberFormat="1" applyFont="1" applyAlignment="1">
      <alignment horizontal="right"/>
    </xf>
    <xf numFmtId="37" fontId="9" fillId="0" borderId="0" xfId="1" applyNumberFormat="1" applyFont="1" applyAlignment="1">
      <alignment horizontal="right"/>
    </xf>
    <xf numFmtId="0" fontId="0" fillId="4" borderId="0" xfId="0" applyFill="1" applyAlignment="1">
      <alignment horizontal="right"/>
    </xf>
    <xf numFmtId="37" fontId="10" fillId="0" borderId="0" xfId="0" applyNumberFormat="1" applyFont="1" applyAlignment="1">
      <alignment horizontal="right"/>
    </xf>
    <xf numFmtId="164" fontId="5" fillId="0" borderId="0" xfId="1" applyNumberFormat="1" applyFont="1" applyBorder="1" applyAlignment="1">
      <alignment horizontal="right"/>
    </xf>
    <xf numFmtId="5" fontId="10" fillId="2" borderId="0" xfId="0" applyNumberFormat="1" applyFont="1" applyFill="1" applyAlignment="1">
      <alignment horizontal="right"/>
    </xf>
    <xf numFmtId="37" fontId="9" fillId="0" borderId="1" xfId="0" applyNumberFormat="1" applyFont="1" applyBorder="1" applyAlignment="1">
      <alignment horizontal="right"/>
    </xf>
    <xf numFmtId="5" fontId="4" fillId="0" borderId="0" xfId="0" applyNumberFormat="1" applyFont="1" applyAlignment="1">
      <alignment horizontal="right"/>
    </xf>
    <xf numFmtId="5" fontId="0" fillId="0" borderId="0" xfId="0" applyNumberFormat="1" applyAlignment="1">
      <alignment horizontal="right"/>
    </xf>
    <xf numFmtId="5" fontId="4" fillId="0" borderId="1" xfId="0" applyNumberFormat="1" applyFont="1" applyBorder="1" applyAlignment="1">
      <alignment horizontal="right"/>
    </xf>
    <xf numFmtId="5" fontId="0" fillId="0" borderId="1" xfId="0" applyNumberFormat="1" applyBorder="1" applyAlignment="1">
      <alignment horizontal="right"/>
    </xf>
    <xf numFmtId="5" fontId="2" fillId="0" borderId="0" xfId="0" applyNumberFormat="1" applyFont="1" applyAlignment="1">
      <alignment horizontal="right"/>
    </xf>
    <xf numFmtId="5" fontId="2" fillId="0" borderId="1" xfId="0" applyNumberFormat="1" applyFont="1" applyBorder="1" applyAlignment="1">
      <alignment horizontal="right"/>
    </xf>
    <xf numFmtId="7" fontId="2" fillId="0" borderId="0" xfId="1" applyNumberFormat="1" applyFont="1" applyAlignment="1">
      <alignment horizontal="right"/>
    </xf>
    <xf numFmtId="7" fontId="2" fillId="0" borderId="1" xfId="1" applyNumberFormat="1" applyFont="1" applyBorder="1" applyAlignment="1">
      <alignment horizontal="right"/>
    </xf>
    <xf numFmtId="37" fontId="8" fillId="0" borderId="0" xfId="0" applyNumberFormat="1" applyFont="1" applyAlignment="1">
      <alignment horizontal="right"/>
    </xf>
    <xf numFmtId="37" fontId="8" fillId="0" borderId="1" xfId="0" applyNumberFormat="1" applyFont="1" applyBorder="1" applyAlignment="1">
      <alignment horizontal="right"/>
    </xf>
    <xf numFmtId="0" fontId="6" fillId="0" borderId="0" xfId="0" applyFont="1" applyAlignment="1">
      <alignment horizontal="right"/>
    </xf>
    <xf numFmtId="0" fontId="6" fillId="0" borderId="1" xfId="0" applyFont="1" applyBorder="1" applyAlignment="1">
      <alignment horizontal="right"/>
    </xf>
    <xf numFmtId="37" fontId="5" fillId="3" borderId="0" xfId="0" applyNumberFormat="1" applyFont="1" applyFill="1" applyAlignment="1">
      <alignment horizontal="right"/>
    </xf>
    <xf numFmtId="164" fontId="5" fillId="3" borderId="0" xfId="1" applyNumberFormat="1" applyFont="1" applyFill="1" applyBorder="1" applyAlignment="1">
      <alignment horizontal="right"/>
    </xf>
    <xf numFmtId="0" fontId="5" fillId="0" borderId="0" xfId="0" applyFont="1" applyAlignment="1">
      <alignment horizontal="right"/>
    </xf>
    <xf numFmtId="37" fontId="10" fillId="3" borderId="0" xfId="0" applyNumberFormat="1" applyFont="1" applyFill="1" applyAlignment="1">
      <alignment horizontal="right"/>
    </xf>
    <xf numFmtId="164" fontId="0" fillId="0" borderId="2" xfId="1" applyNumberFormat="1" applyFont="1" applyBorder="1" applyAlignment="1">
      <alignment horizontal="right"/>
    </xf>
    <xf numFmtId="37" fontId="0" fillId="4" borderId="0" xfId="0" applyNumberFormat="1" applyFill="1" applyAlignment="1">
      <alignment horizontal="right"/>
    </xf>
    <xf numFmtId="37" fontId="10" fillId="2" borderId="0" xfId="0" applyNumberFormat="1" applyFont="1" applyFill="1" applyAlignment="1">
      <alignment horizontal="right"/>
    </xf>
    <xf numFmtId="5" fontId="7" fillId="2" borderId="0" xfId="0" applyNumberFormat="1" applyFont="1" applyFill="1" applyAlignment="1">
      <alignment horizontal="right"/>
    </xf>
    <xf numFmtId="5" fontId="7" fillId="0" borderId="0" xfId="0" applyNumberFormat="1" applyFont="1" applyAlignment="1">
      <alignment horizontal="right"/>
    </xf>
    <xf numFmtId="5" fontId="7" fillId="0" borderId="1" xfId="0" applyNumberFormat="1" applyFont="1" applyBorder="1" applyAlignment="1">
      <alignment horizontal="right"/>
    </xf>
    <xf numFmtId="0" fontId="9" fillId="0" borderId="0" xfId="0" applyFont="1" applyAlignment="1">
      <alignment horizontal="right"/>
    </xf>
    <xf numFmtId="3" fontId="4" fillId="0" borderId="0" xfId="0" applyNumberFormat="1" applyFont="1" applyAlignment="1">
      <alignment horizontal="right"/>
    </xf>
    <xf numFmtId="3" fontId="9" fillId="0" borderId="0" xfId="0" applyNumberFormat="1" applyFont="1" applyAlignment="1">
      <alignment horizontal="right"/>
    </xf>
    <xf numFmtId="164" fontId="9" fillId="0" borderId="0" xfId="1" applyNumberFormat="1" applyFont="1" applyBorder="1" applyAlignment="1">
      <alignment horizontal="right"/>
    </xf>
    <xf numFmtId="164" fontId="9" fillId="0" borderId="1" xfId="1" applyNumberFormat="1" applyFont="1" applyBorder="1" applyAlignment="1">
      <alignment horizontal="right"/>
    </xf>
    <xf numFmtId="0" fontId="9" fillId="0" borderId="1" xfId="0" applyFont="1" applyBorder="1" applyAlignment="1">
      <alignment horizontal="right"/>
    </xf>
    <xf numFmtId="0" fontId="5" fillId="0" borderId="1" xfId="0" applyFont="1" applyBorder="1" applyAlignment="1">
      <alignment horizontal="right"/>
    </xf>
    <xf numFmtId="0" fontId="10" fillId="0" borderId="0" xfId="0" applyFont="1" applyAlignment="1">
      <alignment horizontal="right"/>
    </xf>
    <xf numFmtId="0" fontId="10" fillId="0" borderId="1" xfId="0" applyFont="1" applyBorder="1" applyAlignment="1">
      <alignment horizontal="right"/>
    </xf>
    <xf numFmtId="37" fontId="7" fillId="0" borderId="0" xfId="0" applyNumberFormat="1" applyFont="1" applyAlignment="1">
      <alignment horizontal="right"/>
    </xf>
    <xf numFmtId="164" fontId="9" fillId="0" borderId="0" xfId="1" applyNumberFormat="1" applyFont="1" applyAlignment="1">
      <alignment horizontal="right"/>
    </xf>
    <xf numFmtId="0" fontId="10" fillId="3" borderId="0" xfId="0" applyFont="1" applyFill="1" applyAlignment="1">
      <alignment horizontal="right"/>
    </xf>
    <xf numFmtId="0" fontId="10" fillId="3" borderId="1" xfId="0" applyFont="1" applyFill="1" applyBorder="1" applyAlignment="1">
      <alignment horizontal="right"/>
    </xf>
    <xf numFmtId="37" fontId="7" fillId="0" borderId="1" xfId="0" applyNumberFormat="1" applyFont="1" applyBorder="1" applyAlignment="1">
      <alignment horizontal="right"/>
    </xf>
    <xf numFmtId="37" fontId="0" fillId="0" borderId="0" xfId="0" applyNumberFormat="1"/>
    <xf numFmtId="164" fontId="1" fillId="0" borderId="0" xfId="1" applyNumberFormat="1" applyFont="1" applyBorder="1" applyAlignment="1">
      <alignment horizontal="right"/>
    </xf>
    <xf numFmtId="164" fontId="1" fillId="0" borderId="0" xfId="1" applyNumberFormat="1" applyFont="1" applyAlignment="1">
      <alignment horizontal="right"/>
    </xf>
    <xf numFmtId="164" fontId="1" fillId="0" borderId="1" xfId="1" applyNumberFormat="1" applyFont="1" applyBorder="1" applyAlignment="1">
      <alignment horizontal="right"/>
    </xf>
    <xf numFmtId="0" fontId="2" fillId="4" borderId="0" xfId="0" applyFont="1" applyFill="1" applyAlignment="1">
      <alignment horizontal="left"/>
    </xf>
    <xf numFmtId="0" fontId="0" fillId="4" borderId="1" xfId="0" applyFill="1" applyBorder="1" applyAlignment="1">
      <alignment horizontal="right"/>
    </xf>
    <xf numFmtId="41" fontId="1" fillId="0" borderId="1" xfId="1" applyNumberFormat="1" applyFont="1" applyBorder="1" applyAlignment="1">
      <alignment horizontal="right"/>
    </xf>
    <xf numFmtId="164" fontId="1" fillId="0" borderId="0" xfId="1" applyNumberFormat="1" applyFont="1" applyFill="1" applyBorder="1" applyAlignment="1">
      <alignment horizontal="right"/>
    </xf>
    <xf numFmtId="164" fontId="1" fillId="0" borderId="0" xfId="1" applyNumberFormat="1" applyFont="1" applyFill="1" applyAlignment="1">
      <alignment horizontal="right"/>
    </xf>
    <xf numFmtId="0" fontId="0" fillId="3" borderId="0" xfId="0" applyFill="1" applyAlignment="1">
      <alignment horizontal="left"/>
    </xf>
    <xf numFmtId="164" fontId="2" fillId="2" borderId="0" xfId="1" applyNumberFormat="1" applyFont="1" applyFill="1" applyBorder="1" applyAlignment="1">
      <alignment horizontal="right"/>
    </xf>
    <xf numFmtId="164" fontId="2" fillId="2" borderId="1" xfId="1" applyNumberFormat="1" applyFont="1" applyFill="1" applyBorder="1" applyAlignment="1">
      <alignment horizontal="right"/>
    </xf>
    <xf numFmtId="3" fontId="7" fillId="2" borderId="0" xfId="0" applyNumberFormat="1" applyFont="1" applyFill="1" applyAlignment="1">
      <alignment horizontal="right"/>
    </xf>
    <xf numFmtId="3" fontId="7" fillId="2" borderId="1" xfId="0" applyNumberFormat="1" applyFont="1" applyFill="1" applyBorder="1" applyAlignment="1">
      <alignment horizontal="right"/>
    </xf>
    <xf numFmtId="5" fontId="2" fillId="0" borderId="2" xfId="0" applyNumberFormat="1" applyFont="1" applyBorder="1" applyAlignment="1">
      <alignment horizontal="right"/>
    </xf>
    <xf numFmtId="37" fontId="5" fillId="0" borderId="2" xfId="0" applyNumberFormat="1" applyFont="1" applyBorder="1" applyAlignment="1">
      <alignment horizontal="right"/>
    </xf>
    <xf numFmtId="37" fontId="10" fillId="0" borderId="2" xfId="0" applyNumberFormat="1" applyFont="1" applyBorder="1" applyAlignment="1">
      <alignment horizontal="right"/>
    </xf>
    <xf numFmtId="5" fontId="10" fillId="0" borderId="2" xfId="0" applyNumberFormat="1" applyFont="1" applyBorder="1" applyAlignment="1">
      <alignment horizontal="right"/>
    </xf>
    <xf numFmtId="164" fontId="5" fillId="0" borderId="2" xfId="1" applyNumberFormat="1" applyFont="1" applyBorder="1" applyAlignment="1">
      <alignment horizontal="right"/>
    </xf>
    <xf numFmtId="5" fontId="5" fillId="0" borderId="2" xfId="0" applyNumberFormat="1" applyFont="1" applyBorder="1" applyAlignment="1">
      <alignment horizontal="right"/>
    </xf>
    <xf numFmtId="5" fontId="10" fillId="2" borderId="2" xfId="0" applyNumberFormat="1" applyFont="1" applyFill="1" applyBorder="1" applyAlignment="1">
      <alignment horizontal="right"/>
    </xf>
    <xf numFmtId="165" fontId="5" fillId="0" borderId="2" xfId="0" applyNumberFormat="1" applyFont="1" applyBorder="1" applyAlignment="1">
      <alignment horizontal="right"/>
    </xf>
    <xf numFmtId="0" fontId="2" fillId="5" borderId="0" xfId="0" applyFont="1" applyFill="1" applyAlignment="1">
      <alignment horizontal="left"/>
    </xf>
    <xf numFmtId="0" fontId="0" fillId="5" borderId="0" xfId="0" applyFill="1" applyAlignment="1">
      <alignment horizontal="right"/>
    </xf>
    <xf numFmtId="0" fontId="0" fillId="5" borderId="1" xfId="0" applyFill="1" applyBorder="1" applyAlignment="1">
      <alignment horizontal="right"/>
    </xf>
    <xf numFmtId="164" fontId="0" fillId="0" borderId="1" xfId="1" applyNumberFormat="1" applyFont="1" applyFill="1" applyBorder="1" applyAlignment="1">
      <alignment horizontal="right"/>
    </xf>
    <xf numFmtId="168" fontId="0" fillId="0" borderId="0" xfId="0" applyNumberFormat="1" applyAlignment="1">
      <alignment horizontal="right"/>
    </xf>
    <xf numFmtId="168" fontId="0" fillId="0" borderId="1" xfId="0" applyNumberFormat="1" applyBorder="1" applyAlignment="1">
      <alignment horizontal="right"/>
    </xf>
    <xf numFmtId="168" fontId="4" fillId="0" borderId="0" xfId="0" applyNumberFormat="1" applyFont="1" applyAlignment="1">
      <alignment horizontal="right"/>
    </xf>
    <xf numFmtId="168" fontId="4" fillId="0" borderId="1" xfId="0" applyNumberFormat="1" applyFont="1" applyBorder="1" applyAlignment="1">
      <alignment horizontal="right"/>
    </xf>
    <xf numFmtId="164" fontId="4" fillId="0" borderId="0" xfId="0" applyNumberFormat="1" applyFont="1" applyAlignment="1">
      <alignment horizontal="right"/>
    </xf>
    <xf numFmtId="168" fontId="0" fillId="4" borderId="0" xfId="0" applyNumberFormat="1" applyFill="1" applyAlignment="1">
      <alignment horizontal="right"/>
    </xf>
    <xf numFmtId="168" fontId="0" fillId="4" borderId="1" xfId="0" applyNumberFormat="1" applyFill="1" applyBorder="1" applyAlignment="1">
      <alignment horizontal="right"/>
    </xf>
    <xf numFmtId="0" fontId="2" fillId="2" borderId="0" xfId="0" applyFont="1" applyFill="1" applyAlignment="1">
      <alignment horizontal="left" indent="1"/>
    </xf>
    <xf numFmtId="164" fontId="4" fillId="0" borderId="1" xfId="0" applyNumberFormat="1" applyFont="1" applyBorder="1" applyAlignment="1">
      <alignment horizontal="right"/>
    </xf>
    <xf numFmtId="168" fontId="5" fillId="0" borderId="2" xfId="0" applyNumberFormat="1" applyFont="1" applyBorder="1" applyAlignment="1">
      <alignment horizontal="right"/>
    </xf>
    <xf numFmtId="168" fontId="5" fillId="4" borderId="2" xfId="0" applyNumberFormat="1" applyFont="1" applyFill="1" applyBorder="1" applyAlignment="1">
      <alignment horizontal="right"/>
    </xf>
    <xf numFmtId="164" fontId="5" fillId="0" borderId="2" xfId="0" applyNumberFormat="1" applyFont="1" applyBorder="1" applyAlignment="1">
      <alignment horizontal="right"/>
    </xf>
    <xf numFmtId="7" fontId="10" fillId="2" borderId="2" xfId="0" applyNumberFormat="1" applyFont="1" applyFill="1" applyBorder="1" applyAlignment="1">
      <alignment horizontal="right"/>
    </xf>
    <xf numFmtId="7" fontId="5" fillId="0" borderId="2" xfId="0" applyNumberFormat="1" applyFont="1" applyBorder="1" applyAlignment="1">
      <alignment horizontal="right"/>
    </xf>
    <xf numFmtId="164" fontId="5" fillId="0" borderId="2" xfId="1" applyNumberFormat="1" applyFont="1" applyFill="1" applyBorder="1" applyAlignment="1">
      <alignment horizontal="right"/>
    </xf>
    <xf numFmtId="0" fontId="2" fillId="3" borderId="2" xfId="0" applyFont="1" applyFill="1" applyBorder="1" applyAlignment="1">
      <alignment horizontal="right"/>
    </xf>
    <xf numFmtId="5" fontId="2" fillId="2" borderId="2" xfId="0" applyNumberFormat="1" applyFont="1" applyFill="1" applyBorder="1" applyAlignment="1">
      <alignment horizontal="right"/>
    </xf>
    <xf numFmtId="0" fontId="0" fillId="0" borderId="2" xfId="0" applyBorder="1" applyAlignment="1">
      <alignment horizontal="right"/>
    </xf>
    <xf numFmtId="37" fontId="2" fillId="0" borderId="2" xfId="0" applyNumberFormat="1" applyFont="1" applyBorder="1" applyAlignment="1">
      <alignment horizontal="right"/>
    </xf>
    <xf numFmtId="37" fontId="5" fillId="0" borderId="2" xfId="1" applyNumberFormat="1" applyFont="1" applyBorder="1" applyAlignment="1">
      <alignment horizontal="right"/>
    </xf>
    <xf numFmtId="37" fontId="4" fillId="0" borderId="2" xfId="0" applyNumberFormat="1" applyFont="1" applyBorder="1" applyAlignment="1">
      <alignment horizontal="right"/>
    </xf>
    <xf numFmtId="3" fontId="2" fillId="0" borderId="2" xfId="0" applyNumberFormat="1" applyFont="1" applyBorder="1" applyAlignment="1">
      <alignment horizontal="right"/>
    </xf>
    <xf numFmtId="7" fontId="2" fillId="2" borderId="2" xfId="0" applyNumberFormat="1" applyFont="1" applyFill="1" applyBorder="1" applyAlignment="1">
      <alignment horizontal="right"/>
    </xf>
    <xf numFmtId="7" fontId="0" fillId="0" borderId="2" xfId="0" applyNumberFormat="1" applyBorder="1" applyAlignment="1">
      <alignment horizontal="right"/>
    </xf>
    <xf numFmtId="7" fontId="2" fillId="0" borderId="2" xfId="0" applyNumberFormat="1" applyFont="1" applyBorder="1" applyAlignment="1">
      <alignment horizontal="right"/>
    </xf>
    <xf numFmtId="167" fontId="7" fillId="0" borderId="2" xfId="0" applyNumberFormat="1" applyFont="1" applyBorder="1" applyAlignment="1">
      <alignment horizontal="right"/>
    </xf>
    <xf numFmtId="166" fontId="4" fillId="0" borderId="2" xfId="0" applyNumberFormat="1" applyFont="1" applyBorder="1" applyAlignment="1">
      <alignment horizontal="right"/>
    </xf>
    <xf numFmtId="167" fontId="2" fillId="0" borderId="2" xfId="0" applyNumberFormat="1" applyFont="1" applyBorder="1" applyAlignment="1">
      <alignment horizontal="right"/>
    </xf>
    <xf numFmtId="0" fontId="0" fillId="4" borderId="2" xfId="0" applyFill="1" applyBorder="1" applyAlignment="1">
      <alignment horizontal="right"/>
    </xf>
    <xf numFmtId="164" fontId="1" fillId="0" borderId="2" xfId="1" applyNumberFormat="1" applyFont="1" applyBorder="1" applyAlignment="1">
      <alignment horizontal="right"/>
    </xf>
    <xf numFmtId="5" fontId="7" fillId="0" borderId="2" xfId="0" applyNumberFormat="1" applyFont="1" applyBorder="1" applyAlignment="1">
      <alignment horizontal="right"/>
    </xf>
    <xf numFmtId="5" fontId="5" fillId="0" borderId="1" xfId="0" applyNumberFormat="1" applyFont="1" applyBorder="1" applyAlignment="1">
      <alignment horizontal="right"/>
    </xf>
    <xf numFmtId="5" fontId="2" fillId="0" borderId="0" xfId="1" applyNumberFormat="1" applyFont="1" applyBorder="1" applyAlignment="1">
      <alignment horizontal="right"/>
    </xf>
    <xf numFmtId="5" fontId="2" fillId="0" borderId="0" xfId="1" applyNumberFormat="1" applyFont="1" applyAlignment="1">
      <alignment horizontal="right"/>
    </xf>
    <xf numFmtId="5" fontId="7" fillId="0" borderId="0" xfId="1" applyNumberFormat="1" applyFont="1" applyAlignment="1">
      <alignment horizontal="right"/>
    </xf>
    <xf numFmtId="5" fontId="9" fillId="0" borderId="0" xfId="0" applyNumberFormat="1" applyFont="1" applyAlignment="1">
      <alignment horizontal="right"/>
    </xf>
    <xf numFmtId="0" fontId="10" fillId="3" borderId="2" xfId="0" applyFont="1" applyFill="1" applyBorder="1" applyAlignment="1">
      <alignment horizontal="right"/>
    </xf>
    <xf numFmtId="37" fontId="4" fillId="0" borderId="2" xfId="1" applyNumberFormat="1" applyFont="1" applyBorder="1" applyAlignment="1">
      <alignment horizontal="right"/>
    </xf>
    <xf numFmtId="164" fontId="4" fillId="0" borderId="2" xfId="1" applyNumberFormat="1" applyFont="1" applyBorder="1" applyAlignment="1">
      <alignment horizontal="right"/>
    </xf>
    <xf numFmtId="37" fontId="8" fillId="0" borderId="2" xfId="0" applyNumberFormat="1" applyFont="1" applyBorder="1" applyAlignment="1">
      <alignment horizontal="right"/>
    </xf>
    <xf numFmtId="5" fontId="0" fillId="0" borderId="2" xfId="0" applyNumberFormat="1" applyBorder="1" applyAlignment="1">
      <alignment horizontal="right"/>
    </xf>
    <xf numFmtId="37" fontId="5" fillId="0" borderId="3" xfId="0" applyNumberFormat="1" applyFont="1" applyBorder="1" applyAlignment="1">
      <alignment horizontal="right"/>
    </xf>
    <xf numFmtId="37" fontId="0" fillId="0" borderId="3" xfId="0" applyNumberFormat="1" applyBorder="1" applyAlignment="1">
      <alignment horizontal="right"/>
    </xf>
    <xf numFmtId="164" fontId="5" fillId="0" borderId="3" xfId="1" applyNumberFormat="1" applyFont="1" applyBorder="1" applyAlignment="1">
      <alignment horizontal="right"/>
    </xf>
    <xf numFmtId="5" fontId="10" fillId="2" borderId="1" xfId="0" applyNumberFormat="1" applyFont="1" applyFill="1" applyBorder="1" applyAlignment="1">
      <alignment horizontal="right"/>
    </xf>
    <xf numFmtId="37" fontId="10" fillId="0" borderId="1" xfId="0" applyNumberFormat="1" applyFont="1" applyBorder="1" applyAlignment="1">
      <alignment horizontal="right"/>
    </xf>
    <xf numFmtId="37" fontId="6" fillId="0" borderId="1" xfId="0" applyNumberFormat="1" applyFont="1" applyBorder="1" applyAlignment="1">
      <alignment horizontal="right"/>
    </xf>
    <xf numFmtId="37" fontId="0" fillId="4" borderId="1" xfId="0" applyNumberFormat="1" applyFill="1" applyBorder="1" applyAlignment="1">
      <alignment horizontal="right"/>
    </xf>
    <xf numFmtId="164" fontId="5" fillId="0" borderId="1" xfId="1" applyNumberFormat="1" applyFont="1" applyBorder="1" applyAlignment="1">
      <alignment horizontal="right"/>
    </xf>
    <xf numFmtId="0" fontId="0" fillId="3" borderId="0" xfId="0" applyFill="1" applyAlignment="1">
      <alignment horizontal="left" indent="1"/>
    </xf>
    <xf numFmtId="5" fontId="10" fillId="0" borderId="1" xfId="0" applyNumberFormat="1" applyFont="1" applyBorder="1" applyAlignment="1">
      <alignment horizontal="right"/>
    </xf>
    <xf numFmtId="7" fontId="10" fillId="0" borderId="1" xfId="1" applyNumberFormat="1" applyFont="1" applyBorder="1" applyAlignment="1">
      <alignment horizontal="right"/>
    </xf>
    <xf numFmtId="167" fontId="8" fillId="0" borderId="2" xfId="0" applyNumberFormat="1" applyFont="1" applyBorder="1" applyAlignment="1">
      <alignment horizontal="right"/>
    </xf>
    <xf numFmtId="167" fontId="8" fillId="0" borderId="1" xfId="0" applyNumberFormat="1" applyFont="1" applyBorder="1" applyAlignment="1">
      <alignment horizontal="right"/>
    </xf>
    <xf numFmtId="37" fontId="4" fillId="0" borderId="2" xfId="1" applyNumberFormat="1" applyFont="1" applyFill="1" applyBorder="1" applyAlignment="1">
      <alignment horizontal="right"/>
    </xf>
    <xf numFmtId="164" fontId="4" fillId="0" borderId="0" xfId="1" applyNumberFormat="1" applyFont="1" applyAlignment="1">
      <alignment horizontal="right"/>
    </xf>
    <xf numFmtId="37" fontId="0" fillId="3" borderId="1" xfId="0" applyNumberFormat="1" applyFill="1" applyBorder="1" applyAlignment="1">
      <alignment horizontal="right"/>
    </xf>
    <xf numFmtId="164" fontId="8" fillId="2" borderId="0" xfId="1" applyNumberFormat="1" applyFont="1" applyFill="1" applyBorder="1" applyAlignment="1">
      <alignment horizontal="right"/>
    </xf>
    <xf numFmtId="164" fontId="4" fillId="0" borderId="0" xfId="1" applyNumberFormat="1" applyFont="1" applyBorder="1" applyAlignment="1">
      <alignment horizontal="right"/>
    </xf>
    <xf numFmtId="43" fontId="0" fillId="0" borderId="0" xfId="2" applyFont="1" applyAlignment="1">
      <alignment horizontal="right"/>
    </xf>
    <xf numFmtId="43" fontId="0" fillId="0" borderId="0" xfId="2" applyFont="1" applyBorder="1" applyAlignment="1">
      <alignment horizontal="right"/>
    </xf>
    <xf numFmtId="37" fontId="5" fillId="3" borderId="1" xfId="0" applyNumberFormat="1" applyFont="1" applyFill="1" applyBorder="1" applyAlignment="1">
      <alignment horizontal="right"/>
    </xf>
    <xf numFmtId="164" fontId="5" fillId="3" borderId="1" xfId="1" applyNumberFormat="1" applyFont="1" applyFill="1" applyBorder="1" applyAlignment="1">
      <alignment horizontal="right"/>
    </xf>
    <xf numFmtId="37" fontId="10" fillId="3" borderId="1" xfId="0" applyNumberFormat="1" applyFont="1" applyFill="1" applyBorder="1" applyAlignment="1">
      <alignment horizontal="right"/>
    </xf>
    <xf numFmtId="5" fontId="7" fillId="2" borderId="1" xfId="0" applyNumberFormat="1" applyFont="1" applyFill="1" applyBorder="1" applyAlignment="1">
      <alignment horizontal="right"/>
    </xf>
    <xf numFmtId="37" fontId="5" fillId="3" borderId="1" xfId="0" applyNumberFormat="1" applyFont="1" applyFill="1" applyBorder="1"/>
    <xf numFmtId="37" fontId="0" fillId="3" borderId="1" xfId="0" applyNumberFormat="1" applyFill="1" applyBorder="1"/>
    <xf numFmtId="164" fontId="4" fillId="3" borderId="1" xfId="1" applyNumberFormat="1" applyFont="1" applyFill="1" applyBorder="1" applyAlignment="1">
      <alignment horizontal="right"/>
    </xf>
    <xf numFmtId="0" fontId="0" fillId="0" borderId="1" xfId="0" applyBorder="1"/>
    <xf numFmtId="164" fontId="0" fillId="0" borderId="1" xfId="1" applyNumberFormat="1" applyFont="1" applyBorder="1"/>
    <xf numFmtId="164" fontId="8" fillId="2" borderId="1" xfId="1" applyNumberFormat="1" applyFont="1" applyFill="1" applyBorder="1" applyAlignment="1">
      <alignment horizontal="right"/>
    </xf>
    <xf numFmtId="164" fontId="1" fillId="3" borderId="1" xfId="1" applyNumberFormat="1" applyFont="1" applyFill="1" applyBorder="1" applyAlignment="1">
      <alignment horizontal="right"/>
    </xf>
    <xf numFmtId="37" fontId="5" fillId="3" borderId="3" xfId="0" applyNumberFormat="1" applyFont="1" applyFill="1" applyBorder="1" applyAlignment="1">
      <alignment horizontal="right"/>
    </xf>
    <xf numFmtId="164" fontId="5" fillId="3" borderId="3" xfId="1" applyNumberFormat="1" applyFont="1" applyFill="1" applyBorder="1" applyAlignment="1">
      <alignment horizontal="right"/>
    </xf>
    <xf numFmtId="37" fontId="10" fillId="3" borderId="3" xfId="0" applyNumberFormat="1" applyFont="1" applyFill="1" applyBorder="1" applyAlignment="1">
      <alignment horizontal="right"/>
    </xf>
    <xf numFmtId="164" fontId="2" fillId="2" borderId="3" xfId="1" applyNumberFormat="1" applyFont="1" applyFill="1" applyBorder="1" applyAlignment="1">
      <alignment horizontal="right"/>
    </xf>
    <xf numFmtId="37" fontId="5" fillId="3" borderId="3" xfId="0" applyNumberFormat="1" applyFont="1" applyFill="1" applyBorder="1"/>
    <xf numFmtId="164" fontId="4" fillId="3" borderId="2" xfId="1" applyNumberFormat="1" applyFont="1" applyFill="1" applyBorder="1" applyAlignment="1">
      <alignment horizontal="right"/>
    </xf>
    <xf numFmtId="37" fontId="0" fillId="0" borderId="2" xfId="0" applyNumberFormat="1" applyBorder="1" applyAlignment="1">
      <alignment horizontal="right"/>
    </xf>
    <xf numFmtId="164" fontId="4" fillId="0" borderId="0" xfId="1" applyNumberFormat="1" applyFont="1" applyFill="1" applyBorder="1" applyAlignment="1">
      <alignment horizontal="right"/>
    </xf>
    <xf numFmtId="164" fontId="4" fillId="0" borderId="1" xfId="1" applyNumberFormat="1" applyFont="1" applyFill="1" applyBorder="1" applyAlignment="1">
      <alignment horizontal="right"/>
    </xf>
    <xf numFmtId="5" fontId="10" fillId="0" borderId="0" xfId="0" applyNumberFormat="1" applyFont="1" applyAlignment="1">
      <alignment horizontal="right"/>
    </xf>
    <xf numFmtId="164" fontId="9" fillId="0" borderId="1" xfId="1" applyNumberFormat="1" applyFont="1" applyFill="1" applyBorder="1" applyAlignment="1">
      <alignment horizontal="right"/>
    </xf>
    <xf numFmtId="168" fontId="5" fillId="0" borderId="1" xfId="0" applyNumberFormat="1" applyFont="1" applyBorder="1" applyAlignment="1">
      <alignment horizontal="right"/>
    </xf>
    <xf numFmtId="168" fontId="5" fillId="4" borderId="1" xfId="0" applyNumberFormat="1" applyFont="1" applyFill="1" applyBorder="1" applyAlignment="1">
      <alignment horizontal="right"/>
    </xf>
    <xf numFmtId="164" fontId="5" fillId="0" borderId="1" xfId="0" applyNumberFormat="1" applyFont="1" applyBorder="1" applyAlignment="1">
      <alignment horizontal="right"/>
    </xf>
    <xf numFmtId="7" fontId="10" fillId="2" borderId="1" xfId="0" applyNumberFormat="1" applyFont="1" applyFill="1" applyBorder="1" applyAlignment="1">
      <alignment horizontal="right"/>
    </xf>
    <xf numFmtId="7" fontId="5" fillId="0" borderId="1" xfId="0" applyNumberFormat="1" applyFont="1" applyBorder="1" applyAlignment="1">
      <alignment horizontal="right"/>
    </xf>
    <xf numFmtId="164" fontId="5" fillId="0" borderId="1" xfId="1" applyNumberFormat="1" applyFont="1" applyFill="1" applyBorder="1" applyAlignment="1">
      <alignment horizontal="right"/>
    </xf>
    <xf numFmtId="164" fontId="1" fillId="0" borderId="1" xfId="1" applyNumberFormat="1" applyFont="1" applyFill="1" applyBorder="1" applyAlignment="1">
      <alignment horizontal="right"/>
    </xf>
    <xf numFmtId="167" fontId="2" fillId="0" borderId="0" xfId="0" applyNumberFormat="1" applyFont="1" applyAlignment="1">
      <alignment horizontal="right"/>
    </xf>
    <xf numFmtId="7" fontId="8" fillId="0" borderId="0" xfId="1" applyNumberFormat="1" applyFont="1" applyAlignment="1">
      <alignment horizontal="right"/>
    </xf>
    <xf numFmtId="164" fontId="4" fillId="0" borderId="1" xfId="1" applyNumberFormat="1" applyFont="1" applyBorder="1" applyAlignment="1">
      <alignment horizontal="right"/>
    </xf>
    <xf numFmtId="164" fontId="5" fillId="0" borderId="0" xfId="1" applyNumberFormat="1" applyFont="1" applyAlignment="1">
      <alignment horizontal="right"/>
    </xf>
    <xf numFmtId="164" fontId="0" fillId="0" borderId="0" xfId="1" applyNumberFormat="1" applyFont="1" applyFill="1" applyBorder="1" applyAlignment="1">
      <alignment horizontal="right"/>
    </xf>
    <xf numFmtId="5" fontId="5" fillId="0" borderId="0" xfId="0" applyNumberFormat="1" applyFont="1" applyAlignment="1">
      <alignment horizontal="right"/>
    </xf>
    <xf numFmtId="37" fontId="0" fillId="0" borderId="1" xfId="0" applyNumberFormat="1" applyBorder="1"/>
    <xf numFmtId="0" fontId="4" fillId="0" borderId="1" xfId="0" applyFont="1" applyBorder="1"/>
    <xf numFmtId="37" fontId="9" fillId="0" borderId="2" xfId="0" applyNumberFormat="1" applyFont="1" applyBorder="1" applyAlignment="1">
      <alignment horizontal="right"/>
    </xf>
    <xf numFmtId="0" fontId="10" fillId="3" borderId="3" xfId="0" applyFont="1" applyFill="1" applyBorder="1" applyAlignment="1">
      <alignment horizontal="right"/>
    </xf>
    <xf numFmtId="5" fontId="8" fillId="2" borderId="3" xfId="0" applyNumberFormat="1" applyFont="1" applyFill="1" applyBorder="1" applyAlignment="1">
      <alignment horizontal="right"/>
    </xf>
    <xf numFmtId="37" fontId="4" fillId="3" borderId="3" xfId="0" applyNumberFormat="1" applyFont="1" applyFill="1" applyBorder="1" applyAlignment="1">
      <alignment horizontal="right"/>
    </xf>
    <xf numFmtId="164" fontId="1" fillId="3" borderId="3" xfId="1" applyNumberFormat="1" applyFont="1" applyFill="1" applyBorder="1" applyAlignment="1">
      <alignment horizontal="right"/>
    </xf>
    <xf numFmtId="0" fontId="5" fillId="0" borderId="3" xfId="0" applyFont="1" applyBorder="1" applyAlignment="1">
      <alignment horizontal="right"/>
    </xf>
    <xf numFmtId="0" fontId="0" fillId="0" borderId="3" xfId="0" applyBorder="1" applyAlignment="1">
      <alignment horizontal="right"/>
    </xf>
    <xf numFmtId="0" fontId="0" fillId="4" borderId="1" xfId="0" applyFill="1" applyBorder="1"/>
    <xf numFmtId="164" fontId="4" fillId="0" borderId="1" xfId="1" applyNumberFormat="1" applyFont="1" applyBorder="1"/>
    <xf numFmtId="167" fontId="10" fillId="0" borderId="2" xfId="0" applyNumberFormat="1" applyFont="1" applyBorder="1" applyAlignment="1">
      <alignment horizontal="right"/>
    </xf>
    <xf numFmtId="43" fontId="0" fillId="0" borderId="1" xfId="2" applyFont="1" applyBorder="1" applyAlignment="1">
      <alignment horizontal="right"/>
    </xf>
    <xf numFmtId="167" fontId="10" fillId="0" borderId="0" xfId="0" applyNumberFormat="1" applyFont="1" applyAlignment="1">
      <alignment horizontal="right"/>
    </xf>
    <xf numFmtId="166" fontId="5" fillId="0" borderId="0" xfId="0" applyNumberFormat="1" applyFont="1" applyAlignment="1">
      <alignment horizontal="right"/>
    </xf>
    <xf numFmtId="37" fontId="11" fillId="0" borderId="1" xfId="0" applyNumberFormat="1" applyFont="1" applyBorder="1" applyAlignment="1">
      <alignment horizontal="right"/>
    </xf>
    <xf numFmtId="37" fontId="11" fillId="0" borderId="0" xfId="0" applyNumberFormat="1" applyFont="1" applyAlignment="1">
      <alignment horizontal="right"/>
    </xf>
    <xf numFmtId="5" fontId="11" fillId="0" borderId="1" xfId="0" applyNumberFormat="1" applyFont="1" applyBorder="1" applyAlignment="1">
      <alignment horizontal="right"/>
    </xf>
    <xf numFmtId="164" fontId="1" fillId="0" borderId="2" xfId="1" applyNumberFormat="1" applyFont="1" applyFill="1" applyBorder="1" applyAlignment="1">
      <alignment horizontal="right"/>
    </xf>
    <xf numFmtId="7" fontId="8" fillId="0" borderId="1" xfId="1" applyNumberFormat="1" applyFont="1" applyBorder="1" applyAlignment="1">
      <alignment horizontal="right"/>
    </xf>
    <xf numFmtId="43" fontId="0" fillId="0" borderId="2" xfId="2" applyFont="1" applyBorder="1" applyAlignment="1">
      <alignment horizontal="right"/>
    </xf>
    <xf numFmtId="165" fontId="5" fillId="0" borderId="1" xfId="0" applyNumberFormat="1" applyFont="1" applyBorder="1" applyAlignment="1">
      <alignment horizontal="right"/>
    </xf>
    <xf numFmtId="37" fontId="4" fillId="0" borderId="0" xfId="1" applyNumberFormat="1" applyFont="1" applyFill="1" applyBorder="1" applyAlignment="1">
      <alignment horizontal="right"/>
    </xf>
    <xf numFmtId="9" fontId="2" fillId="0" borderId="0" xfId="1" applyFont="1" applyFill="1" applyBorder="1" applyAlignment="1">
      <alignment horizontal="right"/>
    </xf>
    <xf numFmtId="1" fontId="4" fillId="0" borderId="1" xfId="0" applyNumberFormat="1" applyFont="1" applyBorder="1"/>
    <xf numFmtId="0" fontId="0" fillId="6" borderId="0" xfId="0" applyFill="1"/>
    <xf numFmtId="0" fontId="0" fillId="6" borderId="0" xfId="0" applyFill="1" applyAlignment="1">
      <alignment horizontal="right"/>
    </xf>
    <xf numFmtId="0" fontId="9" fillId="0" borderId="0" xfId="0" applyFont="1"/>
    <xf numFmtId="37" fontId="0" fillId="0" borderId="0" xfId="0" applyNumberFormat="1" applyAlignment="1">
      <alignment horizontal="right" vertical="center"/>
    </xf>
    <xf numFmtId="0" fontId="0" fillId="0" borderId="0" xfId="0" applyAlignment="1">
      <alignment horizontal="right" vertical="center"/>
    </xf>
    <xf numFmtId="0" fontId="5" fillId="0" borderId="0" xfId="0" applyFont="1"/>
    <xf numFmtId="37" fontId="4" fillId="0" borderId="1" xfId="1" applyNumberFormat="1" applyFont="1" applyFill="1" applyBorder="1" applyAlignment="1">
      <alignment horizontal="right"/>
    </xf>
    <xf numFmtId="37" fontId="4" fillId="0" borderId="0" xfId="1" applyNumberFormat="1" applyFont="1" applyFill="1" applyAlignment="1">
      <alignment horizontal="right"/>
    </xf>
    <xf numFmtId="7" fontId="10" fillId="0" borderId="2" xfId="0" applyNumberFormat="1" applyFont="1" applyBorder="1" applyAlignment="1">
      <alignment horizontal="right"/>
    </xf>
    <xf numFmtId="7" fontId="10" fillId="0" borderId="0" xfId="0" applyNumberFormat="1" applyFont="1" applyAlignment="1">
      <alignment horizontal="right"/>
    </xf>
    <xf numFmtId="37" fontId="0" fillId="0" borderId="0" xfId="0" applyNumberFormat="1" applyAlignment="1">
      <alignment horizontal="left" indent="1"/>
    </xf>
    <xf numFmtId="170" fontId="0" fillId="0" borderId="1" xfId="0" applyNumberFormat="1" applyBorder="1"/>
    <xf numFmtId="9" fontId="5" fillId="0" borderId="1" xfId="1" applyFont="1" applyBorder="1" applyAlignment="1">
      <alignment horizontal="right"/>
    </xf>
    <xf numFmtId="10" fontId="0" fillId="0" borderId="1" xfId="1" applyNumberFormat="1" applyFont="1" applyFill="1" applyBorder="1" applyAlignment="1">
      <alignment horizontal="right"/>
    </xf>
    <xf numFmtId="9" fontId="0" fillId="0" borderId="0" xfId="1" applyFont="1" applyAlignment="1">
      <alignment horizontal="right"/>
    </xf>
    <xf numFmtId="5" fontId="8" fillId="0" borderId="0" xfId="0" applyNumberFormat="1" applyFont="1" applyAlignment="1">
      <alignment horizontal="right"/>
    </xf>
    <xf numFmtId="5" fontId="8" fillId="0" borderId="1" xfId="0" applyNumberFormat="1" applyFont="1" applyBorder="1" applyAlignment="1">
      <alignment horizontal="right"/>
    </xf>
    <xf numFmtId="164" fontId="9" fillId="3" borderId="1" xfId="1" applyNumberFormat="1" applyFont="1" applyFill="1" applyBorder="1" applyAlignment="1">
      <alignment horizontal="right"/>
    </xf>
    <xf numFmtId="7" fontId="10" fillId="0" borderId="1" xfId="0" applyNumberFormat="1" applyFont="1" applyBorder="1" applyAlignment="1">
      <alignment horizontal="right"/>
    </xf>
    <xf numFmtId="164" fontId="0" fillId="0" borderId="0" xfId="1" applyNumberFormat="1" applyFont="1" applyFill="1" applyAlignment="1">
      <alignment horizontal="left" indent="2"/>
    </xf>
    <xf numFmtId="0" fontId="0" fillId="0" borderId="5" xfId="0" applyBorder="1"/>
    <xf numFmtId="0" fontId="0" fillId="0" borderId="5" xfId="0" applyBorder="1" applyAlignment="1">
      <alignment horizontal="right"/>
    </xf>
    <xf numFmtId="171" fontId="9" fillId="0" borderId="0" xfId="2" applyNumberFormat="1" applyFont="1" applyFill="1" applyBorder="1" applyAlignment="1">
      <alignment horizontal="right"/>
    </xf>
    <xf numFmtId="10" fontId="10" fillId="0" borderId="1" xfId="1" applyNumberFormat="1" applyFont="1" applyFill="1" applyBorder="1" applyAlignment="1">
      <alignment horizontal="right"/>
    </xf>
    <xf numFmtId="0" fontId="2" fillId="0" borderId="0" xfId="0" applyFont="1" applyAlignment="1">
      <alignment horizontal="right"/>
    </xf>
    <xf numFmtId="0" fontId="9" fillId="0" borderId="0" xfId="0" applyFont="1" applyAlignment="1">
      <alignment horizontal="left" indent="2"/>
    </xf>
    <xf numFmtId="5" fontId="7" fillId="0" borderId="0" xfId="1" applyNumberFormat="1" applyFont="1" applyFill="1" applyBorder="1" applyAlignment="1">
      <alignment horizontal="right"/>
    </xf>
    <xf numFmtId="5" fontId="7" fillId="0" borderId="1" xfId="1" applyNumberFormat="1" applyFont="1" applyFill="1" applyBorder="1" applyAlignment="1">
      <alignment horizontal="right"/>
    </xf>
    <xf numFmtId="5" fontId="10" fillId="0" borderId="1" xfId="1" applyNumberFormat="1" applyFont="1" applyFill="1" applyBorder="1" applyAlignment="1">
      <alignment horizontal="right"/>
    </xf>
    <xf numFmtId="5" fontId="10" fillId="0" borderId="0" xfId="1" applyNumberFormat="1" applyFont="1" applyFill="1" applyBorder="1" applyAlignment="1">
      <alignment horizontal="right"/>
    </xf>
    <xf numFmtId="0" fontId="0" fillId="0" borderId="5" xfId="0" applyBorder="1" applyAlignment="1">
      <alignment horizontal="left" indent="2"/>
    </xf>
    <xf numFmtId="37" fontId="4" fillId="0" borderId="5" xfId="0" applyNumberFormat="1" applyFont="1" applyBorder="1" applyAlignment="1">
      <alignment horizontal="right"/>
    </xf>
    <xf numFmtId="37" fontId="9" fillId="0" borderId="5" xfId="0" applyNumberFormat="1" applyFont="1" applyBorder="1" applyAlignment="1">
      <alignment horizontal="right"/>
    </xf>
    <xf numFmtId="0" fontId="5" fillId="0" borderId="1" xfId="0" applyFont="1" applyBorder="1"/>
    <xf numFmtId="5" fontId="10" fillId="2" borderId="3" xfId="0" applyNumberFormat="1" applyFont="1" applyFill="1" applyBorder="1" applyAlignment="1">
      <alignment horizontal="right"/>
    </xf>
    <xf numFmtId="37" fontId="1" fillId="0" borderId="0" xfId="1" applyNumberFormat="1" applyFont="1" applyBorder="1" applyAlignment="1">
      <alignment horizontal="right"/>
    </xf>
    <xf numFmtId="37" fontId="1" fillId="0" borderId="0" xfId="1" applyNumberFormat="1" applyFont="1" applyAlignment="1">
      <alignment horizontal="right"/>
    </xf>
    <xf numFmtId="37" fontId="1" fillId="0" borderId="1" xfId="1" applyNumberFormat="1" applyFont="1" applyBorder="1" applyAlignment="1">
      <alignment horizontal="right"/>
    </xf>
    <xf numFmtId="37" fontId="1" fillId="0" borderId="1" xfId="0" applyNumberFormat="1" applyFont="1" applyBorder="1" applyAlignment="1">
      <alignment horizontal="right"/>
    </xf>
    <xf numFmtId="37" fontId="9" fillId="0" borderId="0" xfId="1" applyNumberFormat="1" applyFont="1" applyFill="1" applyAlignment="1">
      <alignment horizontal="right"/>
    </xf>
    <xf numFmtId="0" fontId="2" fillId="3" borderId="0" xfId="0" applyFont="1" applyFill="1" applyAlignment="1">
      <alignment horizontal="left"/>
    </xf>
    <xf numFmtId="37" fontId="10" fillId="3" borderId="1" xfId="0" applyNumberFormat="1" applyFont="1" applyFill="1" applyBorder="1"/>
    <xf numFmtId="37" fontId="10" fillId="3" borderId="3" xfId="0" applyNumberFormat="1" applyFont="1" applyFill="1" applyBorder="1"/>
    <xf numFmtId="37" fontId="2" fillId="3" borderId="1" xfId="0" applyNumberFormat="1" applyFont="1" applyFill="1" applyBorder="1"/>
    <xf numFmtId="37" fontId="8" fillId="0" borderId="0" xfId="1" applyNumberFormat="1" applyFont="1" applyBorder="1" applyAlignment="1">
      <alignment horizontal="right"/>
    </xf>
    <xf numFmtId="37" fontId="8" fillId="0" borderId="0" xfId="1" applyNumberFormat="1" applyFont="1" applyAlignment="1">
      <alignment horizontal="right"/>
    </xf>
    <xf numFmtId="37" fontId="8" fillId="0" borderId="1" xfId="1" applyNumberFormat="1" applyFont="1" applyBorder="1" applyAlignment="1">
      <alignment horizontal="right"/>
    </xf>
    <xf numFmtId="37" fontId="2" fillId="0" borderId="1" xfId="1" applyNumberFormat="1" applyFont="1" applyBorder="1" applyAlignment="1">
      <alignment horizontal="right"/>
    </xf>
    <xf numFmtId="37" fontId="1" fillId="0" borderId="1" xfId="1" applyNumberFormat="1" applyFont="1" applyFill="1" applyBorder="1" applyAlignment="1">
      <alignment horizontal="right"/>
    </xf>
    <xf numFmtId="37" fontId="0" fillId="0" borderId="0" xfId="1" applyNumberFormat="1" applyFont="1" applyFill="1" applyAlignment="1">
      <alignment horizontal="right"/>
    </xf>
    <xf numFmtId="5" fontId="2" fillId="0" borderId="0" xfId="0" applyNumberFormat="1" applyFont="1" applyAlignment="1">
      <alignment horizontal="left" indent="1"/>
    </xf>
    <xf numFmtId="7" fontId="7" fillId="0" borderId="1" xfId="0" applyNumberFormat="1" applyFont="1" applyBorder="1" applyAlignment="1">
      <alignment horizontal="right"/>
    </xf>
    <xf numFmtId="166" fontId="9" fillId="0" borderId="1" xfId="0" applyNumberFormat="1" applyFont="1" applyBorder="1" applyAlignment="1">
      <alignment horizontal="right"/>
    </xf>
    <xf numFmtId="3" fontId="7" fillId="0" borderId="1" xfId="0" applyNumberFormat="1" applyFont="1" applyBorder="1" applyAlignment="1">
      <alignment horizontal="right"/>
    </xf>
    <xf numFmtId="172" fontId="0" fillId="0" borderId="0" xfId="0" applyNumberFormat="1"/>
    <xf numFmtId="0" fontId="22" fillId="0" borderId="0" xfId="0" applyFont="1" applyAlignment="1">
      <alignment horizontal="left"/>
    </xf>
    <xf numFmtId="0" fontId="23" fillId="0" borderId="0" xfId="0" applyFont="1"/>
    <xf numFmtId="5" fontId="23" fillId="0" borderId="0" xfId="0" applyNumberFormat="1" applyFont="1"/>
    <xf numFmtId="0" fontId="23" fillId="0" borderId="0" xfId="0" applyFont="1" applyAlignment="1">
      <alignment horizontal="right"/>
    </xf>
    <xf numFmtId="37" fontId="23" fillId="0" borderId="0" xfId="0" applyNumberFormat="1" applyFont="1"/>
    <xf numFmtId="7" fontId="23" fillId="0" borderId="0" xfId="0" applyNumberFormat="1" applyFont="1"/>
    <xf numFmtId="0" fontId="22" fillId="0" borderId="0" xfId="0" applyFont="1"/>
    <xf numFmtId="164" fontId="2" fillId="0" borderId="1" xfId="1" applyNumberFormat="1" applyFont="1" applyBorder="1" applyAlignment="1">
      <alignment horizontal="right"/>
    </xf>
    <xf numFmtId="0" fontId="5" fillId="3" borderId="0" xfId="0" applyFont="1" applyFill="1" applyAlignment="1">
      <alignment horizontal="right"/>
    </xf>
    <xf numFmtId="0" fontId="5" fillId="3" borderId="1" xfId="0" applyFont="1" applyFill="1" applyBorder="1" applyAlignment="1">
      <alignment horizontal="right"/>
    </xf>
    <xf numFmtId="0" fontId="23" fillId="0" borderId="0" xfId="0" applyFont="1" applyAlignment="1">
      <alignment horizontal="left"/>
    </xf>
    <xf numFmtId="37" fontId="9" fillId="3" borderId="0" xfId="0" applyNumberFormat="1" applyFont="1" applyFill="1" applyAlignment="1">
      <alignment horizontal="right"/>
    </xf>
    <xf numFmtId="1" fontId="9" fillId="3" borderId="0" xfId="0" applyNumberFormat="1" applyFont="1" applyFill="1" applyAlignment="1">
      <alignment horizontal="right"/>
    </xf>
    <xf numFmtId="37" fontId="9" fillId="3" borderId="1" xfId="0" applyNumberFormat="1" applyFont="1" applyFill="1" applyBorder="1" applyAlignment="1">
      <alignment horizontal="right"/>
    </xf>
    <xf numFmtId="173" fontId="9" fillId="0" borderId="0" xfId="18" applyNumberFormat="1" applyFont="1" applyFill="1" applyBorder="1" applyAlignment="1">
      <alignment horizontal="right"/>
    </xf>
    <xf numFmtId="37" fontId="8" fillId="3" borderId="0" xfId="0" applyNumberFormat="1" applyFont="1" applyFill="1" applyAlignment="1">
      <alignment horizontal="right"/>
    </xf>
    <xf numFmtId="37" fontId="8" fillId="3" borderId="1" xfId="0" applyNumberFormat="1" applyFont="1" applyFill="1" applyBorder="1" applyAlignment="1">
      <alignment horizontal="right"/>
    </xf>
    <xf numFmtId="173" fontId="2" fillId="0" borderId="0" xfId="0" applyNumberFormat="1" applyFont="1"/>
    <xf numFmtId="164" fontId="2" fillId="0" borderId="0" xfId="1" applyNumberFormat="1" applyFont="1" applyBorder="1" applyAlignment="1">
      <alignment horizontal="right"/>
    </xf>
    <xf numFmtId="164" fontId="2" fillId="0" borderId="0" xfId="1" applyNumberFormat="1" applyFont="1" applyAlignment="1">
      <alignment horizontal="right"/>
    </xf>
    <xf numFmtId="0" fontId="24" fillId="0" borderId="0" xfId="0" applyFont="1"/>
    <xf numFmtId="164" fontId="0" fillId="0" borderId="0" xfId="1" applyNumberFormat="1" applyFont="1"/>
    <xf numFmtId="167" fontId="4" fillId="3" borderId="0" xfId="0" applyNumberFormat="1" applyFont="1" applyFill="1" applyAlignment="1">
      <alignment horizontal="right"/>
    </xf>
    <xf numFmtId="167" fontId="0" fillId="0" borderId="0" xfId="0" applyNumberFormat="1"/>
    <xf numFmtId="174" fontId="0" fillId="0" borderId="0" xfId="0" applyNumberFormat="1"/>
    <xf numFmtId="5" fontId="0" fillId="0" borderId="0" xfId="0" applyNumberFormat="1" applyAlignment="1">
      <alignment horizontal="center"/>
    </xf>
    <xf numFmtId="0" fontId="0" fillId="0" borderId="0" xfId="0" applyAlignment="1">
      <alignment horizontal="center"/>
    </xf>
    <xf numFmtId="0" fontId="9" fillId="3" borderId="0" xfId="0" applyFont="1" applyFill="1" applyAlignment="1">
      <alignment horizontal="left"/>
    </xf>
    <xf numFmtId="0" fontId="4" fillId="3" borderId="0" xfId="0" applyFont="1" applyFill="1" applyAlignment="1">
      <alignment horizontal="right"/>
    </xf>
    <xf numFmtId="164" fontId="10" fillId="3" borderId="1" xfId="1" applyNumberFormat="1" applyFont="1" applyFill="1" applyBorder="1" applyAlignment="1">
      <alignment horizontal="right"/>
    </xf>
    <xf numFmtId="164" fontId="10" fillId="3" borderId="0" xfId="1" applyNumberFormat="1" applyFont="1" applyFill="1" applyBorder="1" applyAlignment="1">
      <alignment horizontal="right"/>
    </xf>
    <xf numFmtId="164" fontId="10" fillId="3" borderId="3" xfId="1" applyNumberFormat="1" applyFont="1" applyFill="1" applyBorder="1" applyAlignment="1">
      <alignment horizontal="right"/>
    </xf>
    <xf numFmtId="2" fontId="0" fillId="0" borderId="0" xfId="0" applyNumberFormat="1"/>
    <xf numFmtId="175" fontId="0" fillId="0" borderId="0" xfId="0" applyNumberFormat="1"/>
    <xf numFmtId="5" fontId="0" fillId="0" borderId="0" xfId="0" applyNumberFormat="1"/>
    <xf numFmtId="0" fontId="9" fillId="0" borderId="0" xfId="0" applyFont="1" applyAlignment="1">
      <alignment horizontal="left" indent="1"/>
    </xf>
    <xf numFmtId="0" fontId="25" fillId="0" borderId="0" xfId="0" applyFont="1" applyAlignment="1">
      <alignment horizontal="left" indent="1"/>
    </xf>
    <xf numFmtId="0" fontId="25" fillId="0" borderId="0" xfId="0" applyFont="1"/>
    <xf numFmtId="37" fontId="4" fillId="0" borderId="1" xfId="0" applyNumberFormat="1" applyFont="1" applyBorder="1"/>
    <xf numFmtId="164" fontId="2" fillId="0" borderId="1" xfId="1" applyNumberFormat="1" applyFont="1" applyFill="1" applyBorder="1" applyAlignment="1">
      <alignment horizontal="right"/>
    </xf>
    <xf numFmtId="164" fontId="8" fillId="0" borderId="1" xfId="1" applyNumberFormat="1" applyFont="1" applyFill="1" applyBorder="1" applyAlignment="1">
      <alignment horizontal="right"/>
    </xf>
    <xf numFmtId="37" fontId="26" fillId="0" borderId="0" xfId="0" applyNumberFormat="1" applyFont="1"/>
    <xf numFmtId="37" fontId="27" fillId="0" borderId="0" xfId="1" applyNumberFormat="1" applyFont="1" applyAlignment="1">
      <alignment horizontal="right"/>
    </xf>
    <xf numFmtId="164" fontId="4" fillId="8" borderId="2" xfId="1" applyNumberFormat="1" applyFont="1" applyFill="1" applyBorder="1" applyAlignment="1">
      <alignment horizontal="right"/>
    </xf>
    <xf numFmtId="0" fontId="28" fillId="0" borderId="0" xfId="0" applyFont="1"/>
    <xf numFmtId="164" fontId="5" fillId="0" borderId="0" xfId="1" applyNumberFormat="1" applyFont="1" applyFill="1" applyBorder="1" applyAlignment="1">
      <alignment horizontal="right"/>
    </xf>
    <xf numFmtId="7" fontId="7" fillId="0" borderId="0" xfId="0" applyNumberFormat="1" applyFont="1" applyAlignment="1">
      <alignment horizontal="right"/>
    </xf>
    <xf numFmtId="164" fontId="7" fillId="0" borderId="0" xfId="1" applyNumberFormat="1" applyFont="1" applyFill="1" applyBorder="1" applyAlignment="1">
      <alignment horizontal="right"/>
    </xf>
    <xf numFmtId="167" fontId="29" fillId="0" borderId="2" xfId="0" applyNumberFormat="1" applyFont="1" applyBorder="1" applyAlignment="1">
      <alignment horizontal="right"/>
    </xf>
    <xf numFmtId="164" fontId="0" fillId="0" borderId="2" xfId="1" applyNumberFormat="1" applyFont="1" applyFill="1" applyBorder="1" applyAlignment="1">
      <alignment horizontal="right"/>
    </xf>
    <xf numFmtId="1" fontId="7" fillId="0" borderId="0" xfId="0" applyNumberFormat="1" applyFont="1" applyAlignment="1">
      <alignment horizontal="right"/>
    </xf>
    <xf numFmtId="167" fontId="7" fillId="0" borderId="0" xfId="0" applyNumberFormat="1" applyFont="1" applyAlignment="1">
      <alignment horizontal="right"/>
    </xf>
    <xf numFmtId="167" fontId="7" fillId="0" borderId="3" xfId="0" applyNumberFormat="1" applyFont="1" applyBorder="1" applyAlignment="1">
      <alignment horizontal="right"/>
    </xf>
    <xf numFmtId="9" fontId="7" fillId="0" borderId="2" xfId="1" applyFont="1" applyFill="1" applyBorder="1" applyAlignment="1">
      <alignment horizontal="right"/>
    </xf>
    <xf numFmtId="9" fontId="0" fillId="0" borderId="0" xfId="1" applyFont="1"/>
    <xf numFmtId="9" fontId="23" fillId="0" borderId="1" xfId="1" applyFont="1" applyBorder="1"/>
    <xf numFmtId="37" fontId="4" fillId="8" borderId="1" xfId="0" applyNumberFormat="1" applyFont="1" applyFill="1" applyBorder="1" applyAlignment="1">
      <alignment horizontal="right"/>
    </xf>
    <xf numFmtId="164" fontId="7" fillId="0" borderId="0" xfId="1" applyNumberFormat="1" applyFont="1" applyAlignment="1">
      <alignment horizontal="right"/>
    </xf>
    <xf numFmtId="37" fontId="23" fillId="0" borderId="0" xfId="0" applyNumberFormat="1" applyFont="1" applyAlignment="1">
      <alignment horizontal="left"/>
    </xf>
    <xf numFmtId="5" fontId="23" fillId="0" borderId="0" xfId="0" applyNumberFormat="1" applyFont="1" applyAlignment="1">
      <alignment horizontal="left"/>
    </xf>
    <xf numFmtId="173" fontId="0" fillId="0" borderId="0" xfId="18" applyNumberFormat="1" applyFont="1"/>
    <xf numFmtId="173" fontId="2" fillId="0" borderId="0" xfId="18" applyNumberFormat="1" applyFont="1"/>
    <xf numFmtId="0" fontId="28" fillId="0" borderId="0" xfId="0" applyFont="1" applyAlignment="1">
      <alignment horizontal="right"/>
    </xf>
    <xf numFmtId="164" fontId="4" fillId="0" borderId="2" xfId="1" applyNumberFormat="1" applyFont="1" applyFill="1" applyBorder="1" applyAlignment="1">
      <alignment horizontal="right"/>
    </xf>
    <xf numFmtId="9" fontId="0" fillId="0" borderId="1" xfId="1" applyFont="1" applyBorder="1" applyAlignment="1">
      <alignment horizontal="right"/>
    </xf>
    <xf numFmtId="9" fontId="0" fillId="0" borderId="0" xfId="0" applyNumberFormat="1"/>
    <xf numFmtId="7" fontId="0" fillId="0" borderId="0" xfId="0" applyNumberFormat="1"/>
    <xf numFmtId="9" fontId="2" fillId="0" borderId="1" xfId="1" applyFont="1" applyBorder="1" applyAlignment="1">
      <alignment horizontal="right"/>
    </xf>
    <xf numFmtId="164" fontId="0" fillId="0" borderId="1" xfId="1" applyNumberFormat="1" applyFont="1" applyFill="1" applyBorder="1"/>
    <xf numFmtId="0" fontId="27" fillId="0" borderId="0" xfId="0" applyFont="1"/>
    <xf numFmtId="0" fontId="9" fillId="0" borderId="0" xfId="0" applyFont="1" applyAlignment="1">
      <alignment horizontal="center"/>
    </xf>
    <xf numFmtId="0" fontId="5" fillId="0" borderId="0" xfId="0" applyFont="1" applyAlignment="1">
      <alignment horizontal="center"/>
    </xf>
    <xf numFmtId="9" fontId="23" fillId="0" borderId="0" xfId="1" applyFont="1"/>
    <xf numFmtId="164" fontId="2" fillId="0" borderId="0" xfId="1" applyNumberFormat="1" applyFont="1" applyFill="1" applyAlignment="1">
      <alignment horizontal="right"/>
    </xf>
    <xf numFmtId="37" fontId="4" fillId="0" borderId="3" xfId="0" applyNumberFormat="1" applyFont="1" applyBorder="1" applyAlignment="1">
      <alignment horizontal="right"/>
    </xf>
    <xf numFmtId="37" fontId="4" fillId="9" borderId="0" xfId="0" applyNumberFormat="1" applyFont="1" applyFill="1" applyAlignment="1">
      <alignment horizontal="right"/>
    </xf>
    <xf numFmtId="37" fontId="0" fillId="9" borderId="1" xfId="0" applyNumberFormat="1" applyFill="1" applyBorder="1" applyAlignment="1">
      <alignment horizontal="right"/>
    </xf>
    <xf numFmtId="0" fontId="0" fillId="9" borderId="0" xfId="0" applyFill="1" applyAlignment="1">
      <alignment horizontal="right"/>
    </xf>
    <xf numFmtId="37" fontId="0" fillId="9" borderId="0" xfId="0" applyNumberFormat="1" applyFill="1" applyAlignment="1">
      <alignment horizontal="right"/>
    </xf>
    <xf numFmtId="37" fontId="27" fillId="9" borderId="0" xfId="0" applyNumberFormat="1" applyFont="1" applyFill="1" applyAlignment="1">
      <alignment horizontal="right"/>
    </xf>
    <xf numFmtId="7" fontId="2" fillId="0" borderId="0" xfId="1" applyNumberFormat="1" applyFont="1" applyFill="1" applyAlignment="1">
      <alignment horizontal="right"/>
    </xf>
    <xf numFmtId="7" fontId="2" fillId="0" borderId="1" xfId="1" applyNumberFormat="1" applyFont="1" applyFill="1" applyBorder="1" applyAlignment="1">
      <alignment horizontal="right"/>
    </xf>
    <xf numFmtId="7" fontId="8" fillId="0" borderId="0" xfId="1" applyNumberFormat="1" applyFont="1" applyFill="1" applyAlignment="1">
      <alignment horizontal="right"/>
    </xf>
    <xf numFmtId="164" fontId="7" fillId="0" borderId="0" xfId="1" applyNumberFormat="1" applyFont="1" applyFill="1" applyAlignment="1">
      <alignment horizontal="right"/>
    </xf>
    <xf numFmtId="41" fontId="1" fillId="0" borderId="1" xfId="1" applyNumberFormat="1" applyFont="1" applyFill="1" applyBorder="1" applyAlignment="1">
      <alignment horizontal="right"/>
    </xf>
    <xf numFmtId="37" fontId="1" fillId="0" borderId="0" xfId="1" applyNumberFormat="1" applyFont="1" applyFill="1" applyAlignment="1">
      <alignment horizontal="right"/>
    </xf>
    <xf numFmtId="37" fontId="1" fillId="0" borderId="0" xfId="1" applyNumberFormat="1" applyFont="1" applyFill="1" applyBorder="1" applyAlignment="1">
      <alignment horizontal="right"/>
    </xf>
    <xf numFmtId="5" fontId="31" fillId="2" borderId="1" xfId="0" applyNumberFormat="1" applyFont="1" applyFill="1" applyBorder="1" applyAlignment="1">
      <alignment horizontal="right"/>
    </xf>
    <xf numFmtId="37" fontId="2" fillId="0" borderId="0" xfId="1" applyNumberFormat="1" applyFont="1" applyFill="1" applyBorder="1" applyAlignment="1">
      <alignment horizontal="right"/>
    </xf>
    <xf numFmtId="37" fontId="2" fillId="0" borderId="0" xfId="1" applyNumberFormat="1" applyFont="1" applyFill="1" applyAlignment="1">
      <alignment horizontal="right"/>
    </xf>
    <xf numFmtId="164" fontId="5" fillId="0" borderId="0" xfId="1" applyNumberFormat="1" applyFont="1" applyFill="1" applyAlignment="1">
      <alignment horizontal="right"/>
    </xf>
    <xf numFmtId="0" fontId="2" fillId="10" borderId="0" xfId="0" applyFont="1" applyFill="1" applyAlignment="1">
      <alignment horizontal="left"/>
    </xf>
    <xf numFmtId="0" fontId="0" fillId="10" borderId="0" xfId="0" applyFill="1" applyAlignment="1">
      <alignment horizontal="right"/>
    </xf>
    <xf numFmtId="0" fontId="0" fillId="10" borderId="1" xfId="0" applyFill="1" applyBorder="1" applyAlignment="1">
      <alignment horizontal="right"/>
    </xf>
    <xf numFmtId="43" fontId="0" fillId="0" borderId="0" xfId="2" applyFont="1" applyFill="1" applyBorder="1" applyAlignment="1">
      <alignment horizontal="right"/>
    </xf>
    <xf numFmtId="43" fontId="0" fillId="0" borderId="0" xfId="2" applyFont="1" applyFill="1" applyAlignment="1">
      <alignment horizontal="right"/>
    </xf>
    <xf numFmtId="5" fontId="2" fillId="0" borderId="0" xfId="1" applyNumberFormat="1" applyFont="1" applyFill="1" applyBorder="1" applyAlignment="1">
      <alignment horizontal="right"/>
    </xf>
    <xf numFmtId="5" fontId="2" fillId="0" borderId="0" xfId="1" applyNumberFormat="1" applyFont="1" applyFill="1" applyAlignment="1">
      <alignment horizontal="right"/>
    </xf>
    <xf numFmtId="5" fontId="0" fillId="0" borderId="0" xfId="2" applyNumberFormat="1" applyFont="1" applyFill="1" applyAlignment="1">
      <alignment horizontal="right"/>
    </xf>
    <xf numFmtId="3" fontId="2" fillId="0" borderId="0" xfId="1" applyNumberFormat="1" applyFont="1" applyFill="1" applyBorder="1" applyAlignment="1">
      <alignment horizontal="right"/>
    </xf>
    <xf numFmtId="3" fontId="2" fillId="0" borderId="0" xfId="1" applyNumberFormat="1" applyFont="1" applyFill="1" applyAlignment="1">
      <alignment horizontal="right"/>
    </xf>
    <xf numFmtId="172" fontId="8" fillId="0" borderId="0" xfId="0" applyNumberFormat="1" applyFont="1" applyAlignment="1">
      <alignment horizontal="right"/>
    </xf>
    <xf numFmtId="7" fontId="8" fillId="0" borderId="0" xfId="0" applyNumberFormat="1" applyFont="1" applyAlignment="1">
      <alignment horizontal="right"/>
    </xf>
    <xf numFmtId="170" fontId="0" fillId="0" borderId="0" xfId="0" applyNumberFormat="1"/>
    <xf numFmtId="7" fontId="23" fillId="0" borderId="0" xfId="0" applyNumberFormat="1" applyFont="1" applyAlignment="1">
      <alignment horizontal="left"/>
    </xf>
    <xf numFmtId="164" fontId="0" fillId="0" borderId="0" xfId="1" applyNumberFormat="1" applyFont="1" applyFill="1" applyAlignment="1">
      <alignment horizontal="center"/>
    </xf>
    <xf numFmtId="7" fontId="27" fillId="0" borderId="2" xfId="0" applyNumberFormat="1" applyFont="1" applyBorder="1" applyAlignment="1">
      <alignment horizontal="right"/>
    </xf>
    <xf numFmtId="7" fontId="27" fillId="0" borderId="1" xfId="0" applyNumberFormat="1" applyFont="1" applyBorder="1" applyAlignment="1">
      <alignment horizontal="right"/>
    </xf>
    <xf numFmtId="9" fontId="0" fillId="0" borderId="1" xfId="1" applyFont="1" applyBorder="1"/>
    <xf numFmtId="164" fontId="4" fillId="3" borderId="0" xfId="1" applyNumberFormat="1" applyFont="1" applyFill="1" applyBorder="1" applyAlignment="1">
      <alignment horizontal="right"/>
    </xf>
    <xf numFmtId="10" fontId="23" fillId="0" borderId="0" xfId="1" applyNumberFormat="1" applyFont="1"/>
    <xf numFmtId="10" fontId="0" fillId="0" borderId="0" xfId="1" applyNumberFormat="1" applyFont="1"/>
    <xf numFmtId="9" fontId="5" fillId="0" borderId="2" xfId="1" applyFont="1" applyBorder="1" applyAlignment="1">
      <alignment horizontal="right"/>
    </xf>
    <xf numFmtId="9" fontId="27" fillId="0" borderId="1" xfId="1" applyFont="1" applyBorder="1" applyAlignment="1">
      <alignment horizontal="right"/>
    </xf>
    <xf numFmtId="5" fontId="9" fillId="0" borderId="0" xfId="0" applyNumberFormat="1" applyFont="1"/>
    <xf numFmtId="0" fontId="2" fillId="2" borderId="9" xfId="0" applyFont="1" applyFill="1" applyBorder="1"/>
    <xf numFmtId="5" fontId="9" fillId="0" borderId="9" xfId="0" applyNumberFormat="1" applyFont="1" applyBorder="1" applyAlignment="1">
      <alignment horizontal="right"/>
    </xf>
    <xf numFmtId="164" fontId="0" fillId="0" borderId="9" xfId="1" applyNumberFormat="1" applyFont="1" applyBorder="1"/>
    <xf numFmtId="1" fontId="23" fillId="0" borderId="0" xfId="1" applyNumberFormat="1" applyFont="1" applyAlignment="1">
      <alignment horizontal="left"/>
    </xf>
    <xf numFmtId="9" fontId="9" fillId="0" borderId="0" xfId="1" applyFont="1" applyFill="1"/>
    <xf numFmtId="37" fontId="9" fillId="0" borderId="0" xfId="0" applyNumberFormat="1" applyFont="1"/>
    <xf numFmtId="173" fontId="9" fillId="0" borderId="0" xfId="0" applyNumberFormat="1" applyFont="1"/>
    <xf numFmtId="5" fontId="9" fillId="0" borderId="0" xfId="1" applyNumberFormat="1" applyFont="1" applyFill="1"/>
    <xf numFmtId="173" fontId="9" fillId="0" borderId="0" xfId="18" applyNumberFormat="1" applyFont="1" applyFill="1"/>
    <xf numFmtId="164" fontId="10" fillId="0" borderId="1" xfId="1" applyNumberFormat="1" applyFont="1" applyFill="1" applyBorder="1" applyAlignment="1">
      <alignment horizontal="right"/>
    </xf>
    <xf numFmtId="5" fontId="2" fillId="0" borderId="0" xfId="0" applyNumberFormat="1" applyFont="1"/>
    <xf numFmtId="9" fontId="0" fillId="0" borderId="0" xfId="0" applyNumberFormat="1" applyAlignment="1">
      <alignment horizontal="right"/>
    </xf>
    <xf numFmtId="9" fontId="0" fillId="0" borderId="0" xfId="1" applyFont="1" applyFill="1" applyAlignment="1">
      <alignment horizontal="right"/>
    </xf>
    <xf numFmtId="164" fontId="23" fillId="0" borderId="0" xfId="1" applyNumberFormat="1" applyFont="1"/>
    <xf numFmtId="5" fontId="7" fillId="0" borderId="7" xfId="1" applyNumberFormat="1" applyFont="1" applyFill="1" applyBorder="1" applyAlignment="1">
      <alignment horizontal="right"/>
    </xf>
    <xf numFmtId="5" fontId="7" fillId="0" borderId="11" xfId="1" applyNumberFormat="1" applyFont="1" applyFill="1" applyBorder="1" applyAlignment="1">
      <alignment horizontal="right"/>
    </xf>
    <xf numFmtId="37" fontId="4" fillId="11" borderId="1" xfId="0" applyNumberFormat="1" applyFont="1" applyFill="1" applyBorder="1" applyAlignment="1">
      <alignment horizontal="right"/>
    </xf>
    <xf numFmtId="167" fontId="23" fillId="0" borderId="0" xfId="0" applyNumberFormat="1" applyFont="1"/>
    <xf numFmtId="176" fontId="0" fillId="0" borderId="0" xfId="1" applyNumberFormat="1" applyFont="1" applyAlignment="1">
      <alignment horizontal="right"/>
    </xf>
    <xf numFmtId="164" fontId="7" fillId="2" borderId="0" xfId="1" applyNumberFormat="1" applyFont="1" applyFill="1" applyBorder="1" applyAlignment="1">
      <alignment horizontal="right"/>
    </xf>
    <xf numFmtId="37" fontId="27" fillId="3" borderId="1" xfId="0" applyNumberFormat="1" applyFont="1" applyFill="1" applyBorder="1" applyAlignment="1">
      <alignment horizontal="right"/>
    </xf>
    <xf numFmtId="37" fontId="27" fillId="0" borderId="0" xfId="0" applyNumberFormat="1" applyFont="1" applyAlignment="1">
      <alignment horizontal="right"/>
    </xf>
    <xf numFmtId="37" fontId="29" fillId="3" borderId="1" xfId="0" applyNumberFormat="1" applyFont="1" applyFill="1" applyBorder="1" applyAlignment="1">
      <alignment horizontal="right"/>
    </xf>
    <xf numFmtId="37" fontId="27" fillId="0" borderId="1" xfId="0" applyNumberFormat="1" applyFont="1" applyBorder="1" applyAlignment="1">
      <alignment horizontal="right"/>
    </xf>
    <xf numFmtId="37" fontId="4" fillId="3" borderId="0" xfId="1" applyNumberFormat="1" applyFont="1" applyFill="1" applyAlignment="1">
      <alignment horizontal="right"/>
    </xf>
    <xf numFmtId="5" fontId="23" fillId="0" borderId="0" xfId="0" quotePrefix="1" applyNumberFormat="1" applyFont="1"/>
    <xf numFmtId="0" fontId="7" fillId="0" borderId="0" xfId="0" applyFont="1"/>
    <xf numFmtId="0" fontId="28" fillId="7" borderId="0" xfId="0" applyFont="1" applyFill="1" applyAlignment="1">
      <alignment horizontal="right"/>
    </xf>
    <xf numFmtId="5" fontId="0" fillId="7" borderId="0" xfId="0" applyNumberFormat="1" applyFill="1" applyAlignment="1">
      <alignment horizontal="right"/>
    </xf>
    <xf numFmtId="5" fontId="2" fillId="7" borderId="0" xfId="0" applyNumberFormat="1" applyFont="1" applyFill="1" applyAlignment="1">
      <alignment horizontal="right"/>
    </xf>
    <xf numFmtId="9" fontId="2" fillId="2" borderId="2" xfId="1" applyFont="1" applyFill="1" applyBorder="1" applyAlignment="1">
      <alignment horizontal="right"/>
    </xf>
    <xf numFmtId="5" fontId="0" fillId="0" borderId="1" xfId="0" applyNumberFormat="1" applyBorder="1"/>
    <xf numFmtId="176" fontId="0" fillId="0" borderId="0" xfId="1" quotePrefix="1" applyNumberFormat="1" applyFont="1"/>
    <xf numFmtId="37" fontId="0" fillId="0" borderId="0" xfId="0" quotePrefix="1" applyNumberFormat="1"/>
    <xf numFmtId="164" fontId="1" fillId="0" borderId="0" xfId="1" quotePrefix="1" applyNumberFormat="1" applyFont="1" applyBorder="1" applyAlignment="1">
      <alignment horizontal="right"/>
    </xf>
    <xf numFmtId="0" fontId="0" fillId="0" borderId="0" xfId="0" quotePrefix="1"/>
    <xf numFmtId="0" fontId="2" fillId="0" borderId="0" xfId="0" quotePrefix="1" applyFont="1"/>
    <xf numFmtId="164" fontId="23" fillId="0" borderId="0" xfId="1" applyNumberFormat="1" applyFont="1" applyAlignment="1">
      <alignment horizontal="left"/>
    </xf>
    <xf numFmtId="164" fontId="1" fillId="0" borderId="0" xfId="1" quotePrefix="1" applyNumberFormat="1" applyFont="1" applyAlignment="1">
      <alignment horizontal="right"/>
    </xf>
    <xf numFmtId="164" fontId="9" fillId="3" borderId="0" xfId="1" applyNumberFormat="1" applyFont="1" applyFill="1" applyBorder="1" applyAlignment="1">
      <alignment horizontal="right"/>
    </xf>
    <xf numFmtId="9" fontId="2" fillId="0" borderId="0" xfId="1" applyFont="1"/>
    <xf numFmtId="5" fontId="10" fillId="0" borderId="8" xfId="1" applyNumberFormat="1" applyFont="1" applyFill="1" applyBorder="1" applyAlignment="1">
      <alignment horizontal="right"/>
    </xf>
    <xf numFmtId="178" fontId="0" fillId="0" borderId="0" xfId="1" applyNumberFormat="1" applyFont="1" applyFill="1" applyAlignment="1">
      <alignment horizontal="center"/>
    </xf>
    <xf numFmtId="1" fontId="0" fillId="0" borderId="0" xfId="0" applyNumberFormat="1"/>
    <xf numFmtId="1" fontId="25" fillId="0" borderId="0" xfId="0" applyNumberFormat="1" applyFont="1"/>
    <xf numFmtId="5" fontId="0" fillId="0" borderId="0" xfId="0" quotePrefix="1" applyNumberFormat="1"/>
    <xf numFmtId="177" fontId="0" fillId="0" borderId="0" xfId="0" applyNumberFormat="1"/>
    <xf numFmtId="37" fontId="9" fillId="3" borderId="0" xfId="1" applyNumberFormat="1" applyFont="1" applyFill="1" applyAlignment="1">
      <alignment horizontal="right"/>
    </xf>
    <xf numFmtId="167" fontId="8" fillId="3" borderId="0" xfId="0" applyNumberFormat="1" applyFont="1" applyFill="1" applyAlignment="1">
      <alignment horizontal="right"/>
    </xf>
    <xf numFmtId="7" fontId="8" fillId="3" borderId="0" xfId="0" applyNumberFormat="1" applyFont="1" applyFill="1" applyAlignment="1">
      <alignment horizontal="right"/>
    </xf>
    <xf numFmtId="7" fontId="8" fillId="3" borderId="0" xfId="1" applyNumberFormat="1" applyFont="1" applyFill="1" applyAlignment="1">
      <alignment horizontal="right"/>
    </xf>
    <xf numFmtId="5" fontId="8" fillId="3" borderId="0" xfId="0" applyNumberFormat="1" applyFont="1" applyFill="1" applyAlignment="1">
      <alignment horizontal="right"/>
    </xf>
    <xf numFmtId="0" fontId="0" fillId="3" borderId="0" xfId="0" applyFill="1" applyAlignment="1">
      <alignment horizontal="left" indent="2"/>
    </xf>
    <xf numFmtId="5" fontId="4" fillId="3" borderId="0" xfId="0" applyNumberFormat="1" applyFont="1" applyFill="1" applyAlignment="1">
      <alignment horizontal="right"/>
    </xf>
    <xf numFmtId="164" fontId="23" fillId="0" borderId="0" xfId="1" applyNumberFormat="1" applyFont="1" applyAlignment="1">
      <alignment horizontal="center"/>
    </xf>
    <xf numFmtId="37" fontId="5" fillId="0" borderId="1" xfId="0" applyNumberFormat="1" applyFont="1" applyBorder="1"/>
    <xf numFmtId="164" fontId="5" fillId="0" borderId="1" xfId="1" applyNumberFormat="1" applyFont="1" applyBorder="1"/>
    <xf numFmtId="9" fontId="5" fillId="0" borderId="1" xfId="1" applyFont="1" applyBorder="1"/>
    <xf numFmtId="37" fontId="27" fillId="7" borderId="1" xfId="0" applyNumberFormat="1" applyFont="1" applyFill="1" applyBorder="1" applyAlignment="1">
      <alignment horizontal="right"/>
    </xf>
    <xf numFmtId="164" fontId="0" fillId="0" borderId="0" xfId="0" applyNumberFormat="1"/>
    <xf numFmtId="164" fontId="9" fillId="0" borderId="0" xfId="0" applyNumberFormat="1" applyFont="1"/>
    <xf numFmtId="37" fontId="2" fillId="0" borderId="0" xfId="0" applyNumberFormat="1" applyFont="1"/>
    <xf numFmtId="164" fontId="2" fillId="0" borderId="0" xfId="0" applyNumberFormat="1" applyFont="1"/>
    <xf numFmtId="0" fontId="0" fillId="12" borderId="0" xfId="0" applyFill="1" applyAlignment="1">
      <alignment horizontal="left" indent="2"/>
    </xf>
    <xf numFmtId="164" fontId="0" fillId="0" borderId="0" xfId="1" applyNumberFormat="1" applyFont="1" applyAlignment="1">
      <alignment horizontal="center"/>
    </xf>
    <xf numFmtId="164" fontId="2" fillId="0" borderId="2" xfId="1" applyNumberFormat="1" applyFont="1" applyBorder="1" applyAlignment="1">
      <alignment horizontal="right"/>
    </xf>
    <xf numFmtId="164" fontId="0" fillId="0" borderId="0" xfId="0" applyNumberFormat="1" applyAlignment="1">
      <alignment horizontal="center"/>
    </xf>
    <xf numFmtId="10" fontId="0" fillId="0" borderId="0" xfId="1" applyNumberFormat="1" applyFont="1" applyAlignment="1">
      <alignment horizontal="center"/>
    </xf>
    <xf numFmtId="0" fontId="33" fillId="0" borderId="0" xfId="0" applyFont="1"/>
    <xf numFmtId="164" fontId="2" fillId="2" borderId="2" xfId="1" applyNumberFormat="1" applyFont="1" applyFill="1" applyBorder="1" applyAlignment="1">
      <alignment horizontal="right"/>
    </xf>
    <xf numFmtId="164" fontId="4" fillId="7" borderId="0" xfId="1" applyNumberFormat="1" applyFont="1" applyFill="1" applyBorder="1" applyAlignment="1">
      <alignment horizontal="right"/>
    </xf>
    <xf numFmtId="37" fontId="4" fillId="7" borderId="0" xfId="1" applyNumberFormat="1" applyFont="1" applyFill="1" applyAlignment="1">
      <alignment horizontal="right"/>
    </xf>
    <xf numFmtId="37" fontId="34" fillId="0" borderId="0" xfId="0" applyNumberFormat="1" applyFont="1" applyAlignment="1">
      <alignment horizontal="right"/>
    </xf>
    <xf numFmtId="164" fontId="23" fillId="0" borderId="0" xfId="0" applyNumberFormat="1" applyFont="1" applyAlignment="1">
      <alignment horizontal="left"/>
    </xf>
    <xf numFmtId="179" fontId="0" fillId="0" borderId="0" xfId="0" applyNumberFormat="1" applyAlignment="1">
      <alignment horizontal="right"/>
    </xf>
    <xf numFmtId="171" fontId="0" fillId="0" borderId="0" xfId="2" applyNumberFormat="1" applyFont="1" applyAlignment="1">
      <alignment horizontal="center"/>
    </xf>
    <xf numFmtId="43" fontId="0" fillId="0" borderId="0" xfId="0" applyNumberFormat="1" applyAlignment="1">
      <alignment horizontal="center"/>
    </xf>
    <xf numFmtId="171" fontId="0" fillId="0" borderId="0" xfId="0" applyNumberFormat="1" applyAlignment="1">
      <alignment horizontal="center"/>
    </xf>
    <xf numFmtId="9" fontId="0" fillId="0" borderId="1" xfId="1" applyFont="1" applyFill="1" applyBorder="1" applyAlignment="1">
      <alignment horizontal="right"/>
    </xf>
    <xf numFmtId="44" fontId="2" fillId="0" borderId="0" xfId="18" applyFont="1"/>
    <xf numFmtId="37" fontId="7" fillId="3" borderId="0" xfId="0" applyNumberFormat="1" applyFont="1" applyFill="1" applyAlignment="1">
      <alignment horizontal="right"/>
    </xf>
    <xf numFmtId="37" fontId="0" fillId="0" borderId="0" xfId="0" quotePrefix="1" applyNumberFormat="1" applyAlignment="1">
      <alignment horizontal="right"/>
    </xf>
    <xf numFmtId="180" fontId="0" fillId="0" borderId="0" xfId="0" applyNumberFormat="1" applyAlignment="1">
      <alignment horizontal="right"/>
    </xf>
    <xf numFmtId="7" fontId="7" fillId="0" borderId="1" xfId="1" applyNumberFormat="1" applyFont="1" applyBorder="1" applyAlignment="1">
      <alignment horizontal="right"/>
    </xf>
    <xf numFmtId="37" fontId="34" fillId="0" borderId="1" xfId="0" applyNumberFormat="1" applyFont="1" applyBorder="1" applyAlignment="1">
      <alignment horizontal="right"/>
    </xf>
    <xf numFmtId="5" fontId="10" fillId="0" borderId="7" xfId="1" applyNumberFormat="1" applyFont="1" applyFill="1" applyBorder="1" applyAlignment="1">
      <alignment horizontal="right"/>
    </xf>
    <xf numFmtId="5" fontId="7" fillId="7" borderId="0" xfId="0" applyNumberFormat="1" applyFont="1" applyFill="1" applyAlignment="1">
      <alignment horizontal="right"/>
    </xf>
    <xf numFmtId="164" fontId="8" fillId="0" borderId="0" xfId="1" applyNumberFormat="1" applyFont="1" applyFill="1"/>
    <xf numFmtId="9" fontId="0" fillId="0" borderId="0" xfId="1" applyFont="1" applyFill="1"/>
    <xf numFmtId="37" fontId="27" fillId="13" borderId="0" xfId="0" applyNumberFormat="1" applyFont="1" applyFill="1" applyAlignment="1">
      <alignment horizontal="right"/>
    </xf>
    <xf numFmtId="177" fontId="0" fillId="0" borderId="0" xfId="1" applyNumberFormat="1" applyFont="1" applyAlignment="1">
      <alignment horizontal="center"/>
    </xf>
    <xf numFmtId="177" fontId="0" fillId="0" borderId="0" xfId="0" applyNumberFormat="1" applyAlignment="1">
      <alignment horizontal="center"/>
    </xf>
    <xf numFmtId="178" fontId="0" fillId="0" borderId="0" xfId="1" applyNumberFormat="1" applyFont="1"/>
    <xf numFmtId="10" fontId="0" fillId="0" borderId="0" xfId="2" applyNumberFormat="1" applyFont="1" applyAlignment="1">
      <alignment horizontal="center"/>
    </xf>
    <xf numFmtId="43" fontId="0" fillId="0" borderId="0" xfId="0" applyNumberFormat="1"/>
    <xf numFmtId="177" fontId="23" fillId="0" borderId="0" xfId="0" applyNumberFormat="1" applyFont="1"/>
    <xf numFmtId="0" fontId="0" fillId="14" borderId="0" xfId="0" applyFill="1" applyAlignment="1">
      <alignment horizontal="left" indent="2"/>
    </xf>
    <xf numFmtId="4" fontId="7" fillId="2" borderId="0" xfId="0" applyNumberFormat="1" applyFont="1" applyFill="1" applyAlignment="1">
      <alignment horizontal="right"/>
    </xf>
    <xf numFmtId="3" fontId="9" fillId="0" borderId="1" xfId="0" applyNumberFormat="1" applyFont="1" applyBorder="1" applyAlignment="1">
      <alignment horizontal="right"/>
    </xf>
    <xf numFmtId="3" fontId="10" fillId="0" borderId="0" xfId="0" applyNumberFormat="1" applyFont="1" applyAlignment="1">
      <alignment horizontal="right"/>
    </xf>
    <xf numFmtId="37" fontId="4" fillId="9" borderId="1" xfId="0" applyNumberFormat="1" applyFont="1" applyFill="1" applyBorder="1" applyAlignment="1">
      <alignment horizontal="right"/>
    </xf>
    <xf numFmtId="180" fontId="0" fillId="0" borderId="1" xfId="0" applyNumberFormat="1" applyBorder="1" applyAlignment="1">
      <alignment horizontal="right"/>
    </xf>
    <xf numFmtId="37" fontId="7" fillId="3" borderId="1" xfId="0" applyNumberFormat="1" applyFont="1" applyFill="1" applyBorder="1" applyAlignment="1">
      <alignment horizontal="right"/>
    </xf>
    <xf numFmtId="39" fontId="0" fillId="0" borderId="0" xfId="0" applyNumberFormat="1"/>
    <xf numFmtId="0" fontId="2" fillId="0" borderId="2" xfId="0" applyFont="1" applyBorder="1" applyAlignment="1">
      <alignment horizontal="right"/>
    </xf>
    <xf numFmtId="9" fontId="27" fillId="0" borderId="2" xfId="1" applyFont="1" applyFill="1" applyBorder="1" applyAlignment="1">
      <alignment horizontal="right"/>
    </xf>
    <xf numFmtId="176" fontId="23" fillId="0" borderId="0" xfId="1" applyNumberFormat="1" applyFont="1" applyBorder="1"/>
    <xf numFmtId="0" fontId="7" fillId="2" borderId="0" xfId="0" applyFont="1" applyFill="1" applyAlignment="1">
      <alignment horizontal="left" indent="1"/>
    </xf>
    <xf numFmtId="9" fontId="0" fillId="2" borderId="0" xfId="1" applyFont="1" applyFill="1" applyAlignment="1">
      <alignment horizontal="right"/>
    </xf>
    <xf numFmtId="167" fontId="7" fillId="9" borderId="2" xfId="0" applyNumberFormat="1" applyFont="1" applyFill="1" applyBorder="1" applyAlignment="1">
      <alignment horizontal="right"/>
    </xf>
    <xf numFmtId="167" fontId="2" fillId="9" borderId="0" xfId="0" applyNumberFormat="1" applyFont="1" applyFill="1" applyAlignment="1">
      <alignment horizontal="right"/>
    </xf>
    <xf numFmtId="167" fontId="29" fillId="9" borderId="2" xfId="0" applyNumberFormat="1" applyFont="1" applyFill="1" applyBorder="1" applyAlignment="1">
      <alignment horizontal="right"/>
    </xf>
    <xf numFmtId="0" fontId="23" fillId="0" borderId="2" xfId="0" applyFont="1" applyBorder="1"/>
    <xf numFmtId="5" fontId="23" fillId="0" borderId="2" xfId="0" applyNumberFormat="1" applyFont="1" applyBorder="1"/>
    <xf numFmtId="5" fontId="23" fillId="0" borderId="2" xfId="0" quotePrefix="1" applyNumberFormat="1" applyFont="1" applyBorder="1"/>
    <xf numFmtId="37" fontId="23" fillId="0" borderId="2" xfId="0" applyNumberFormat="1" applyFont="1" applyBorder="1"/>
    <xf numFmtId="9" fontId="23" fillId="0" borderId="2" xfId="1" applyFont="1" applyBorder="1"/>
    <xf numFmtId="37" fontId="26" fillId="0" borderId="2" xfId="0" applyNumberFormat="1" applyFont="1" applyBorder="1"/>
    <xf numFmtId="5" fontId="23" fillId="0" borderId="2" xfId="0" applyNumberFormat="1" applyFont="1" applyBorder="1" applyAlignment="1">
      <alignment horizontal="left"/>
    </xf>
    <xf numFmtId="9" fontId="0" fillId="0" borderId="2" xfId="1" applyFont="1" applyFill="1" applyBorder="1" applyAlignment="1">
      <alignment horizontal="right"/>
    </xf>
    <xf numFmtId="164" fontId="8" fillId="0" borderId="0" xfId="1" applyNumberFormat="1" applyFont="1" applyFill="1" applyAlignment="1">
      <alignment horizontal="right"/>
    </xf>
    <xf numFmtId="7" fontId="7" fillId="0" borderId="0" xfId="1" applyNumberFormat="1" applyFont="1" applyFill="1" applyAlignment="1">
      <alignment horizontal="right"/>
    </xf>
    <xf numFmtId="167" fontId="29" fillId="9" borderId="0" xfId="0" applyNumberFormat="1" applyFont="1" applyFill="1" applyAlignment="1">
      <alignment horizontal="right"/>
    </xf>
    <xf numFmtId="37" fontId="10" fillId="9" borderId="1" xfId="0" applyNumberFormat="1" applyFont="1" applyFill="1" applyBorder="1" applyAlignment="1">
      <alignment horizontal="right"/>
    </xf>
    <xf numFmtId="181" fontId="0" fillId="0" borderId="1" xfId="0" applyNumberFormat="1" applyBorder="1"/>
    <xf numFmtId="9" fontId="4" fillId="0" borderId="0" xfId="1" applyFont="1" applyFill="1" applyBorder="1" applyAlignment="1">
      <alignment horizontal="right"/>
    </xf>
    <xf numFmtId="39" fontId="0" fillId="0" borderId="0" xfId="0" applyNumberFormat="1" applyAlignment="1">
      <alignment horizontal="right"/>
    </xf>
    <xf numFmtId="43" fontId="0" fillId="0" borderId="0" xfId="2" applyFont="1"/>
    <xf numFmtId="167" fontId="7" fillId="9" borderId="0" xfId="0" applyNumberFormat="1" applyFont="1" applyFill="1" applyAlignment="1">
      <alignment horizontal="right"/>
    </xf>
    <xf numFmtId="44" fontId="0" fillId="0" borderId="0" xfId="18" applyFont="1"/>
    <xf numFmtId="49" fontId="36" fillId="0" borderId="0" xfId="0" applyNumberFormat="1" applyFont="1"/>
    <xf numFmtId="49" fontId="37" fillId="0" borderId="0" xfId="0" applyNumberFormat="1" applyFont="1"/>
    <xf numFmtId="49" fontId="38" fillId="0" borderId="0" xfId="0" applyNumberFormat="1" applyFont="1" applyAlignment="1">
      <alignment horizontal="left" vertical="center"/>
    </xf>
    <xf numFmtId="49" fontId="38" fillId="0" borderId="0" xfId="0" applyNumberFormat="1" applyFont="1"/>
    <xf numFmtId="49" fontId="30" fillId="0" borderId="0" xfId="0" applyNumberFormat="1" applyFont="1"/>
    <xf numFmtId="49" fontId="39" fillId="0" borderId="0" xfId="0" applyNumberFormat="1" applyFont="1"/>
    <xf numFmtId="49" fontId="30" fillId="0" borderId="6" xfId="0" applyNumberFormat="1" applyFont="1" applyBorder="1"/>
    <xf numFmtId="0" fontId="30" fillId="0" borderId="0" xfId="0" applyFont="1"/>
    <xf numFmtId="2" fontId="36" fillId="0" borderId="0" xfId="0" applyNumberFormat="1" applyFont="1"/>
    <xf numFmtId="49" fontId="40" fillId="15" borderId="0" xfId="0" applyNumberFormat="1" applyFont="1" applyFill="1" applyAlignment="1">
      <alignment wrapText="1"/>
    </xf>
    <xf numFmtId="0" fontId="0" fillId="15" borderId="0" xfId="0" applyFill="1"/>
    <xf numFmtId="49" fontId="41" fillId="15" borderId="0" xfId="0" applyNumberFormat="1" applyFont="1" applyFill="1" applyAlignment="1">
      <alignment wrapText="1"/>
    </xf>
    <xf numFmtId="49" fontId="30" fillId="0" borderId="6" xfId="0" applyNumberFormat="1" applyFont="1" applyBorder="1"/>
  </cellXfs>
  <cellStyles count="23">
    <cellStyle name="_MWA RR_1-pager " xfId="3" xr:uid="{00000000-0005-0000-0000-000002000000}"/>
    <cellStyle name="_RRS1_1_1-pager " xfId="4" xr:uid="{00000000-0005-0000-0000-000004000000}"/>
    <cellStyle name="_RRS10_1_1-pager " xfId="5" xr:uid="{00000000-0005-0000-0000-000005000000}"/>
    <cellStyle name="_SUMMARY " xfId="6" xr:uid="{00000000-0005-0000-0000-000006000000}"/>
    <cellStyle name="_SUMMARY _1-pager " xfId="7" xr:uid="{00000000-0005-0000-0000-000008000000}"/>
    <cellStyle name="0_Capex &amp; Depreciation " xfId="8" xr:uid="{00000000-0005-0000-0000-000009000000}"/>
    <cellStyle name="0_Valuing BP " xfId="9" xr:uid="{00000000-0005-0000-0000-00000A000000}"/>
    <cellStyle name="c_HardInc " xfId="10" xr:uid="{00000000-0005-0000-0000-00000B000000}"/>
    <cellStyle name="Comma" xfId="2" builtinId="3"/>
    <cellStyle name="Comma 10 2 2 2" xfId="22" xr:uid="{00000000-0005-0000-0000-00000D000000}"/>
    <cellStyle name="Currency" xfId="18" builtinId="4"/>
    <cellStyle name="Heading 1 2" xfId="21" xr:uid="{00000000-0005-0000-0000-000013000000}"/>
    <cellStyle name="Millares_2AV_M_M " xfId="11" xr:uid="{00000000-0005-0000-0000-000016000000}"/>
    <cellStyle name="Moneda [0]_2AV_M_M " xfId="12" xr:uid="{00000000-0005-0000-0000-000017000000}"/>
    <cellStyle name="Normal" xfId="0" builtinId="0" customBuiltin="1"/>
    <cellStyle name="Normal - Style1 17 2" xfId="19" xr:uid="{00000000-0005-0000-0000-000019000000}"/>
    <cellStyle name="p " xfId="13" xr:uid="{00000000-0005-0000-0000-00001F000000}"/>
    <cellStyle name="Percent" xfId="1" builtinId="5"/>
    <cellStyle name="Percent 10 2 2" xfId="20" xr:uid="{00000000-0005-0000-0000-000021000000}"/>
    <cellStyle name="s_HardInc " xfId="14" xr:uid="{00000000-0005-0000-0000-000025000000}"/>
    <cellStyle name="s_Valuation " xfId="15" xr:uid="{00000000-0005-0000-0000-000026000000}"/>
    <cellStyle name="ssp " xfId="16" xr:uid="{00000000-0005-0000-0000-000027000000}"/>
    <cellStyle name="표준_0N-HANDLING " xfId="17" xr:uid="{00000000-0005-0000-0000-000028000000}"/>
  </cellStyles>
  <dxfs count="0"/>
  <tableStyles count="0" defaultTableStyle="TableStyleMedium2" defaultPivotStyle="PivotStyleLight16"/>
  <colors>
    <mruColors>
      <color rgb="FF0000FF"/>
      <color rgb="FFFF00FF"/>
      <color rgb="FFFFFFCC"/>
      <color rgb="FFFFFFFF"/>
      <color rgb="FF006600"/>
      <color rgb="FFFFFF99"/>
      <color rgb="FFEC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1</xdr:col>
      <xdr:colOff>139918</xdr:colOff>
      <xdr:row>1</xdr:row>
      <xdr:rowOff>41</xdr:rowOff>
    </xdr:to>
    <xdr:pic>
      <xdr:nvPicPr>
        <xdr:cNvPr id="3" name="Picture 2">
          <a:extLst>
            <a:ext uri="{FF2B5EF4-FFF2-40B4-BE49-F238E27FC236}">
              <a16:creationId xmlns:a16="http://schemas.microsoft.com/office/drawing/2014/main" id="{68B9EDC0-343B-6E3E-A447-889BCBB73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175</xdr:row>
      <xdr:rowOff>0</xdr:rowOff>
    </xdr:from>
    <xdr:to>
      <xdr:col>9</xdr:col>
      <xdr:colOff>260350</xdr:colOff>
      <xdr:row>195</xdr:row>
      <xdr:rowOff>152400</xdr:rowOff>
    </xdr:to>
    <xdr:pic>
      <xdr:nvPicPr>
        <xdr:cNvPr id="5" name="Picture 4">
          <a:extLst>
            <a:ext uri="{FF2B5EF4-FFF2-40B4-BE49-F238E27FC236}">
              <a16:creationId xmlns:a16="http://schemas.microsoft.com/office/drawing/2014/main" id="{CA91E305-3B49-7F2D-54CC-603773950A4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3518475"/>
          <a:ext cx="6496050" cy="3962400"/>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F7756-BF1A-4ACA-B299-4DC91204B1C8}">
  <dimension ref="B2:B9"/>
  <sheetViews>
    <sheetView showGridLines="0" showRowColHeaders="0" workbookViewId="0">
      <selection activeCell="Z1" sqref="Z1"/>
    </sheetView>
  </sheetViews>
  <sheetFormatPr defaultRowHeight="15"/>
  <cols>
    <col min="1" max="1" width="9.140625" style="569"/>
    <col min="2" max="2" width="101" style="569" customWidth="1"/>
    <col min="3" max="16384" width="9.140625" style="569"/>
  </cols>
  <sheetData>
    <row r="2" spans="2:2" ht="54">
      <c r="B2" s="568" t="s">
        <v>935</v>
      </c>
    </row>
    <row r="3" spans="2:2" ht="18">
      <c r="B3" s="568"/>
    </row>
    <row r="4" spans="2:2" ht="18">
      <c r="B4" s="568"/>
    </row>
    <row r="5" spans="2:2" ht="18">
      <c r="B5" s="568" t="s">
        <v>936</v>
      </c>
    </row>
    <row r="6" spans="2:2" ht="18">
      <c r="B6" s="568" t="s">
        <v>937</v>
      </c>
    </row>
    <row r="7" spans="2:2" ht="18">
      <c r="B7" s="568" t="s">
        <v>938</v>
      </c>
    </row>
    <row r="8" spans="2:2" ht="18">
      <c r="B8" s="568"/>
    </row>
    <row r="9" spans="2:2" ht="36">
      <c r="B9" s="570" t="s">
        <v>939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12F10-8D9A-4A87-8EF5-1C644187E744}">
  <sheetPr codeName="Sheet2"/>
  <dimension ref="A1:H421"/>
  <sheetViews>
    <sheetView showGridLines="0" tabSelected="1" workbookViewId="0">
      <selection activeCell="A423" sqref="A423"/>
    </sheetView>
  </sheetViews>
  <sheetFormatPr defaultRowHeight="15"/>
  <cols>
    <col min="1" max="1" width="22.28515625" customWidth="1"/>
  </cols>
  <sheetData>
    <row r="1" spans="1:8" ht="23.25" customHeight="1">
      <c r="A1" s="561"/>
      <c r="B1" s="562"/>
      <c r="C1" s="562"/>
      <c r="D1" s="562"/>
      <c r="E1" s="562"/>
      <c r="F1" s="562"/>
      <c r="G1" s="562"/>
      <c r="H1" s="562"/>
    </row>
    <row r="2" spans="1:8">
      <c r="A2" s="559" t="s">
        <v>528</v>
      </c>
      <c r="B2" s="562"/>
      <c r="C2" s="562"/>
      <c r="D2" s="562"/>
      <c r="E2" s="562"/>
      <c r="F2" s="562"/>
      <c r="G2" s="562"/>
      <c r="H2" s="562"/>
    </row>
    <row r="3" spans="1:8">
      <c r="A3" s="559" t="s">
        <v>529</v>
      </c>
      <c r="B3" s="562"/>
      <c r="C3" s="562"/>
      <c r="D3" s="562"/>
      <c r="E3" s="562"/>
      <c r="F3" s="562"/>
      <c r="G3" s="562"/>
      <c r="H3" s="562"/>
    </row>
    <row r="4" spans="1:8">
      <c r="A4" s="559" t="s">
        <v>530</v>
      </c>
      <c r="B4" s="562"/>
      <c r="C4" s="562"/>
      <c r="D4" s="562"/>
      <c r="E4" s="562"/>
      <c r="F4" s="562"/>
      <c r="G4" s="562"/>
      <c r="H4" s="562"/>
    </row>
    <row r="5" spans="1:8">
      <c r="A5" s="559" t="s">
        <v>940</v>
      </c>
      <c r="B5" s="562"/>
      <c r="C5" s="562"/>
      <c r="D5" s="562"/>
      <c r="E5" s="562"/>
      <c r="F5" s="562"/>
      <c r="G5" s="562"/>
      <c r="H5" s="562"/>
    </row>
    <row r="6" spans="1:8">
      <c r="A6" s="559"/>
      <c r="B6" s="562"/>
      <c r="C6" s="562"/>
      <c r="D6" s="562"/>
      <c r="E6" s="562"/>
      <c r="F6" s="562"/>
      <c r="G6" s="562"/>
      <c r="H6" s="562"/>
    </row>
    <row r="7" spans="1:8">
      <c r="A7" s="559" t="s">
        <v>531</v>
      </c>
      <c r="B7" s="562"/>
      <c r="C7" s="562"/>
      <c r="D7" s="562"/>
      <c r="E7" s="562"/>
      <c r="F7" s="562"/>
      <c r="G7" s="562"/>
      <c r="H7" s="562"/>
    </row>
    <row r="8" spans="1:8">
      <c r="A8" s="559" t="s">
        <v>532</v>
      </c>
      <c r="B8" s="562"/>
      <c r="C8" s="562"/>
      <c r="D8" s="562"/>
      <c r="E8" s="562"/>
      <c r="F8" s="562"/>
      <c r="G8" s="562"/>
      <c r="H8" s="562"/>
    </row>
    <row r="9" spans="1:8">
      <c r="A9" s="559"/>
      <c r="B9" s="562"/>
      <c r="C9" s="562"/>
      <c r="D9" s="562"/>
      <c r="E9" s="562"/>
      <c r="F9" s="562"/>
      <c r="G9" s="562"/>
      <c r="H9" s="562"/>
    </row>
    <row r="10" spans="1:8">
      <c r="A10" s="559" t="s">
        <v>533</v>
      </c>
      <c r="B10" s="562"/>
      <c r="C10" s="562"/>
      <c r="D10" s="562"/>
      <c r="E10" s="562"/>
      <c r="F10" s="562"/>
      <c r="G10" s="562"/>
      <c r="H10" s="562"/>
    </row>
    <row r="11" spans="1:8">
      <c r="A11" s="559" t="s">
        <v>534</v>
      </c>
      <c r="B11" s="562"/>
      <c r="C11" s="562"/>
      <c r="D11" s="562"/>
      <c r="E11" s="562"/>
      <c r="F11" s="562"/>
      <c r="G11" s="562"/>
      <c r="H11" s="562"/>
    </row>
    <row r="12" spans="1:8">
      <c r="A12" s="559" t="s">
        <v>535</v>
      </c>
      <c r="B12" s="562"/>
      <c r="C12" s="562"/>
      <c r="D12" s="562"/>
      <c r="E12" s="562"/>
      <c r="F12" s="562"/>
      <c r="G12" s="562"/>
      <c r="H12" s="562"/>
    </row>
    <row r="13" spans="1:8">
      <c r="A13" s="559" t="s">
        <v>536</v>
      </c>
      <c r="B13" s="562"/>
      <c r="C13" s="562"/>
      <c r="D13" s="562"/>
      <c r="E13" s="562"/>
      <c r="F13" s="562"/>
      <c r="G13" s="562"/>
      <c r="H13" s="562"/>
    </row>
    <row r="14" spans="1:8">
      <c r="A14" s="559" t="s">
        <v>537</v>
      </c>
      <c r="B14" s="562"/>
      <c r="C14" s="562"/>
      <c r="D14" s="562"/>
      <c r="E14" s="562"/>
      <c r="F14" s="562"/>
      <c r="G14" s="562"/>
      <c r="H14" s="562"/>
    </row>
    <row r="15" spans="1:8">
      <c r="A15" s="559" t="s">
        <v>538</v>
      </c>
      <c r="B15" s="562"/>
      <c r="C15" s="562"/>
      <c r="D15" s="562"/>
      <c r="E15" s="562"/>
      <c r="F15" s="562"/>
      <c r="G15" s="562"/>
      <c r="H15" s="562"/>
    </row>
    <row r="16" spans="1:8">
      <c r="A16" s="559"/>
      <c r="B16" s="562"/>
      <c r="C16" s="562"/>
      <c r="D16" s="562"/>
      <c r="E16" s="562"/>
      <c r="F16" s="562"/>
      <c r="G16" s="562"/>
      <c r="H16" s="562"/>
    </row>
    <row r="17" spans="1:8">
      <c r="A17" s="559" t="s">
        <v>539</v>
      </c>
      <c r="B17" s="562"/>
      <c r="C17" s="562"/>
      <c r="D17" s="562"/>
      <c r="E17" s="562"/>
      <c r="F17" s="562"/>
      <c r="G17" s="562"/>
      <c r="H17" s="562"/>
    </row>
    <row r="18" spans="1:8">
      <c r="A18" s="559"/>
      <c r="B18" s="562"/>
      <c r="C18" s="562"/>
      <c r="D18" s="562"/>
      <c r="E18" s="562"/>
      <c r="F18" s="562"/>
      <c r="G18" s="562"/>
      <c r="H18" s="562"/>
    </row>
    <row r="19" spans="1:8">
      <c r="A19" s="559" t="s">
        <v>540</v>
      </c>
      <c r="B19" s="562"/>
      <c r="C19" s="562"/>
      <c r="D19" s="562"/>
      <c r="E19" s="562"/>
      <c r="F19" s="562"/>
      <c r="G19" s="562"/>
      <c r="H19" s="562"/>
    </row>
    <row r="20" spans="1:8">
      <c r="A20" s="559"/>
      <c r="B20" s="562"/>
      <c r="C20" s="562"/>
      <c r="D20" s="562"/>
      <c r="E20" s="562"/>
      <c r="F20" s="562"/>
      <c r="G20" s="562"/>
      <c r="H20" s="562"/>
    </row>
    <row r="21" spans="1:8">
      <c r="A21" s="560" t="s">
        <v>541</v>
      </c>
      <c r="B21" s="562"/>
      <c r="C21" s="562"/>
      <c r="D21" s="562"/>
      <c r="E21" s="562"/>
      <c r="F21" s="562"/>
      <c r="G21" s="562"/>
      <c r="H21" s="562"/>
    </row>
    <row r="22" spans="1:8">
      <c r="A22" s="562"/>
      <c r="B22" s="562"/>
      <c r="C22" s="562"/>
      <c r="D22" s="562"/>
      <c r="E22" s="562"/>
      <c r="F22" s="562"/>
      <c r="G22" s="562"/>
      <c r="H22" s="562"/>
    </row>
    <row r="23" spans="1:8">
      <c r="A23" s="563" t="s">
        <v>542</v>
      </c>
      <c r="B23" s="562"/>
      <c r="C23" s="562"/>
      <c r="D23" s="562"/>
      <c r="E23" s="562"/>
      <c r="F23" s="562"/>
      <c r="G23" s="562"/>
      <c r="H23" s="562"/>
    </row>
    <row r="24" spans="1:8">
      <c r="A24" s="563" t="s">
        <v>543</v>
      </c>
      <c r="B24" s="562"/>
      <c r="C24" s="562"/>
      <c r="D24" s="562"/>
      <c r="E24" s="562"/>
      <c r="F24" s="562"/>
      <c r="G24" s="562"/>
      <c r="H24" s="562"/>
    </row>
    <row r="25" spans="1:8">
      <c r="A25" s="563" t="s">
        <v>544</v>
      </c>
      <c r="B25" s="562"/>
      <c r="C25" s="562"/>
      <c r="D25" s="562"/>
      <c r="E25" s="562"/>
      <c r="F25" s="562"/>
      <c r="G25" s="562"/>
      <c r="H25" s="562"/>
    </row>
    <row r="26" spans="1:8">
      <c r="A26" s="563" t="s">
        <v>545</v>
      </c>
      <c r="B26" s="562"/>
      <c r="C26" s="562"/>
      <c r="D26" s="562"/>
      <c r="E26" s="562"/>
      <c r="F26" s="562"/>
      <c r="G26" s="562"/>
      <c r="H26" s="562"/>
    </row>
    <row r="27" spans="1:8">
      <c r="A27" s="562"/>
      <c r="B27" s="562"/>
      <c r="C27" s="562"/>
      <c r="D27" s="562"/>
      <c r="E27" s="562"/>
      <c r="F27" s="562"/>
      <c r="G27" s="562"/>
      <c r="H27" s="562"/>
    </row>
    <row r="28" spans="1:8">
      <c r="A28" s="563" t="s">
        <v>546</v>
      </c>
      <c r="B28" s="562"/>
      <c r="C28" s="562"/>
      <c r="D28" s="562"/>
      <c r="E28" s="562"/>
      <c r="F28" s="562"/>
      <c r="G28" s="562"/>
      <c r="H28" s="562"/>
    </row>
    <row r="29" spans="1:8">
      <c r="A29" s="563" t="s">
        <v>547</v>
      </c>
      <c r="B29" s="562"/>
      <c r="C29" s="562"/>
      <c r="D29" s="562"/>
      <c r="E29" s="562"/>
      <c r="F29" s="562"/>
      <c r="G29" s="562"/>
      <c r="H29" s="562"/>
    </row>
    <row r="30" spans="1:8">
      <c r="A30" s="563" t="s">
        <v>548</v>
      </c>
      <c r="B30" s="562"/>
      <c r="C30" s="562"/>
      <c r="D30" s="562"/>
      <c r="E30" s="562"/>
      <c r="F30" s="562"/>
      <c r="G30" s="562"/>
      <c r="H30" s="562"/>
    </row>
    <row r="31" spans="1:8">
      <c r="A31" s="563" t="s">
        <v>549</v>
      </c>
      <c r="B31" s="562"/>
      <c r="C31" s="562"/>
      <c r="D31" s="562"/>
      <c r="E31" s="562"/>
      <c r="F31" s="562"/>
      <c r="G31" s="562"/>
      <c r="H31" s="562"/>
    </row>
    <row r="32" spans="1:8">
      <c r="A32" s="563" t="s">
        <v>550</v>
      </c>
      <c r="B32" s="562"/>
      <c r="C32" s="562"/>
      <c r="D32" s="562"/>
      <c r="E32" s="562"/>
      <c r="F32" s="562"/>
      <c r="G32" s="562"/>
      <c r="H32" s="562"/>
    </row>
    <row r="33" spans="1:8">
      <c r="A33" s="562"/>
      <c r="B33" s="562"/>
      <c r="C33" s="562"/>
      <c r="D33" s="562"/>
      <c r="E33" s="562"/>
      <c r="F33" s="562"/>
      <c r="G33" s="562"/>
      <c r="H33" s="562"/>
    </row>
    <row r="34" spans="1:8">
      <c r="A34" s="563" t="s">
        <v>551</v>
      </c>
      <c r="B34" s="562"/>
      <c r="C34" s="562"/>
      <c r="D34" s="562"/>
      <c r="E34" s="562"/>
      <c r="F34" s="562"/>
      <c r="G34" s="562"/>
      <c r="H34" s="562"/>
    </row>
    <row r="35" spans="1:8">
      <c r="A35" s="563" t="s">
        <v>552</v>
      </c>
      <c r="B35" s="562"/>
      <c r="C35" s="562"/>
      <c r="D35" s="562"/>
      <c r="E35" s="562"/>
      <c r="F35" s="562"/>
      <c r="G35" s="562"/>
      <c r="H35" s="562"/>
    </row>
    <row r="36" spans="1:8">
      <c r="A36" s="563" t="s">
        <v>553</v>
      </c>
      <c r="B36" s="562"/>
      <c r="C36" s="562"/>
      <c r="D36" s="562"/>
      <c r="E36" s="562"/>
      <c r="F36" s="562"/>
      <c r="G36" s="562"/>
      <c r="H36" s="562"/>
    </row>
    <row r="37" spans="1:8">
      <c r="A37" s="563" t="s">
        <v>554</v>
      </c>
      <c r="B37" s="562"/>
      <c r="C37" s="562"/>
      <c r="D37" s="562"/>
      <c r="E37" s="562"/>
      <c r="F37" s="562"/>
      <c r="G37" s="562"/>
      <c r="H37" s="562"/>
    </row>
    <row r="38" spans="1:8">
      <c r="A38" s="562"/>
      <c r="B38" s="562"/>
      <c r="C38" s="562"/>
      <c r="D38" s="562"/>
      <c r="E38" s="562"/>
      <c r="F38" s="562"/>
      <c r="G38" s="562"/>
      <c r="H38" s="562"/>
    </row>
    <row r="39" spans="1:8">
      <c r="A39" s="563" t="s">
        <v>555</v>
      </c>
      <c r="B39" s="562"/>
      <c r="C39" s="562"/>
      <c r="D39" s="562"/>
      <c r="E39" s="562"/>
      <c r="F39" s="562"/>
      <c r="G39" s="562"/>
      <c r="H39" s="562"/>
    </row>
    <row r="40" spans="1:8">
      <c r="A40" s="563" t="s">
        <v>556</v>
      </c>
      <c r="B40" s="562"/>
      <c r="C40" s="562"/>
      <c r="D40" s="562"/>
      <c r="E40" s="562"/>
      <c r="F40" s="562"/>
      <c r="G40" s="562"/>
      <c r="H40" s="562"/>
    </row>
    <row r="41" spans="1:8">
      <c r="A41" s="563" t="s">
        <v>557</v>
      </c>
      <c r="B41" s="562"/>
      <c r="C41" s="562"/>
      <c r="D41" s="562"/>
      <c r="E41" s="562"/>
      <c r="F41" s="562"/>
      <c r="G41" s="562"/>
      <c r="H41" s="562"/>
    </row>
    <row r="42" spans="1:8">
      <c r="A42" s="563" t="s">
        <v>558</v>
      </c>
      <c r="B42" s="562"/>
      <c r="C42" s="562"/>
      <c r="D42" s="562"/>
      <c r="E42" s="562"/>
      <c r="F42" s="562"/>
      <c r="G42" s="562"/>
      <c r="H42" s="562"/>
    </row>
    <row r="43" spans="1:8">
      <c r="A43" s="563" t="s">
        <v>559</v>
      </c>
      <c r="B43" s="562"/>
      <c r="C43" s="562"/>
      <c r="D43" s="562"/>
      <c r="E43" s="562"/>
      <c r="F43" s="562"/>
      <c r="G43" s="562"/>
      <c r="H43" s="562"/>
    </row>
    <row r="44" spans="1:8">
      <c r="A44" s="563" t="s">
        <v>560</v>
      </c>
      <c r="B44" s="562"/>
      <c r="C44" s="562"/>
      <c r="D44" s="562"/>
      <c r="E44" s="562"/>
      <c r="F44" s="562"/>
      <c r="G44" s="562"/>
      <c r="H44" s="562"/>
    </row>
    <row r="45" spans="1:8">
      <c r="A45" s="562"/>
      <c r="B45" s="562"/>
      <c r="C45" s="562"/>
      <c r="D45" s="562"/>
      <c r="E45" s="562"/>
      <c r="F45" s="562"/>
      <c r="G45" s="562"/>
      <c r="H45" s="562"/>
    </row>
    <row r="46" spans="1:8" ht="15.75">
      <c r="A46" s="564" t="s">
        <v>561</v>
      </c>
      <c r="B46" s="562"/>
      <c r="C46" s="562"/>
      <c r="D46" s="562"/>
      <c r="E46" s="562"/>
      <c r="F46" s="562"/>
      <c r="G46" s="562"/>
      <c r="H46" s="562"/>
    </row>
    <row r="47" spans="1:8">
      <c r="A47" s="562"/>
      <c r="B47" s="562"/>
      <c r="C47" s="562"/>
      <c r="D47" s="562"/>
      <c r="E47" s="562"/>
      <c r="F47" s="562"/>
      <c r="G47" s="562"/>
      <c r="H47" s="562"/>
    </row>
    <row r="48" spans="1:8">
      <c r="A48" s="563" t="s">
        <v>562</v>
      </c>
      <c r="B48" s="562"/>
      <c r="C48" s="562"/>
      <c r="D48" s="562"/>
      <c r="E48" s="562"/>
      <c r="F48" s="562"/>
      <c r="G48" s="562"/>
      <c r="H48" s="562"/>
    </row>
    <row r="49" spans="1:8">
      <c r="A49" s="563" t="s">
        <v>563</v>
      </c>
      <c r="B49" s="562"/>
      <c r="C49" s="562"/>
      <c r="D49" s="562"/>
      <c r="E49" s="562"/>
      <c r="F49" s="562"/>
      <c r="G49" s="562"/>
      <c r="H49" s="562"/>
    </row>
    <row r="50" spans="1:8">
      <c r="A50" s="563" t="s">
        <v>564</v>
      </c>
      <c r="B50" s="562"/>
      <c r="C50" s="562"/>
      <c r="D50" s="562"/>
      <c r="E50" s="562"/>
      <c r="F50" s="562"/>
      <c r="G50" s="562"/>
      <c r="H50" s="562"/>
    </row>
    <row r="51" spans="1:8">
      <c r="A51" s="563" t="s">
        <v>565</v>
      </c>
      <c r="B51" s="562"/>
      <c r="C51" s="562"/>
      <c r="D51" s="562"/>
      <c r="E51" s="562"/>
      <c r="F51" s="562"/>
      <c r="G51" s="562"/>
      <c r="H51" s="562"/>
    </row>
    <row r="52" spans="1:8">
      <c r="A52" s="562"/>
      <c r="B52" s="562"/>
      <c r="C52" s="562"/>
      <c r="D52" s="562"/>
      <c r="E52" s="562"/>
      <c r="F52" s="562"/>
      <c r="G52" s="562"/>
      <c r="H52" s="562"/>
    </row>
    <row r="53" spans="1:8">
      <c r="A53" s="563" t="s">
        <v>566</v>
      </c>
      <c r="B53" s="562"/>
      <c r="C53" s="562"/>
      <c r="D53" s="562"/>
      <c r="E53" s="562"/>
      <c r="F53" s="562"/>
      <c r="G53" s="562"/>
      <c r="H53" s="562"/>
    </row>
    <row r="54" spans="1:8">
      <c r="A54" s="562"/>
      <c r="B54" s="562"/>
      <c r="C54" s="562"/>
      <c r="D54" s="562"/>
      <c r="E54" s="562"/>
      <c r="F54" s="562"/>
      <c r="G54" s="562"/>
      <c r="H54" s="562"/>
    </row>
    <row r="55" spans="1:8" ht="15.75">
      <c r="A55" s="564" t="s">
        <v>567</v>
      </c>
      <c r="B55" s="562"/>
      <c r="C55" s="562"/>
      <c r="D55" s="562"/>
      <c r="E55" s="562"/>
      <c r="F55" s="562"/>
      <c r="G55" s="562"/>
      <c r="H55" s="562"/>
    </row>
    <row r="56" spans="1:8">
      <c r="A56" s="562"/>
      <c r="B56" s="562"/>
      <c r="C56" s="562"/>
      <c r="D56" s="562"/>
      <c r="E56" s="562"/>
      <c r="F56" s="562"/>
      <c r="G56" s="562"/>
      <c r="H56" s="562"/>
    </row>
    <row r="57" spans="1:8">
      <c r="A57" s="563" t="s">
        <v>568</v>
      </c>
      <c r="B57" s="562"/>
      <c r="C57" s="562"/>
      <c r="D57" s="562"/>
      <c r="E57" s="562"/>
      <c r="F57" s="562"/>
      <c r="G57" s="562"/>
      <c r="H57" s="562"/>
    </row>
    <row r="58" spans="1:8">
      <c r="A58" s="563" t="s">
        <v>569</v>
      </c>
      <c r="B58" s="562"/>
      <c r="C58" s="562"/>
      <c r="D58" s="562"/>
      <c r="E58" s="562"/>
      <c r="F58" s="562"/>
      <c r="G58" s="562"/>
      <c r="H58" s="562"/>
    </row>
    <row r="59" spans="1:8">
      <c r="A59" s="563" t="s">
        <v>570</v>
      </c>
      <c r="B59" s="562"/>
      <c r="C59" s="562"/>
      <c r="D59" s="562"/>
      <c r="E59" s="562"/>
      <c r="F59" s="562"/>
      <c r="G59" s="562"/>
      <c r="H59" s="562"/>
    </row>
    <row r="60" spans="1:8">
      <c r="A60" s="562"/>
      <c r="B60" s="562"/>
      <c r="C60" s="562"/>
      <c r="D60" s="562"/>
      <c r="E60" s="562"/>
      <c r="F60" s="562"/>
      <c r="G60" s="562"/>
      <c r="H60" s="562"/>
    </row>
    <row r="61" spans="1:8" ht="15.75">
      <c r="A61" s="564" t="s">
        <v>571</v>
      </c>
      <c r="B61" s="562"/>
      <c r="C61" s="562"/>
      <c r="D61" s="562"/>
      <c r="E61" s="562"/>
      <c r="F61" s="562"/>
      <c r="G61" s="562"/>
      <c r="H61" s="562"/>
    </row>
    <row r="62" spans="1:8">
      <c r="A62" s="562"/>
      <c r="B62" s="562"/>
      <c r="C62" s="562"/>
      <c r="D62" s="562"/>
      <c r="E62" s="562"/>
      <c r="F62" s="562"/>
      <c r="G62" s="562"/>
      <c r="H62" s="562"/>
    </row>
    <row r="63" spans="1:8">
      <c r="A63" s="563" t="s">
        <v>572</v>
      </c>
      <c r="B63" s="562"/>
      <c r="C63" s="562"/>
      <c r="D63" s="562"/>
      <c r="E63" s="562"/>
      <c r="F63" s="562"/>
      <c r="G63" s="562"/>
      <c r="H63" s="562"/>
    </row>
    <row r="64" spans="1:8">
      <c r="A64" s="563" t="s">
        <v>573</v>
      </c>
      <c r="B64" s="562"/>
      <c r="C64" s="562"/>
      <c r="D64" s="562"/>
      <c r="E64" s="562"/>
      <c r="F64" s="562"/>
      <c r="G64" s="562"/>
      <c r="H64" s="562"/>
    </row>
    <row r="65" spans="1:8">
      <c r="A65" s="562"/>
      <c r="B65" s="562"/>
      <c r="C65" s="562"/>
      <c r="D65" s="562"/>
      <c r="E65" s="562"/>
      <c r="F65" s="562"/>
      <c r="G65" s="562"/>
      <c r="H65" s="562"/>
    </row>
    <row r="66" spans="1:8">
      <c r="A66" s="563" t="s">
        <v>574</v>
      </c>
      <c r="B66" s="562"/>
      <c r="C66" s="562"/>
      <c r="D66" s="562"/>
      <c r="E66" s="562"/>
      <c r="F66" s="562"/>
      <c r="G66" s="562"/>
      <c r="H66" s="562"/>
    </row>
    <row r="67" spans="1:8">
      <c r="A67" s="563" t="s">
        <v>575</v>
      </c>
      <c r="B67" s="562"/>
      <c r="C67" s="562"/>
      <c r="D67" s="562"/>
      <c r="E67" s="562"/>
      <c r="F67" s="562"/>
      <c r="G67" s="562"/>
      <c r="H67" s="562"/>
    </row>
    <row r="68" spans="1:8">
      <c r="A68" s="562"/>
      <c r="B68" s="562"/>
      <c r="C68" s="562"/>
      <c r="D68" s="562"/>
      <c r="E68" s="562"/>
      <c r="F68" s="562"/>
      <c r="G68" s="562"/>
      <c r="H68" s="562"/>
    </row>
    <row r="69" spans="1:8">
      <c r="A69" s="563" t="s">
        <v>576</v>
      </c>
      <c r="B69" s="562"/>
      <c r="C69" s="562"/>
      <c r="D69" s="562"/>
      <c r="E69" s="562"/>
      <c r="F69" s="562"/>
      <c r="G69" s="562"/>
      <c r="H69" s="562"/>
    </row>
    <row r="70" spans="1:8">
      <c r="A70" s="563" t="s">
        <v>577</v>
      </c>
      <c r="B70" s="562"/>
      <c r="C70" s="562"/>
      <c r="D70" s="562"/>
      <c r="E70" s="562"/>
      <c r="F70" s="562"/>
      <c r="G70" s="562"/>
      <c r="H70" s="562"/>
    </row>
    <row r="71" spans="1:8">
      <c r="A71" s="562"/>
      <c r="B71" s="562"/>
      <c r="C71" s="562"/>
      <c r="D71" s="562"/>
      <c r="E71" s="562"/>
      <c r="F71" s="562"/>
      <c r="G71" s="562"/>
      <c r="H71" s="562"/>
    </row>
    <row r="72" spans="1:8">
      <c r="A72" s="563" t="s">
        <v>578</v>
      </c>
      <c r="B72" s="562"/>
      <c r="C72" s="562"/>
      <c r="D72" s="562"/>
      <c r="E72" s="562"/>
      <c r="F72" s="562"/>
      <c r="G72" s="562"/>
      <c r="H72" s="562"/>
    </row>
    <row r="73" spans="1:8">
      <c r="A73" s="563" t="s">
        <v>579</v>
      </c>
      <c r="B73" s="562"/>
      <c r="C73" s="562"/>
      <c r="D73" s="562"/>
      <c r="E73" s="562"/>
      <c r="F73" s="562"/>
      <c r="G73" s="562"/>
      <c r="H73" s="562"/>
    </row>
    <row r="74" spans="1:8">
      <c r="A74" s="562"/>
      <c r="B74" s="562"/>
      <c r="C74" s="562"/>
      <c r="D74" s="562"/>
      <c r="E74" s="562"/>
      <c r="F74" s="562"/>
      <c r="G74" s="562"/>
      <c r="H74" s="562"/>
    </row>
    <row r="75" spans="1:8">
      <c r="A75" s="563" t="s">
        <v>580</v>
      </c>
      <c r="B75" s="562"/>
      <c r="C75" s="562"/>
      <c r="D75" s="562"/>
      <c r="E75" s="562"/>
      <c r="F75" s="562"/>
      <c r="G75" s="562"/>
      <c r="H75" s="562"/>
    </row>
    <row r="76" spans="1:8">
      <c r="A76" s="563" t="s">
        <v>581</v>
      </c>
      <c r="B76" s="562"/>
      <c r="C76" s="562"/>
      <c r="D76" s="562"/>
      <c r="E76" s="562"/>
      <c r="F76" s="562"/>
      <c r="G76" s="562"/>
      <c r="H76" s="562"/>
    </row>
    <row r="77" spans="1:8">
      <c r="A77" s="563" t="s">
        <v>582</v>
      </c>
      <c r="B77" s="562"/>
      <c r="C77" s="562"/>
      <c r="D77" s="562"/>
      <c r="E77" s="562"/>
      <c r="F77" s="562"/>
      <c r="G77" s="562"/>
      <c r="H77" s="562"/>
    </row>
    <row r="78" spans="1:8">
      <c r="A78" s="562"/>
      <c r="B78" s="562"/>
      <c r="C78" s="562"/>
      <c r="D78" s="562"/>
      <c r="E78" s="562"/>
      <c r="F78" s="562"/>
      <c r="G78" s="562"/>
      <c r="H78" s="562"/>
    </row>
    <row r="79" spans="1:8">
      <c r="A79" s="563" t="s">
        <v>583</v>
      </c>
      <c r="B79" s="562"/>
      <c r="C79" s="562"/>
      <c r="D79" s="562"/>
      <c r="E79" s="562"/>
      <c r="F79" s="562"/>
      <c r="G79" s="562"/>
      <c r="H79" s="562"/>
    </row>
    <row r="80" spans="1:8">
      <c r="A80" s="563" t="s">
        <v>584</v>
      </c>
      <c r="B80" s="562"/>
      <c r="C80" s="562"/>
      <c r="D80" s="562"/>
      <c r="E80" s="562"/>
      <c r="F80" s="562"/>
      <c r="G80" s="562"/>
      <c r="H80" s="562"/>
    </row>
    <row r="81" spans="1:8">
      <c r="A81" s="563" t="s">
        <v>585</v>
      </c>
      <c r="B81" s="562"/>
      <c r="C81" s="562"/>
      <c r="D81" s="562"/>
      <c r="E81" s="562"/>
      <c r="F81" s="562"/>
      <c r="G81" s="562"/>
      <c r="H81" s="562"/>
    </row>
    <row r="82" spans="1:8">
      <c r="A82" s="563" t="s">
        <v>586</v>
      </c>
      <c r="B82" s="562"/>
      <c r="C82" s="562"/>
      <c r="D82" s="562"/>
      <c r="E82" s="562"/>
      <c r="F82" s="562"/>
      <c r="G82" s="562"/>
      <c r="H82" s="562"/>
    </row>
    <row r="83" spans="1:8">
      <c r="A83" s="563" t="s">
        <v>587</v>
      </c>
      <c r="B83" s="562"/>
      <c r="C83" s="562"/>
      <c r="D83" s="562"/>
      <c r="E83" s="562"/>
      <c r="F83" s="562"/>
      <c r="G83" s="562"/>
      <c r="H83" s="562"/>
    </row>
    <row r="84" spans="1:8">
      <c r="A84" s="563" t="s">
        <v>588</v>
      </c>
      <c r="B84" s="562"/>
      <c r="C84" s="562"/>
      <c r="D84" s="562"/>
      <c r="E84" s="562"/>
      <c r="F84" s="562"/>
      <c r="G84" s="562"/>
      <c r="H84" s="562"/>
    </row>
    <row r="85" spans="1:8">
      <c r="A85" s="562"/>
      <c r="B85" s="562"/>
      <c r="C85" s="562"/>
      <c r="D85" s="562"/>
      <c r="E85" s="562"/>
      <c r="F85" s="562"/>
      <c r="G85" s="562"/>
      <c r="H85" s="562"/>
    </row>
    <row r="86" spans="1:8">
      <c r="A86" s="563" t="s">
        <v>589</v>
      </c>
      <c r="B86" s="562"/>
      <c r="C86" s="562"/>
      <c r="D86" s="562"/>
      <c r="E86" s="562"/>
      <c r="F86" s="562"/>
      <c r="G86" s="562"/>
      <c r="H86" s="562"/>
    </row>
    <row r="87" spans="1:8">
      <c r="A87" s="563" t="s">
        <v>590</v>
      </c>
      <c r="B87" s="562"/>
      <c r="C87" s="562"/>
      <c r="D87" s="562"/>
      <c r="E87" s="562"/>
      <c r="F87" s="562"/>
      <c r="G87" s="562"/>
      <c r="H87" s="562"/>
    </row>
    <row r="88" spans="1:8">
      <c r="A88" s="563" t="s">
        <v>591</v>
      </c>
      <c r="B88" s="562"/>
      <c r="C88" s="562"/>
      <c r="D88" s="562"/>
      <c r="E88" s="562"/>
      <c r="F88" s="562"/>
      <c r="G88" s="562"/>
      <c r="H88" s="562"/>
    </row>
    <row r="89" spans="1:8">
      <c r="A89" s="563" t="s">
        <v>592</v>
      </c>
      <c r="B89" s="562"/>
      <c r="C89" s="562"/>
      <c r="D89" s="562"/>
      <c r="E89" s="562"/>
      <c r="F89" s="562"/>
      <c r="G89" s="562"/>
      <c r="H89" s="562"/>
    </row>
    <row r="90" spans="1:8">
      <c r="A90" s="563" t="s">
        <v>593</v>
      </c>
      <c r="B90" s="562"/>
      <c r="C90" s="562"/>
      <c r="D90" s="562"/>
      <c r="E90" s="562"/>
      <c r="F90" s="562"/>
      <c r="G90" s="562"/>
      <c r="H90" s="562"/>
    </row>
    <row r="91" spans="1:8">
      <c r="A91" s="563" t="s">
        <v>594</v>
      </c>
      <c r="B91" s="562"/>
      <c r="C91" s="562"/>
      <c r="D91" s="562"/>
      <c r="E91" s="562"/>
      <c r="F91" s="562"/>
      <c r="G91" s="562"/>
      <c r="H91" s="562"/>
    </row>
    <row r="92" spans="1:8">
      <c r="A92" s="563" t="s">
        <v>595</v>
      </c>
      <c r="B92" s="562"/>
      <c r="C92" s="562"/>
      <c r="D92" s="562"/>
      <c r="E92" s="562"/>
      <c r="F92" s="562"/>
      <c r="G92" s="562"/>
      <c r="H92" s="562"/>
    </row>
    <row r="93" spans="1:8">
      <c r="A93" s="562"/>
      <c r="B93" s="562"/>
      <c r="C93" s="562"/>
      <c r="D93" s="562"/>
      <c r="E93" s="562"/>
      <c r="F93" s="562"/>
      <c r="G93" s="562"/>
      <c r="H93" s="562"/>
    </row>
    <row r="94" spans="1:8">
      <c r="A94" s="563" t="s">
        <v>596</v>
      </c>
      <c r="B94" s="562"/>
      <c r="C94" s="562"/>
      <c r="D94" s="562"/>
      <c r="E94" s="562"/>
      <c r="F94" s="562"/>
      <c r="G94" s="562"/>
      <c r="H94" s="562"/>
    </row>
    <row r="95" spans="1:8">
      <c r="A95" s="563" t="s">
        <v>597</v>
      </c>
      <c r="B95" s="562"/>
      <c r="C95" s="562"/>
      <c r="D95" s="562"/>
      <c r="E95" s="562"/>
      <c r="F95" s="562"/>
      <c r="G95" s="562"/>
      <c r="H95" s="562"/>
    </row>
    <row r="96" spans="1:8">
      <c r="A96" s="562"/>
      <c r="B96" s="562"/>
      <c r="C96" s="562"/>
      <c r="D96" s="562"/>
      <c r="E96" s="562"/>
      <c r="F96" s="562"/>
      <c r="G96" s="562"/>
      <c r="H96" s="562"/>
    </row>
    <row r="97" spans="1:8" ht="15.75">
      <c r="A97" s="564" t="s">
        <v>598</v>
      </c>
      <c r="B97" s="562"/>
      <c r="C97" s="562"/>
      <c r="D97" s="562"/>
      <c r="E97" s="562"/>
      <c r="F97" s="562"/>
      <c r="G97" s="562"/>
      <c r="H97" s="562"/>
    </row>
    <row r="98" spans="1:8">
      <c r="A98" s="562"/>
      <c r="B98" s="562"/>
      <c r="C98" s="562"/>
      <c r="D98" s="562"/>
      <c r="E98" s="562"/>
      <c r="F98" s="562"/>
      <c r="G98" s="562"/>
      <c r="H98" s="562"/>
    </row>
    <row r="99" spans="1:8">
      <c r="A99" s="563" t="s">
        <v>599</v>
      </c>
      <c r="B99" s="562"/>
      <c r="C99" s="562"/>
      <c r="D99" s="562"/>
      <c r="E99" s="562"/>
      <c r="F99" s="562"/>
      <c r="G99" s="562"/>
      <c r="H99" s="562"/>
    </row>
    <row r="100" spans="1:8">
      <c r="A100" s="563" t="s">
        <v>600</v>
      </c>
      <c r="B100" s="562"/>
      <c r="C100" s="562"/>
      <c r="D100" s="562"/>
      <c r="E100" s="562"/>
      <c r="F100" s="562"/>
      <c r="G100" s="562"/>
      <c r="H100" s="562"/>
    </row>
    <row r="101" spans="1:8">
      <c r="A101" s="563" t="s">
        <v>601</v>
      </c>
      <c r="B101" s="562"/>
      <c r="C101" s="562"/>
      <c r="D101" s="562"/>
      <c r="E101" s="562"/>
      <c r="F101" s="562"/>
      <c r="G101" s="562"/>
      <c r="H101" s="562"/>
    </row>
    <row r="102" spans="1:8">
      <c r="A102" s="563" t="s">
        <v>602</v>
      </c>
      <c r="B102" s="562"/>
      <c r="C102" s="562"/>
      <c r="D102" s="562"/>
      <c r="E102" s="562"/>
      <c r="F102" s="562"/>
      <c r="G102" s="562"/>
      <c r="H102" s="562"/>
    </row>
    <row r="103" spans="1:8">
      <c r="A103" s="563" t="s">
        <v>603</v>
      </c>
      <c r="B103" s="562"/>
      <c r="C103" s="562"/>
      <c r="D103" s="562"/>
      <c r="E103" s="562"/>
      <c r="F103" s="562"/>
      <c r="G103" s="562"/>
      <c r="H103" s="562"/>
    </row>
    <row r="104" spans="1:8">
      <c r="A104" s="563" t="s">
        <v>604</v>
      </c>
      <c r="B104" s="562"/>
      <c r="C104" s="562"/>
      <c r="D104" s="562"/>
      <c r="E104" s="562"/>
      <c r="F104" s="562"/>
      <c r="G104" s="562"/>
      <c r="H104" s="562"/>
    </row>
    <row r="105" spans="1:8">
      <c r="A105" s="563" t="s">
        <v>605</v>
      </c>
      <c r="B105" s="562"/>
      <c r="C105" s="562"/>
      <c r="D105" s="562"/>
      <c r="E105" s="562"/>
      <c r="F105" s="562"/>
      <c r="G105" s="562"/>
      <c r="H105" s="562"/>
    </row>
    <row r="106" spans="1:8">
      <c r="A106" s="563" t="s">
        <v>606</v>
      </c>
      <c r="B106" s="562"/>
      <c r="C106" s="562"/>
      <c r="D106" s="562"/>
      <c r="E106" s="562"/>
      <c r="F106" s="562"/>
      <c r="G106" s="562"/>
      <c r="H106" s="562"/>
    </row>
    <row r="107" spans="1:8">
      <c r="A107" s="563" t="s">
        <v>607</v>
      </c>
      <c r="B107" s="562"/>
      <c r="C107" s="562"/>
      <c r="D107" s="562"/>
      <c r="E107" s="562"/>
      <c r="F107" s="562"/>
      <c r="G107" s="562"/>
      <c r="H107" s="562"/>
    </row>
    <row r="108" spans="1:8">
      <c r="A108" s="562"/>
      <c r="B108" s="562"/>
      <c r="C108" s="562"/>
      <c r="D108" s="562"/>
      <c r="E108" s="562"/>
      <c r="F108" s="562"/>
      <c r="G108" s="562"/>
      <c r="H108" s="562"/>
    </row>
    <row r="109" spans="1:8" ht="15.75">
      <c r="A109" s="564" t="s">
        <v>608</v>
      </c>
      <c r="B109" s="562"/>
      <c r="C109" s="562"/>
      <c r="D109" s="562"/>
      <c r="E109" s="562"/>
      <c r="F109" s="562"/>
      <c r="G109" s="562"/>
      <c r="H109" s="562"/>
    </row>
    <row r="110" spans="1:8">
      <c r="A110" s="562"/>
      <c r="B110" s="562"/>
      <c r="C110" s="562"/>
      <c r="D110" s="562"/>
      <c r="E110" s="562"/>
      <c r="F110" s="562"/>
      <c r="G110" s="562"/>
      <c r="H110" s="562"/>
    </row>
    <row r="111" spans="1:8">
      <c r="A111" s="563" t="s">
        <v>609</v>
      </c>
      <c r="B111" s="562"/>
      <c r="C111" s="562"/>
      <c r="D111" s="562"/>
      <c r="E111" s="562"/>
      <c r="F111" s="562"/>
      <c r="G111" s="562"/>
      <c r="H111" s="562"/>
    </row>
    <row r="112" spans="1:8">
      <c r="A112" s="562"/>
      <c r="B112" s="562"/>
      <c r="C112" s="562"/>
      <c r="D112" s="562"/>
      <c r="E112" s="562"/>
      <c r="F112" s="562"/>
      <c r="G112" s="562"/>
      <c r="H112" s="562"/>
    </row>
    <row r="113" spans="1:8">
      <c r="A113" s="563" t="s">
        <v>610</v>
      </c>
      <c r="B113" s="562"/>
      <c r="C113" s="562"/>
      <c r="D113" s="562"/>
      <c r="E113" s="562"/>
      <c r="F113" s="562"/>
      <c r="G113" s="562"/>
      <c r="H113" s="562"/>
    </row>
    <row r="114" spans="1:8">
      <c r="A114" s="563" t="s">
        <v>611</v>
      </c>
      <c r="B114" s="562"/>
      <c r="C114" s="562"/>
      <c r="D114" s="562"/>
      <c r="E114" s="562"/>
      <c r="F114" s="562"/>
      <c r="G114" s="562"/>
      <c r="H114" s="562"/>
    </row>
    <row r="115" spans="1:8">
      <c r="A115" s="562"/>
      <c r="B115" s="562"/>
      <c r="C115" s="562"/>
      <c r="D115" s="562"/>
      <c r="E115" s="562"/>
      <c r="F115" s="562"/>
      <c r="G115" s="562"/>
      <c r="H115" s="562"/>
    </row>
    <row r="116" spans="1:8">
      <c r="A116" s="563" t="s">
        <v>612</v>
      </c>
      <c r="B116" s="562"/>
      <c r="C116" s="562"/>
      <c r="D116" s="562"/>
      <c r="E116" s="562"/>
      <c r="F116" s="562"/>
      <c r="G116" s="562"/>
      <c r="H116" s="562"/>
    </row>
    <row r="117" spans="1:8">
      <c r="A117" s="563" t="s">
        <v>613</v>
      </c>
      <c r="B117" s="562"/>
      <c r="C117" s="562"/>
      <c r="D117" s="562"/>
      <c r="E117" s="562"/>
      <c r="F117" s="562"/>
      <c r="G117" s="562"/>
      <c r="H117" s="562"/>
    </row>
    <row r="118" spans="1:8">
      <c r="A118" s="563" t="s">
        <v>614</v>
      </c>
      <c r="B118" s="562"/>
      <c r="C118" s="562"/>
      <c r="D118" s="562"/>
      <c r="E118" s="562"/>
      <c r="F118" s="562"/>
      <c r="G118" s="562"/>
      <c r="H118" s="562"/>
    </row>
    <row r="119" spans="1:8">
      <c r="A119" s="563" t="s">
        <v>615</v>
      </c>
      <c r="B119" s="562"/>
      <c r="C119" s="562"/>
      <c r="D119" s="562"/>
      <c r="E119" s="562"/>
      <c r="F119" s="562"/>
      <c r="G119" s="562"/>
      <c r="H119" s="562"/>
    </row>
    <row r="120" spans="1:8">
      <c r="A120" s="563" t="s">
        <v>616</v>
      </c>
      <c r="B120" s="562"/>
      <c r="C120" s="562"/>
      <c r="D120" s="562"/>
      <c r="E120" s="562"/>
      <c r="F120" s="562"/>
      <c r="G120" s="562"/>
      <c r="H120" s="562"/>
    </row>
    <row r="121" spans="1:8">
      <c r="A121" s="563" t="s">
        <v>617</v>
      </c>
      <c r="B121" s="562"/>
      <c r="C121" s="562"/>
      <c r="D121" s="562"/>
      <c r="E121" s="562"/>
      <c r="F121" s="562"/>
      <c r="G121" s="562"/>
      <c r="H121" s="562"/>
    </row>
    <row r="122" spans="1:8">
      <c r="A122" s="563" t="s">
        <v>618</v>
      </c>
      <c r="B122" s="562"/>
      <c r="C122" s="562"/>
      <c r="D122" s="562"/>
      <c r="E122" s="562"/>
      <c r="F122" s="562"/>
      <c r="G122" s="562"/>
      <c r="H122" s="562"/>
    </row>
    <row r="123" spans="1:8">
      <c r="A123" s="562"/>
      <c r="B123" s="562"/>
      <c r="C123" s="562"/>
      <c r="D123" s="562"/>
      <c r="E123" s="562"/>
      <c r="F123" s="562"/>
      <c r="G123" s="562"/>
      <c r="H123" s="562"/>
    </row>
    <row r="124" spans="1:8">
      <c r="A124" s="565"/>
      <c r="B124" s="571" t="s">
        <v>619</v>
      </c>
      <c r="C124" s="571"/>
      <c r="D124" s="571" t="s">
        <v>620</v>
      </c>
      <c r="E124" s="571"/>
      <c r="F124" s="571"/>
      <c r="G124" s="571" t="s">
        <v>621</v>
      </c>
      <c r="H124" s="571"/>
    </row>
    <row r="125" spans="1:8">
      <c r="A125" s="565" t="s">
        <v>622</v>
      </c>
      <c r="B125" s="565" t="s">
        <v>623</v>
      </c>
      <c r="C125" s="565" t="s">
        <v>624</v>
      </c>
      <c r="D125" s="565" t="s">
        <v>623</v>
      </c>
      <c r="E125" s="565" t="s">
        <v>625</v>
      </c>
      <c r="F125" s="565" t="s">
        <v>626</v>
      </c>
      <c r="G125" s="565" t="s">
        <v>623</v>
      </c>
      <c r="H125" s="565" t="s">
        <v>627</v>
      </c>
    </row>
    <row r="126" spans="1:8">
      <c r="A126" s="565" t="s">
        <v>628</v>
      </c>
      <c r="B126" s="565">
        <v>1544</v>
      </c>
      <c r="C126" s="565">
        <v>0.42</v>
      </c>
      <c r="D126" s="565">
        <v>453</v>
      </c>
      <c r="E126" s="565">
        <v>0.49</v>
      </c>
      <c r="F126" s="565">
        <v>0.28999999999999998</v>
      </c>
      <c r="G126" s="565">
        <v>757</v>
      </c>
      <c r="H126" s="565">
        <v>0.44</v>
      </c>
    </row>
    <row r="127" spans="1:8">
      <c r="A127" s="565" t="s">
        <v>629</v>
      </c>
      <c r="B127" s="565">
        <v>1577</v>
      </c>
      <c r="C127" s="565">
        <v>0.43</v>
      </c>
      <c r="D127" s="565">
        <v>390</v>
      </c>
      <c r="E127" s="565">
        <v>0.42</v>
      </c>
      <c r="F127" s="565">
        <v>0.25</v>
      </c>
      <c r="G127" s="565">
        <v>769</v>
      </c>
      <c r="H127" s="565">
        <v>0.44</v>
      </c>
    </row>
    <row r="128" spans="1:8">
      <c r="A128" s="565" t="s">
        <v>630</v>
      </c>
      <c r="B128" s="565">
        <v>3</v>
      </c>
      <c r="C128" s="565">
        <v>0</v>
      </c>
      <c r="D128" s="565">
        <v>1</v>
      </c>
      <c r="E128" s="565">
        <v>0</v>
      </c>
      <c r="F128" s="565">
        <v>0.33</v>
      </c>
      <c r="G128" s="565">
        <v>1</v>
      </c>
      <c r="H128" s="565">
        <v>0</v>
      </c>
    </row>
    <row r="129" spans="1:8">
      <c r="A129" s="565" t="s">
        <v>631</v>
      </c>
      <c r="B129" s="565">
        <v>544</v>
      </c>
      <c r="C129" s="565">
        <v>0.15</v>
      </c>
      <c r="D129" s="565">
        <v>89</v>
      </c>
      <c r="E129" s="565">
        <v>0.1</v>
      </c>
      <c r="F129" s="565">
        <v>0.16</v>
      </c>
      <c r="G129" s="565">
        <v>204</v>
      </c>
      <c r="H129" s="565">
        <v>0.12</v>
      </c>
    </row>
    <row r="130" spans="1:8">
      <c r="A130" s="565" t="s">
        <v>11</v>
      </c>
      <c r="B130" s="565">
        <v>3668</v>
      </c>
      <c r="C130" s="565"/>
      <c r="D130" s="565">
        <v>933</v>
      </c>
      <c r="E130" s="565"/>
      <c r="F130" s="565"/>
      <c r="G130" s="565">
        <v>1731</v>
      </c>
      <c r="H130" s="565"/>
    </row>
    <row r="131" spans="1:8">
      <c r="A131" s="562"/>
      <c r="B131" s="562"/>
      <c r="C131" s="562"/>
      <c r="D131" s="562"/>
      <c r="E131" s="562"/>
      <c r="F131" s="562"/>
      <c r="G131" s="562"/>
      <c r="H131" s="562"/>
    </row>
    <row r="132" spans="1:8">
      <c r="A132" s="563" t="s">
        <v>632</v>
      </c>
      <c r="B132" s="562"/>
      <c r="C132" s="562"/>
      <c r="D132" s="562"/>
      <c r="E132" s="562"/>
      <c r="F132" s="562"/>
      <c r="G132" s="562"/>
      <c r="H132" s="562"/>
    </row>
    <row r="133" spans="1:8">
      <c r="A133" s="563" t="s">
        <v>633</v>
      </c>
      <c r="B133" s="562"/>
      <c r="C133" s="562"/>
      <c r="D133" s="562"/>
      <c r="E133" s="562"/>
      <c r="F133" s="562"/>
      <c r="G133" s="562"/>
      <c r="H133" s="562"/>
    </row>
    <row r="134" spans="1:8">
      <c r="A134" s="563" t="s">
        <v>634</v>
      </c>
      <c r="B134" s="562"/>
      <c r="C134" s="562"/>
      <c r="D134" s="562"/>
      <c r="E134" s="562"/>
      <c r="F134" s="562"/>
      <c r="G134" s="562"/>
      <c r="H134" s="562"/>
    </row>
    <row r="135" spans="1:8">
      <c r="A135" s="563" t="s">
        <v>635</v>
      </c>
      <c r="B135" s="562"/>
      <c r="C135" s="562"/>
      <c r="D135" s="562"/>
      <c r="E135" s="562"/>
      <c r="F135" s="562"/>
      <c r="G135" s="562"/>
      <c r="H135" s="562"/>
    </row>
    <row r="136" spans="1:8">
      <c r="A136" s="562"/>
      <c r="B136" s="562"/>
      <c r="C136" s="562"/>
      <c r="D136" s="562"/>
      <c r="E136" s="562"/>
      <c r="F136" s="562"/>
      <c r="G136" s="562"/>
      <c r="H136" s="562"/>
    </row>
    <row r="137" spans="1:8" ht="15.75">
      <c r="A137" s="564" t="s">
        <v>636</v>
      </c>
      <c r="B137" s="562"/>
      <c r="C137" s="562"/>
      <c r="D137" s="562"/>
      <c r="E137" s="562"/>
      <c r="F137" s="562"/>
      <c r="G137" s="562"/>
      <c r="H137" s="562"/>
    </row>
    <row r="138" spans="1:8">
      <c r="A138" s="562"/>
      <c r="B138" s="562"/>
      <c r="C138" s="562"/>
      <c r="D138" s="562"/>
      <c r="E138" s="562"/>
      <c r="F138" s="562"/>
      <c r="G138" s="562"/>
      <c r="H138" s="562"/>
    </row>
    <row r="139" spans="1:8">
      <c r="A139" s="563" t="s">
        <v>637</v>
      </c>
      <c r="B139" s="562"/>
      <c r="C139" s="562"/>
      <c r="D139" s="562"/>
      <c r="E139" s="562"/>
      <c r="F139" s="562"/>
      <c r="G139" s="562"/>
      <c r="H139" s="562"/>
    </row>
    <row r="140" spans="1:8">
      <c r="A140" s="563" t="s">
        <v>638</v>
      </c>
      <c r="B140" s="562"/>
      <c r="C140" s="562"/>
      <c r="D140" s="562"/>
      <c r="E140" s="562"/>
      <c r="F140" s="562"/>
      <c r="G140" s="562"/>
      <c r="H140" s="562"/>
    </row>
    <row r="141" spans="1:8">
      <c r="A141" s="562"/>
      <c r="B141" s="562"/>
      <c r="C141" s="562"/>
      <c r="D141" s="562"/>
      <c r="E141" s="562"/>
      <c r="F141" s="562"/>
      <c r="G141" s="562"/>
      <c r="H141" s="562"/>
    </row>
    <row r="142" spans="1:8">
      <c r="A142" s="563" t="s">
        <v>639</v>
      </c>
      <c r="B142" s="562"/>
      <c r="C142" s="562"/>
      <c r="D142" s="562"/>
      <c r="E142" s="562"/>
      <c r="F142" s="562"/>
      <c r="G142" s="562"/>
      <c r="H142" s="562"/>
    </row>
    <row r="143" spans="1:8">
      <c r="A143" s="563" t="s">
        <v>640</v>
      </c>
      <c r="B143" s="562"/>
      <c r="C143" s="562"/>
      <c r="D143" s="562"/>
      <c r="E143" s="562"/>
      <c r="F143" s="562"/>
      <c r="G143" s="562"/>
      <c r="H143" s="562"/>
    </row>
    <row r="144" spans="1:8">
      <c r="A144" s="563" t="s">
        <v>641</v>
      </c>
      <c r="B144" s="562"/>
      <c r="C144" s="562"/>
      <c r="D144" s="562"/>
      <c r="E144" s="562"/>
      <c r="F144" s="562"/>
      <c r="G144" s="562"/>
      <c r="H144" s="562"/>
    </row>
    <row r="145" spans="1:8">
      <c r="A145" s="562"/>
      <c r="B145" s="562"/>
      <c r="C145" s="562"/>
      <c r="D145" s="562"/>
      <c r="E145" s="562"/>
      <c r="F145" s="562"/>
      <c r="G145" s="562"/>
      <c r="H145" s="562"/>
    </row>
    <row r="146" spans="1:8">
      <c r="A146" s="563" t="s">
        <v>642</v>
      </c>
      <c r="B146" s="562"/>
      <c r="C146" s="562"/>
      <c r="D146" s="562"/>
      <c r="E146" s="562"/>
      <c r="F146" s="562"/>
      <c r="G146" s="562"/>
      <c r="H146" s="562"/>
    </row>
    <row r="147" spans="1:8">
      <c r="A147" s="563" t="s">
        <v>643</v>
      </c>
      <c r="B147" s="562"/>
      <c r="C147" s="562"/>
      <c r="D147" s="562"/>
      <c r="E147" s="562"/>
      <c r="F147" s="562"/>
      <c r="G147" s="562"/>
      <c r="H147" s="562"/>
    </row>
    <row r="148" spans="1:8">
      <c r="A148" s="563" t="s">
        <v>644</v>
      </c>
      <c r="B148" s="562"/>
      <c r="C148" s="562"/>
      <c r="D148" s="562"/>
      <c r="E148" s="562"/>
      <c r="F148" s="562"/>
      <c r="G148" s="562"/>
      <c r="H148" s="562"/>
    </row>
    <row r="149" spans="1:8">
      <c r="A149" s="562"/>
      <c r="B149" s="562"/>
      <c r="C149" s="562"/>
      <c r="D149" s="562"/>
      <c r="E149" s="562"/>
      <c r="F149" s="562"/>
      <c r="G149" s="562"/>
      <c r="H149" s="562"/>
    </row>
    <row r="150" spans="1:8">
      <c r="A150" s="563" t="s">
        <v>645</v>
      </c>
      <c r="B150" s="562"/>
      <c r="C150" s="562"/>
      <c r="D150" s="562"/>
      <c r="E150" s="562"/>
      <c r="F150" s="562"/>
      <c r="G150" s="562"/>
      <c r="H150" s="562"/>
    </row>
    <row r="151" spans="1:8">
      <c r="A151" s="563" t="s">
        <v>646</v>
      </c>
      <c r="B151" s="562"/>
      <c r="C151" s="562"/>
      <c r="D151" s="562"/>
      <c r="E151" s="562"/>
      <c r="F151" s="562"/>
      <c r="G151" s="562"/>
      <c r="H151" s="562"/>
    </row>
    <row r="152" spans="1:8">
      <c r="A152" s="563" t="s">
        <v>647</v>
      </c>
      <c r="B152" s="562"/>
      <c r="C152" s="562"/>
      <c r="D152" s="562"/>
      <c r="E152" s="562"/>
      <c r="F152" s="562"/>
      <c r="G152" s="562"/>
      <c r="H152" s="562"/>
    </row>
    <row r="153" spans="1:8">
      <c r="A153" s="562"/>
      <c r="B153" s="562"/>
      <c r="C153" s="562"/>
      <c r="D153" s="562"/>
      <c r="E153" s="562"/>
      <c r="F153" s="562"/>
      <c r="G153" s="562"/>
      <c r="H153" s="562"/>
    </row>
    <row r="154" spans="1:8">
      <c r="A154" s="563" t="s">
        <v>648</v>
      </c>
      <c r="B154" s="562"/>
      <c r="C154" s="562"/>
      <c r="D154" s="562"/>
      <c r="E154" s="562"/>
      <c r="F154" s="562"/>
      <c r="G154" s="562"/>
      <c r="H154" s="562"/>
    </row>
    <row r="155" spans="1:8">
      <c r="A155" s="563" t="s">
        <v>649</v>
      </c>
      <c r="B155" s="562"/>
      <c r="C155" s="562"/>
      <c r="D155" s="562"/>
      <c r="E155" s="562"/>
      <c r="F155" s="562"/>
      <c r="G155" s="562"/>
      <c r="H155" s="562"/>
    </row>
    <row r="156" spans="1:8">
      <c r="A156" s="562"/>
      <c r="B156" s="562"/>
      <c r="C156" s="562"/>
      <c r="D156" s="562"/>
      <c r="E156" s="562"/>
      <c r="F156" s="562"/>
      <c r="G156" s="562"/>
      <c r="H156" s="562"/>
    </row>
    <row r="157" spans="1:8" ht="15.75">
      <c r="A157" s="564" t="s">
        <v>650</v>
      </c>
      <c r="B157" s="562"/>
      <c r="C157" s="562"/>
      <c r="D157" s="562"/>
      <c r="E157" s="562"/>
      <c r="F157" s="562"/>
      <c r="G157" s="562"/>
      <c r="H157" s="562"/>
    </row>
    <row r="158" spans="1:8">
      <c r="A158" s="562"/>
      <c r="B158" s="562"/>
      <c r="C158" s="562"/>
      <c r="D158" s="562"/>
      <c r="E158" s="562"/>
      <c r="F158" s="562"/>
      <c r="G158" s="562"/>
      <c r="H158" s="562"/>
    </row>
    <row r="159" spans="1:8">
      <c r="A159" s="563" t="s">
        <v>651</v>
      </c>
      <c r="B159" s="562"/>
      <c r="C159" s="562"/>
      <c r="D159" s="562"/>
      <c r="E159" s="562"/>
      <c r="F159" s="562"/>
      <c r="G159" s="562"/>
      <c r="H159" s="562"/>
    </row>
    <row r="160" spans="1:8">
      <c r="A160" s="563" t="s">
        <v>652</v>
      </c>
      <c r="B160" s="562"/>
      <c r="C160" s="562"/>
      <c r="D160" s="562"/>
      <c r="E160" s="562"/>
      <c r="F160" s="562"/>
      <c r="G160" s="562"/>
      <c r="H160" s="562"/>
    </row>
    <row r="161" spans="1:8">
      <c r="A161" s="562"/>
      <c r="B161" s="562"/>
      <c r="C161" s="562"/>
      <c r="D161" s="562"/>
      <c r="E161" s="562"/>
      <c r="F161" s="562"/>
      <c r="G161" s="562"/>
      <c r="H161" s="562"/>
    </row>
    <row r="162" spans="1:8">
      <c r="A162" s="563" t="s">
        <v>653</v>
      </c>
      <c r="B162" s="562"/>
      <c r="C162" s="562"/>
      <c r="D162" s="562"/>
      <c r="E162" s="562"/>
      <c r="F162" s="562"/>
      <c r="G162" s="562"/>
      <c r="H162" s="562"/>
    </row>
    <row r="163" spans="1:8">
      <c r="A163" s="563" t="s">
        <v>654</v>
      </c>
      <c r="B163" s="562"/>
      <c r="C163" s="562"/>
      <c r="D163" s="562"/>
      <c r="E163" s="562"/>
      <c r="F163" s="562"/>
      <c r="G163" s="562"/>
      <c r="H163" s="562"/>
    </row>
    <row r="164" spans="1:8">
      <c r="A164" s="562"/>
      <c r="B164" s="562"/>
      <c r="C164" s="562"/>
      <c r="D164" s="562"/>
      <c r="E164" s="562"/>
      <c r="F164" s="562"/>
      <c r="G164" s="562"/>
      <c r="H164" s="562"/>
    </row>
    <row r="165" spans="1:8">
      <c r="A165" s="563" t="s">
        <v>655</v>
      </c>
      <c r="B165" s="562"/>
      <c r="C165" s="562"/>
      <c r="D165" s="562"/>
      <c r="E165" s="562"/>
      <c r="F165" s="562"/>
      <c r="G165" s="562"/>
      <c r="H165" s="562"/>
    </row>
    <row r="166" spans="1:8">
      <c r="A166" s="563" t="s">
        <v>656</v>
      </c>
      <c r="B166" s="562"/>
      <c r="C166" s="562"/>
      <c r="D166" s="562"/>
      <c r="E166" s="562"/>
      <c r="F166" s="562"/>
      <c r="G166" s="562"/>
      <c r="H166" s="562"/>
    </row>
    <row r="167" spans="1:8">
      <c r="A167" s="562"/>
      <c r="B167" s="562"/>
      <c r="C167" s="562"/>
      <c r="D167" s="562"/>
      <c r="E167" s="562"/>
      <c r="F167" s="562"/>
      <c r="G167" s="562"/>
      <c r="H167" s="562"/>
    </row>
    <row r="168" spans="1:8">
      <c r="A168" s="563" t="s">
        <v>657</v>
      </c>
      <c r="B168" s="562"/>
      <c r="C168" s="562"/>
      <c r="D168" s="562"/>
      <c r="E168" s="562"/>
      <c r="F168" s="562"/>
      <c r="G168" s="562"/>
      <c r="H168" s="562"/>
    </row>
    <row r="169" spans="1:8">
      <c r="A169" s="563" t="s">
        <v>658</v>
      </c>
      <c r="B169" s="562"/>
      <c r="C169" s="562"/>
      <c r="D169" s="562"/>
      <c r="E169" s="562"/>
      <c r="F169" s="562"/>
      <c r="G169" s="562"/>
      <c r="H169" s="562"/>
    </row>
    <row r="170" spans="1:8">
      <c r="A170" s="563" t="s">
        <v>659</v>
      </c>
      <c r="B170" s="562"/>
      <c r="C170" s="562"/>
      <c r="D170" s="562"/>
      <c r="E170" s="562"/>
      <c r="F170" s="562"/>
      <c r="G170" s="562"/>
      <c r="H170" s="562"/>
    </row>
    <row r="171" spans="1:8">
      <c r="A171" s="562"/>
      <c r="B171" s="562"/>
      <c r="C171" s="562"/>
      <c r="D171" s="562"/>
      <c r="E171" s="562"/>
      <c r="F171" s="562"/>
      <c r="G171" s="562"/>
      <c r="H171" s="562"/>
    </row>
    <row r="172" spans="1:8">
      <c r="A172" s="563" t="s">
        <v>566</v>
      </c>
      <c r="B172" s="562"/>
      <c r="C172" s="562"/>
      <c r="D172" s="562"/>
      <c r="E172" s="562"/>
      <c r="F172" s="562"/>
      <c r="G172" s="562"/>
      <c r="H172" s="562"/>
    </row>
    <row r="173" spans="1:8">
      <c r="A173" s="562"/>
      <c r="B173" s="562"/>
      <c r="C173" s="562"/>
      <c r="D173" s="562"/>
      <c r="E173" s="562"/>
      <c r="F173" s="562"/>
      <c r="G173" s="562"/>
      <c r="H173" s="562"/>
    </row>
    <row r="174" spans="1:8" ht="15.75">
      <c r="A174" s="564" t="s">
        <v>660</v>
      </c>
      <c r="B174" s="562"/>
      <c r="C174" s="562"/>
      <c r="D174" s="562"/>
      <c r="E174" s="562"/>
      <c r="F174" s="562"/>
      <c r="G174" s="562"/>
      <c r="H174" s="562"/>
    </row>
    <row r="175" spans="1:8">
      <c r="A175" s="562"/>
      <c r="B175" s="562"/>
      <c r="C175" s="562"/>
      <c r="D175" s="562"/>
      <c r="E175" s="562"/>
      <c r="F175" s="562"/>
      <c r="G175" s="562"/>
      <c r="H175" s="562"/>
    </row>
    <row r="176" spans="1:8">
      <c r="A176" s="562"/>
      <c r="B176" s="562"/>
      <c r="C176" s="562"/>
      <c r="D176" s="562"/>
      <c r="E176" s="562"/>
      <c r="F176" s="562"/>
      <c r="G176" s="562"/>
      <c r="H176" s="562"/>
    </row>
    <row r="177" spans="1:8">
      <c r="A177" s="562"/>
      <c r="B177" s="562"/>
      <c r="C177" s="562"/>
      <c r="D177" s="562"/>
      <c r="E177" s="562"/>
      <c r="F177" s="562"/>
      <c r="G177" s="562"/>
      <c r="H177" s="562"/>
    </row>
    <row r="178" spans="1:8">
      <c r="A178" s="562"/>
      <c r="B178" s="562"/>
      <c r="C178" s="562"/>
      <c r="D178" s="562"/>
      <c r="E178" s="562"/>
      <c r="F178" s="562"/>
      <c r="G178" s="562"/>
      <c r="H178" s="562"/>
    </row>
    <row r="179" spans="1:8">
      <c r="A179" s="562"/>
      <c r="B179" s="562"/>
      <c r="C179" s="562"/>
      <c r="D179" s="562"/>
      <c r="E179" s="562"/>
      <c r="F179" s="562"/>
      <c r="G179" s="562"/>
      <c r="H179" s="562"/>
    </row>
    <row r="180" spans="1:8">
      <c r="A180" s="562"/>
      <c r="B180" s="562"/>
      <c r="C180" s="562"/>
      <c r="D180" s="562"/>
      <c r="E180" s="562"/>
      <c r="F180" s="562"/>
      <c r="G180" s="562"/>
      <c r="H180" s="562"/>
    </row>
    <row r="181" spans="1:8">
      <c r="A181" s="562"/>
      <c r="B181" s="562"/>
      <c r="C181" s="562"/>
      <c r="D181" s="562"/>
      <c r="E181" s="562"/>
      <c r="F181" s="562"/>
      <c r="G181" s="562"/>
      <c r="H181" s="562"/>
    </row>
    <row r="182" spans="1:8">
      <c r="A182" s="562"/>
      <c r="B182" s="562"/>
      <c r="C182" s="562"/>
      <c r="D182" s="562"/>
      <c r="E182" s="562"/>
      <c r="F182" s="562"/>
      <c r="G182" s="562"/>
      <c r="H182" s="562"/>
    </row>
    <row r="183" spans="1:8">
      <c r="A183" s="562"/>
      <c r="B183" s="562"/>
      <c r="C183" s="562"/>
      <c r="D183" s="562"/>
      <c r="E183" s="562"/>
      <c r="F183" s="562"/>
      <c r="G183" s="562"/>
      <c r="H183" s="562"/>
    </row>
    <row r="184" spans="1:8">
      <c r="A184" s="562"/>
      <c r="B184" s="562"/>
      <c r="C184" s="562"/>
      <c r="D184" s="562"/>
      <c r="E184" s="562"/>
      <c r="F184" s="562"/>
      <c r="G184" s="562"/>
      <c r="H184" s="562"/>
    </row>
    <row r="185" spans="1:8">
      <c r="A185" s="562"/>
      <c r="B185" s="562"/>
      <c r="C185" s="562"/>
      <c r="D185" s="562"/>
      <c r="E185" s="562"/>
      <c r="F185" s="562"/>
      <c r="G185" s="562"/>
      <c r="H185" s="562"/>
    </row>
    <row r="186" spans="1:8">
      <c r="A186" s="562"/>
      <c r="B186" s="562"/>
      <c r="C186" s="562"/>
      <c r="D186" s="562"/>
      <c r="E186" s="562"/>
      <c r="F186" s="562"/>
      <c r="G186" s="562"/>
      <c r="H186" s="562"/>
    </row>
    <row r="187" spans="1:8">
      <c r="A187" s="562"/>
      <c r="B187" s="562"/>
      <c r="C187" s="562"/>
      <c r="D187" s="562"/>
      <c r="E187" s="562"/>
      <c r="F187" s="562"/>
      <c r="G187" s="562"/>
      <c r="H187" s="562"/>
    </row>
    <row r="188" spans="1:8">
      <c r="A188" s="562"/>
      <c r="B188" s="562"/>
      <c r="C188" s="562"/>
      <c r="D188" s="562"/>
      <c r="E188" s="562"/>
      <c r="F188" s="562"/>
      <c r="G188" s="562"/>
      <c r="H188" s="562"/>
    </row>
    <row r="189" spans="1:8">
      <c r="A189" s="562"/>
      <c r="B189" s="562"/>
      <c r="C189" s="562"/>
      <c r="D189" s="562"/>
      <c r="E189" s="562"/>
      <c r="F189" s="562"/>
      <c r="G189" s="562"/>
      <c r="H189" s="562"/>
    </row>
    <row r="190" spans="1:8">
      <c r="A190" s="562"/>
      <c r="B190" s="562"/>
      <c r="C190" s="562"/>
      <c r="D190" s="562"/>
      <c r="E190" s="562"/>
      <c r="F190" s="562"/>
      <c r="G190" s="562"/>
      <c r="H190" s="562"/>
    </row>
    <row r="191" spans="1:8">
      <c r="A191" s="562"/>
      <c r="B191" s="562"/>
      <c r="C191" s="562"/>
      <c r="D191" s="562"/>
      <c r="E191" s="562"/>
      <c r="F191" s="562"/>
      <c r="G191" s="562"/>
      <c r="H191" s="562"/>
    </row>
    <row r="192" spans="1:8">
      <c r="A192" s="562"/>
      <c r="B192" s="562"/>
      <c r="C192" s="562"/>
      <c r="D192" s="562"/>
      <c r="E192" s="562"/>
      <c r="F192" s="562"/>
      <c r="G192" s="562"/>
      <c r="H192" s="562"/>
    </row>
    <row r="193" spans="1:8">
      <c r="A193" s="562"/>
      <c r="B193" s="562"/>
      <c r="C193" s="562"/>
      <c r="D193" s="562"/>
      <c r="E193" s="562"/>
      <c r="F193" s="562"/>
      <c r="G193" s="562"/>
      <c r="H193" s="562"/>
    </row>
    <row r="194" spans="1:8">
      <c r="A194" s="562"/>
      <c r="B194" s="562"/>
      <c r="C194" s="562"/>
      <c r="D194" s="562"/>
      <c r="E194" s="562"/>
      <c r="F194" s="562"/>
      <c r="G194" s="562"/>
      <c r="H194" s="562"/>
    </row>
    <row r="195" spans="1:8">
      <c r="A195" s="562"/>
      <c r="B195" s="562"/>
      <c r="C195" s="562"/>
      <c r="D195" s="562"/>
      <c r="E195" s="562"/>
      <c r="F195" s="562"/>
      <c r="G195" s="562"/>
      <c r="H195" s="562"/>
    </row>
    <row r="196" spans="1:8">
      <c r="A196" s="562"/>
      <c r="B196" s="562"/>
      <c r="C196" s="562"/>
      <c r="D196" s="562"/>
      <c r="E196" s="562"/>
      <c r="F196" s="562"/>
      <c r="G196" s="562"/>
      <c r="H196" s="562"/>
    </row>
    <row r="197" spans="1:8">
      <c r="A197" s="562"/>
      <c r="B197" s="562"/>
      <c r="C197" s="562"/>
      <c r="D197" s="562"/>
      <c r="E197" s="562"/>
      <c r="F197" s="562"/>
      <c r="G197" s="562"/>
      <c r="H197" s="562"/>
    </row>
    <row r="198" spans="1:8" ht="15.75">
      <c r="A198" s="564" t="s">
        <v>661</v>
      </c>
      <c r="B198" s="562"/>
      <c r="C198" s="562"/>
      <c r="D198" s="562"/>
      <c r="E198" s="562"/>
      <c r="F198" s="562"/>
      <c r="G198" s="562"/>
      <c r="H198" s="562"/>
    </row>
    <row r="199" spans="1:8">
      <c r="A199" s="562"/>
      <c r="B199" s="562"/>
      <c r="C199" s="562"/>
      <c r="D199" s="562"/>
      <c r="E199" s="562"/>
      <c r="F199" s="562"/>
      <c r="G199" s="562"/>
      <c r="H199" s="562"/>
    </row>
    <row r="200" spans="1:8">
      <c r="A200" s="563" t="s">
        <v>662</v>
      </c>
      <c r="B200" s="562"/>
      <c r="C200" s="562"/>
      <c r="D200" s="562"/>
      <c r="E200" s="562"/>
      <c r="F200" s="562"/>
      <c r="G200" s="562"/>
      <c r="H200" s="562"/>
    </row>
    <row r="201" spans="1:8">
      <c r="A201" s="563" t="s">
        <v>663</v>
      </c>
      <c r="B201" s="562"/>
      <c r="C201" s="562"/>
      <c r="D201" s="562"/>
      <c r="E201" s="562"/>
      <c r="F201" s="562"/>
      <c r="G201" s="562"/>
      <c r="H201" s="562"/>
    </row>
    <row r="202" spans="1:8">
      <c r="A202" s="563" t="s">
        <v>664</v>
      </c>
      <c r="B202" s="562"/>
      <c r="C202" s="562"/>
      <c r="D202" s="562"/>
      <c r="E202" s="562"/>
      <c r="F202" s="562"/>
      <c r="G202" s="562"/>
      <c r="H202" s="562"/>
    </row>
    <row r="203" spans="1:8">
      <c r="A203" s="563" t="s">
        <v>665</v>
      </c>
      <c r="B203" s="562"/>
      <c r="C203" s="562"/>
      <c r="D203" s="562"/>
      <c r="E203" s="562"/>
      <c r="F203" s="562"/>
      <c r="G203" s="562"/>
      <c r="H203" s="562"/>
    </row>
    <row r="204" spans="1:8">
      <c r="A204" s="563" t="s">
        <v>666</v>
      </c>
      <c r="B204" s="562"/>
      <c r="C204" s="562"/>
      <c r="D204" s="562"/>
      <c r="E204" s="562"/>
      <c r="F204" s="562"/>
      <c r="G204" s="562"/>
      <c r="H204" s="562"/>
    </row>
    <row r="205" spans="1:8">
      <c r="A205" s="562"/>
      <c r="B205" s="562"/>
      <c r="C205" s="562"/>
      <c r="D205" s="562"/>
      <c r="E205" s="562"/>
      <c r="F205" s="562"/>
      <c r="G205" s="562"/>
      <c r="H205" s="562"/>
    </row>
    <row r="206" spans="1:8">
      <c r="A206" s="563" t="s">
        <v>667</v>
      </c>
      <c r="B206" s="562"/>
      <c r="C206" s="562"/>
      <c r="D206" s="562"/>
      <c r="E206" s="562"/>
      <c r="F206" s="562"/>
      <c r="G206" s="562"/>
      <c r="H206" s="562"/>
    </row>
    <row r="207" spans="1:8">
      <c r="A207" s="563" t="s">
        <v>668</v>
      </c>
      <c r="B207" s="562"/>
      <c r="C207" s="562"/>
      <c r="D207" s="562"/>
      <c r="E207" s="562"/>
      <c r="F207" s="562"/>
      <c r="G207" s="562"/>
      <c r="H207" s="562"/>
    </row>
    <row r="208" spans="1:8">
      <c r="A208" s="563" t="s">
        <v>669</v>
      </c>
      <c r="B208" s="562"/>
      <c r="C208" s="562"/>
      <c r="D208" s="562"/>
      <c r="E208" s="562"/>
      <c r="F208" s="562"/>
      <c r="G208" s="562"/>
      <c r="H208" s="562"/>
    </row>
    <row r="209" spans="1:8">
      <c r="A209" s="562"/>
      <c r="B209" s="562"/>
      <c r="C209" s="562"/>
      <c r="D209" s="562"/>
      <c r="E209" s="562"/>
      <c r="F209" s="562"/>
      <c r="G209" s="562"/>
      <c r="H209" s="562"/>
    </row>
    <row r="210" spans="1:8" ht="15.75">
      <c r="A210" s="564" t="s">
        <v>670</v>
      </c>
      <c r="B210" s="562"/>
      <c r="C210" s="562"/>
      <c r="D210" s="562"/>
      <c r="E210" s="562"/>
      <c r="F210" s="562"/>
      <c r="G210" s="562"/>
      <c r="H210" s="562"/>
    </row>
    <row r="211" spans="1:8">
      <c r="A211" s="562"/>
      <c r="B211" s="562"/>
      <c r="C211" s="562"/>
      <c r="D211" s="562"/>
      <c r="E211" s="562"/>
      <c r="F211" s="562"/>
      <c r="G211" s="562"/>
      <c r="H211" s="562"/>
    </row>
    <row r="212" spans="1:8">
      <c r="A212" s="563" t="s">
        <v>671</v>
      </c>
      <c r="B212" s="562"/>
      <c r="C212" s="562"/>
      <c r="D212" s="562"/>
      <c r="E212" s="562"/>
      <c r="F212" s="562"/>
      <c r="G212" s="562"/>
      <c r="H212" s="562"/>
    </row>
    <row r="213" spans="1:8">
      <c r="A213" s="563" t="s">
        <v>672</v>
      </c>
      <c r="B213" s="562"/>
      <c r="C213" s="562"/>
      <c r="D213" s="562"/>
      <c r="E213" s="562"/>
      <c r="F213" s="562"/>
      <c r="G213" s="562"/>
      <c r="H213" s="562"/>
    </row>
    <row r="214" spans="1:8">
      <c r="A214" s="563" t="s">
        <v>673</v>
      </c>
      <c r="B214" s="562"/>
      <c r="C214" s="562"/>
      <c r="D214" s="562"/>
      <c r="E214" s="562"/>
      <c r="F214" s="562"/>
      <c r="G214" s="562"/>
      <c r="H214" s="562"/>
    </row>
    <row r="215" spans="1:8">
      <c r="A215" s="563" t="s">
        <v>674</v>
      </c>
      <c r="B215" s="562"/>
      <c r="C215" s="562"/>
      <c r="D215" s="562"/>
      <c r="E215" s="562"/>
      <c r="F215" s="562"/>
      <c r="G215" s="562"/>
      <c r="H215" s="562"/>
    </row>
    <row r="216" spans="1:8">
      <c r="A216" s="563" t="s">
        <v>675</v>
      </c>
      <c r="B216" s="562"/>
      <c r="C216" s="562"/>
      <c r="D216" s="562"/>
      <c r="E216" s="562"/>
      <c r="F216" s="562"/>
      <c r="G216" s="562"/>
      <c r="H216" s="562"/>
    </row>
    <row r="217" spans="1:8">
      <c r="A217" s="563" t="s">
        <v>676</v>
      </c>
      <c r="B217" s="562"/>
      <c r="C217" s="562"/>
      <c r="D217" s="562"/>
      <c r="E217" s="562"/>
      <c r="F217" s="562"/>
      <c r="G217" s="562"/>
      <c r="H217" s="562"/>
    </row>
    <row r="218" spans="1:8">
      <c r="A218" s="563" t="s">
        <v>677</v>
      </c>
      <c r="B218" s="562"/>
      <c r="C218" s="562"/>
      <c r="D218" s="562"/>
      <c r="E218" s="562"/>
      <c r="F218" s="562"/>
      <c r="G218" s="562"/>
      <c r="H218" s="562"/>
    </row>
    <row r="219" spans="1:8">
      <c r="A219" s="562"/>
      <c r="B219" s="562"/>
      <c r="C219" s="562"/>
      <c r="D219" s="562"/>
      <c r="E219" s="562"/>
      <c r="F219" s="562"/>
      <c r="G219" s="562"/>
      <c r="H219" s="562"/>
    </row>
    <row r="220" spans="1:8">
      <c r="A220" s="563" t="s">
        <v>678</v>
      </c>
      <c r="B220" s="562"/>
      <c r="C220" s="562"/>
      <c r="D220" s="562"/>
      <c r="E220" s="562"/>
      <c r="F220" s="562"/>
      <c r="G220" s="562"/>
      <c r="H220" s="562"/>
    </row>
    <row r="221" spans="1:8">
      <c r="A221" s="563" t="s">
        <v>679</v>
      </c>
      <c r="B221" s="562"/>
      <c r="C221" s="562"/>
      <c r="D221" s="562"/>
      <c r="E221" s="562"/>
      <c r="F221" s="562"/>
      <c r="G221" s="562"/>
      <c r="H221" s="562"/>
    </row>
    <row r="222" spans="1:8">
      <c r="A222" s="563" t="s">
        <v>680</v>
      </c>
      <c r="B222" s="562"/>
      <c r="C222" s="562"/>
      <c r="D222" s="562"/>
      <c r="E222" s="562"/>
      <c r="F222" s="562"/>
      <c r="G222" s="562"/>
      <c r="H222" s="562"/>
    </row>
    <row r="223" spans="1:8">
      <c r="A223" s="562"/>
      <c r="B223" s="562"/>
      <c r="C223" s="562"/>
      <c r="D223" s="562"/>
      <c r="E223" s="562"/>
      <c r="F223" s="562"/>
      <c r="G223" s="562"/>
      <c r="H223" s="562"/>
    </row>
    <row r="224" spans="1:8">
      <c r="A224" s="563" t="s">
        <v>681</v>
      </c>
      <c r="B224" s="562"/>
      <c r="C224" s="562"/>
      <c r="D224" s="562"/>
      <c r="E224" s="562"/>
      <c r="F224" s="562"/>
      <c r="G224" s="562"/>
      <c r="H224" s="562"/>
    </row>
    <row r="225" spans="1:8">
      <c r="A225" s="563" t="s">
        <v>682</v>
      </c>
      <c r="B225" s="562"/>
      <c r="C225" s="562"/>
      <c r="D225" s="562"/>
      <c r="E225" s="562"/>
      <c r="F225" s="562"/>
      <c r="G225" s="562"/>
      <c r="H225" s="562"/>
    </row>
    <row r="226" spans="1:8">
      <c r="A226" s="563" t="s">
        <v>683</v>
      </c>
      <c r="B226" s="562"/>
      <c r="C226" s="562"/>
      <c r="D226" s="562"/>
      <c r="E226" s="562"/>
      <c r="F226" s="562"/>
      <c r="G226" s="562"/>
      <c r="H226" s="562"/>
    </row>
    <row r="227" spans="1:8">
      <c r="A227" s="563" t="s">
        <v>684</v>
      </c>
      <c r="B227" s="562"/>
      <c r="C227" s="562"/>
      <c r="D227" s="562"/>
      <c r="E227" s="562"/>
      <c r="F227" s="562"/>
      <c r="G227" s="562"/>
      <c r="H227" s="562"/>
    </row>
    <row r="228" spans="1:8">
      <c r="A228" s="563" t="s">
        <v>685</v>
      </c>
      <c r="B228" s="562"/>
      <c r="C228" s="562"/>
      <c r="D228" s="562"/>
      <c r="E228" s="562"/>
      <c r="F228" s="562"/>
      <c r="G228" s="562"/>
      <c r="H228" s="562"/>
    </row>
    <row r="229" spans="1:8">
      <c r="A229" s="562"/>
      <c r="B229" s="562"/>
      <c r="C229" s="562"/>
      <c r="D229" s="562"/>
      <c r="E229" s="562"/>
      <c r="F229" s="562"/>
      <c r="G229" s="562"/>
      <c r="H229" s="562"/>
    </row>
    <row r="230" spans="1:8">
      <c r="A230" s="563" t="s">
        <v>686</v>
      </c>
      <c r="B230" s="562"/>
      <c r="C230" s="562"/>
      <c r="D230" s="562"/>
      <c r="E230" s="562"/>
      <c r="F230" s="562"/>
      <c r="G230" s="562"/>
      <c r="H230" s="562"/>
    </row>
    <row r="231" spans="1:8">
      <c r="A231" s="563" t="s">
        <v>687</v>
      </c>
      <c r="B231" s="562"/>
      <c r="C231" s="562"/>
      <c r="D231" s="562"/>
      <c r="E231" s="562"/>
      <c r="F231" s="562"/>
      <c r="G231" s="562"/>
      <c r="H231" s="562"/>
    </row>
    <row r="232" spans="1:8">
      <c r="A232" s="563" t="s">
        <v>688</v>
      </c>
      <c r="B232" s="562"/>
      <c r="C232" s="562"/>
      <c r="D232" s="562"/>
      <c r="E232" s="562"/>
      <c r="F232" s="562"/>
      <c r="G232" s="562"/>
      <c r="H232" s="562"/>
    </row>
    <row r="233" spans="1:8">
      <c r="A233" s="563" t="s">
        <v>689</v>
      </c>
      <c r="B233" s="562"/>
      <c r="C233" s="562"/>
      <c r="D233" s="562"/>
      <c r="E233" s="562"/>
      <c r="F233" s="562"/>
      <c r="G233" s="562"/>
      <c r="H233" s="562"/>
    </row>
    <row r="234" spans="1:8">
      <c r="A234" s="563" t="s">
        <v>690</v>
      </c>
      <c r="B234" s="562"/>
      <c r="C234" s="562"/>
      <c r="D234" s="562"/>
      <c r="E234" s="562"/>
      <c r="F234" s="562"/>
      <c r="G234" s="562"/>
      <c r="H234" s="562"/>
    </row>
    <row r="235" spans="1:8">
      <c r="A235" s="563" t="s">
        <v>691</v>
      </c>
      <c r="B235" s="562"/>
      <c r="C235" s="562"/>
      <c r="D235" s="562"/>
      <c r="E235" s="562"/>
      <c r="F235" s="562"/>
      <c r="G235" s="562"/>
      <c r="H235" s="562"/>
    </row>
    <row r="236" spans="1:8">
      <c r="A236" s="562"/>
      <c r="B236" s="562"/>
      <c r="C236" s="562"/>
      <c r="D236" s="562"/>
      <c r="E236" s="562"/>
      <c r="F236" s="562"/>
      <c r="G236" s="562"/>
      <c r="H236" s="562"/>
    </row>
    <row r="237" spans="1:8">
      <c r="A237" s="563" t="s">
        <v>692</v>
      </c>
      <c r="B237" s="562"/>
      <c r="C237" s="562"/>
      <c r="D237" s="562"/>
      <c r="E237" s="562"/>
      <c r="F237" s="562"/>
      <c r="G237" s="562"/>
      <c r="H237" s="562"/>
    </row>
    <row r="238" spans="1:8">
      <c r="A238" s="563" t="s">
        <v>693</v>
      </c>
      <c r="B238" s="562"/>
      <c r="C238" s="562"/>
      <c r="D238" s="562"/>
      <c r="E238" s="562"/>
      <c r="F238" s="562"/>
      <c r="G238" s="562"/>
      <c r="H238" s="562"/>
    </row>
    <row r="239" spans="1:8">
      <c r="A239" s="563" t="s">
        <v>694</v>
      </c>
      <c r="B239" s="562"/>
      <c r="C239" s="562"/>
      <c r="D239" s="562"/>
      <c r="E239" s="562"/>
      <c r="F239" s="562"/>
      <c r="G239" s="562"/>
      <c r="H239" s="562"/>
    </row>
    <row r="240" spans="1:8">
      <c r="A240" s="563" t="s">
        <v>695</v>
      </c>
      <c r="B240" s="562"/>
      <c r="C240" s="562"/>
      <c r="D240" s="562"/>
      <c r="E240" s="562"/>
      <c r="F240" s="562"/>
      <c r="G240" s="562"/>
      <c r="H240" s="562"/>
    </row>
    <row r="241" spans="1:8">
      <c r="A241" s="563" t="s">
        <v>696</v>
      </c>
      <c r="B241" s="562"/>
      <c r="C241" s="562"/>
      <c r="D241" s="562"/>
      <c r="E241" s="562"/>
      <c r="F241" s="562"/>
      <c r="G241" s="562"/>
      <c r="H241" s="562"/>
    </row>
    <row r="242" spans="1:8">
      <c r="A242" s="563" t="s">
        <v>697</v>
      </c>
      <c r="B242" s="562"/>
      <c r="C242" s="562"/>
      <c r="D242" s="562"/>
      <c r="E242" s="562"/>
      <c r="F242" s="562"/>
      <c r="G242" s="562"/>
      <c r="H242" s="562"/>
    </row>
    <row r="243" spans="1:8">
      <c r="A243" s="563" t="s">
        <v>698</v>
      </c>
      <c r="B243" s="562"/>
      <c r="C243" s="562"/>
      <c r="D243" s="562"/>
      <c r="E243" s="562"/>
      <c r="F243" s="562"/>
      <c r="G243" s="562"/>
      <c r="H243" s="562"/>
    </row>
    <row r="244" spans="1:8">
      <c r="A244" s="563" t="s">
        <v>699</v>
      </c>
      <c r="B244" s="562"/>
      <c r="C244" s="562"/>
      <c r="D244" s="562"/>
      <c r="E244" s="562"/>
      <c r="F244" s="562"/>
      <c r="G244" s="562"/>
      <c r="H244" s="562"/>
    </row>
    <row r="245" spans="1:8">
      <c r="A245" s="563" t="s">
        <v>700</v>
      </c>
      <c r="B245" s="562"/>
      <c r="C245" s="562"/>
      <c r="D245" s="562"/>
      <c r="E245" s="562"/>
      <c r="F245" s="562"/>
      <c r="G245" s="562"/>
      <c r="H245" s="562"/>
    </row>
    <row r="246" spans="1:8">
      <c r="A246" s="563" t="s">
        <v>701</v>
      </c>
      <c r="B246" s="562"/>
      <c r="C246" s="562"/>
      <c r="D246" s="562"/>
      <c r="E246" s="562"/>
      <c r="F246" s="562"/>
      <c r="G246" s="562"/>
      <c r="H246" s="562"/>
    </row>
    <row r="247" spans="1:8">
      <c r="A247" s="563" t="s">
        <v>702</v>
      </c>
      <c r="B247" s="562"/>
      <c r="C247" s="562"/>
      <c r="D247" s="562"/>
      <c r="E247" s="562"/>
      <c r="F247" s="562"/>
      <c r="G247" s="562"/>
      <c r="H247" s="562"/>
    </row>
    <row r="248" spans="1:8">
      <c r="A248" s="563" t="s">
        <v>703</v>
      </c>
      <c r="B248" s="562"/>
      <c r="C248" s="562"/>
      <c r="D248" s="562"/>
      <c r="E248" s="562"/>
      <c r="F248" s="562"/>
      <c r="G248" s="562"/>
      <c r="H248" s="562"/>
    </row>
    <row r="249" spans="1:8">
      <c r="A249" s="563" t="s">
        <v>704</v>
      </c>
      <c r="B249" s="562"/>
      <c r="C249" s="562"/>
      <c r="D249" s="562"/>
      <c r="E249" s="562"/>
      <c r="F249" s="562"/>
      <c r="G249" s="562"/>
      <c r="H249" s="562"/>
    </row>
    <row r="250" spans="1:8">
      <c r="A250" s="563" t="s">
        <v>705</v>
      </c>
      <c r="B250" s="562"/>
      <c r="C250" s="562"/>
      <c r="D250" s="562"/>
      <c r="E250" s="562"/>
      <c r="F250" s="562"/>
      <c r="G250" s="562"/>
      <c r="H250" s="562"/>
    </row>
    <row r="251" spans="1:8">
      <c r="A251" s="562"/>
      <c r="B251" s="562"/>
      <c r="C251" s="562"/>
      <c r="D251" s="562"/>
      <c r="E251" s="562"/>
      <c r="F251" s="562"/>
      <c r="G251" s="562"/>
      <c r="H251" s="562"/>
    </row>
    <row r="252" spans="1:8">
      <c r="A252" s="563" t="s">
        <v>706</v>
      </c>
      <c r="B252" s="562"/>
      <c r="C252" s="562"/>
      <c r="D252" s="562"/>
      <c r="E252" s="562"/>
      <c r="F252" s="562"/>
      <c r="G252" s="562"/>
      <c r="H252" s="562"/>
    </row>
    <row r="253" spans="1:8">
      <c r="A253" s="563" t="s">
        <v>707</v>
      </c>
      <c r="B253" s="562"/>
      <c r="C253" s="562"/>
      <c r="D253" s="562"/>
      <c r="E253" s="562"/>
      <c r="F253" s="562"/>
      <c r="G253" s="562"/>
      <c r="H253" s="562"/>
    </row>
    <row r="254" spans="1:8">
      <c r="A254" s="562"/>
      <c r="B254" s="562"/>
      <c r="C254" s="562"/>
      <c r="D254" s="562"/>
      <c r="E254" s="562"/>
      <c r="F254" s="562"/>
      <c r="G254" s="562"/>
      <c r="H254" s="562"/>
    </row>
    <row r="255" spans="1:8">
      <c r="A255" s="563" t="s">
        <v>708</v>
      </c>
      <c r="B255" s="562"/>
      <c r="C255" s="562"/>
      <c r="D255" s="562"/>
      <c r="E255" s="562"/>
      <c r="F255" s="562"/>
      <c r="G255" s="562"/>
      <c r="H255" s="562"/>
    </row>
    <row r="256" spans="1:8">
      <c r="A256" s="563" t="s">
        <v>709</v>
      </c>
      <c r="B256" s="562"/>
      <c r="C256" s="562"/>
      <c r="D256" s="562"/>
      <c r="E256" s="562"/>
      <c r="F256" s="562"/>
      <c r="G256" s="562"/>
      <c r="H256" s="562"/>
    </row>
    <row r="257" spans="1:8">
      <c r="A257" s="563" t="s">
        <v>710</v>
      </c>
      <c r="B257" s="562"/>
      <c r="C257" s="562"/>
      <c r="D257" s="562"/>
      <c r="E257" s="562"/>
      <c r="F257" s="562"/>
      <c r="G257" s="562"/>
      <c r="H257" s="562"/>
    </row>
    <row r="258" spans="1:8">
      <c r="A258" s="563" t="s">
        <v>711</v>
      </c>
      <c r="B258" s="562"/>
      <c r="C258" s="562"/>
      <c r="D258" s="562"/>
      <c r="E258" s="562"/>
      <c r="F258" s="562"/>
      <c r="G258" s="562"/>
      <c r="H258" s="562"/>
    </row>
    <row r="259" spans="1:8">
      <c r="A259" s="563" t="s">
        <v>712</v>
      </c>
      <c r="B259" s="562"/>
      <c r="C259" s="562"/>
      <c r="D259" s="562"/>
      <c r="E259" s="562"/>
      <c r="F259" s="562"/>
      <c r="G259" s="562"/>
      <c r="H259" s="562"/>
    </row>
    <row r="260" spans="1:8">
      <c r="A260" s="563" t="s">
        <v>713</v>
      </c>
      <c r="B260" s="562"/>
      <c r="C260" s="562"/>
      <c r="D260" s="562"/>
      <c r="E260" s="562"/>
      <c r="F260" s="562"/>
      <c r="G260" s="562"/>
      <c r="H260" s="562"/>
    </row>
    <row r="261" spans="1:8">
      <c r="A261" s="563" t="s">
        <v>714</v>
      </c>
      <c r="B261" s="562"/>
      <c r="C261" s="562"/>
      <c r="D261" s="562"/>
      <c r="E261" s="562"/>
      <c r="F261" s="562"/>
      <c r="G261" s="562"/>
      <c r="H261" s="562"/>
    </row>
    <row r="262" spans="1:8">
      <c r="A262" s="563" t="s">
        <v>715</v>
      </c>
      <c r="B262" s="562"/>
      <c r="C262" s="562"/>
      <c r="D262" s="562"/>
      <c r="E262" s="562"/>
      <c r="F262" s="562"/>
      <c r="G262" s="562"/>
      <c r="H262" s="562"/>
    </row>
    <row r="263" spans="1:8">
      <c r="A263" s="563" t="s">
        <v>716</v>
      </c>
      <c r="B263" s="562"/>
      <c r="C263" s="562"/>
      <c r="D263" s="562"/>
      <c r="E263" s="562"/>
      <c r="F263" s="562"/>
      <c r="G263" s="562"/>
      <c r="H263" s="562"/>
    </row>
    <row r="264" spans="1:8">
      <c r="A264" s="563" t="s">
        <v>717</v>
      </c>
      <c r="B264" s="562"/>
      <c r="C264" s="562"/>
      <c r="D264" s="562"/>
      <c r="E264" s="562"/>
      <c r="F264" s="562"/>
      <c r="G264" s="562"/>
      <c r="H264" s="562"/>
    </row>
    <row r="265" spans="1:8">
      <c r="A265" s="563" t="s">
        <v>718</v>
      </c>
      <c r="B265" s="562"/>
      <c r="C265" s="562"/>
      <c r="D265" s="562"/>
      <c r="E265" s="562"/>
      <c r="F265" s="562"/>
      <c r="G265" s="562"/>
      <c r="H265" s="562"/>
    </row>
    <row r="266" spans="1:8">
      <c r="A266" s="563" t="s">
        <v>719</v>
      </c>
      <c r="B266" s="562"/>
      <c r="C266" s="562"/>
      <c r="D266" s="562"/>
      <c r="E266" s="562"/>
      <c r="F266" s="562"/>
      <c r="G266" s="562"/>
      <c r="H266" s="562"/>
    </row>
    <row r="267" spans="1:8">
      <c r="A267" s="563" t="s">
        <v>720</v>
      </c>
      <c r="B267" s="562"/>
      <c r="C267" s="562"/>
      <c r="D267" s="562"/>
      <c r="E267" s="562"/>
      <c r="F267" s="562"/>
      <c r="G267" s="562"/>
      <c r="H267" s="562"/>
    </row>
    <row r="268" spans="1:8">
      <c r="A268" s="563" t="s">
        <v>721</v>
      </c>
      <c r="B268" s="562"/>
      <c r="C268" s="562"/>
      <c r="D268" s="562"/>
      <c r="E268" s="562"/>
      <c r="F268" s="562"/>
      <c r="G268" s="562"/>
      <c r="H268" s="562"/>
    </row>
    <row r="269" spans="1:8">
      <c r="A269" s="563" t="s">
        <v>722</v>
      </c>
      <c r="B269" s="562"/>
      <c r="C269" s="562"/>
      <c r="D269" s="562"/>
      <c r="E269" s="562"/>
      <c r="F269" s="562"/>
      <c r="G269" s="562"/>
      <c r="H269" s="562"/>
    </row>
    <row r="270" spans="1:8">
      <c r="A270" s="563" t="s">
        <v>723</v>
      </c>
      <c r="B270" s="562"/>
      <c r="C270" s="562"/>
      <c r="D270" s="562"/>
      <c r="E270" s="562"/>
      <c r="F270" s="562"/>
      <c r="G270" s="562"/>
      <c r="H270" s="562"/>
    </row>
    <row r="271" spans="1:8">
      <c r="A271" s="562"/>
      <c r="B271" s="562"/>
      <c r="C271" s="562"/>
      <c r="D271" s="562"/>
      <c r="E271" s="562"/>
      <c r="F271" s="562"/>
      <c r="G271" s="562"/>
      <c r="H271" s="562"/>
    </row>
    <row r="272" spans="1:8">
      <c r="A272" s="563" t="s">
        <v>724</v>
      </c>
      <c r="B272" s="562"/>
      <c r="C272" s="562"/>
      <c r="D272" s="562"/>
      <c r="E272" s="562"/>
      <c r="F272" s="562"/>
      <c r="G272" s="562"/>
      <c r="H272" s="562"/>
    </row>
    <row r="273" spans="1:8">
      <c r="A273" s="563" t="s">
        <v>725</v>
      </c>
      <c r="B273" s="562"/>
      <c r="C273" s="562"/>
      <c r="D273" s="562"/>
      <c r="E273" s="562"/>
      <c r="F273" s="562"/>
      <c r="G273" s="562"/>
      <c r="H273" s="562"/>
    </row>
    <row r="274" spans="1:8">
      <c r="A274" s="563" t="s">
        <v>726</v>
      </c>
      <c r="B274" s="562"/>
      <c r="C274" s="562"/>
      <c r="D274" s="562"/>
      <c r="E274" s="562"/>
      <c r="F274" s="562"/>
      <c r="G274" s="562"/>
      <c r="H274" s="562"/>
    </row>
    <row r="275" spans="1:8">
      <c r="A275" s="563" t="s">
        <v>727</v>
      </c>
      <c r="B275" s="562"/>
      <c r="C275" s="562"/>
      <c r="D275" s="562"/>
      <c r="E275" s="562"/>
      <c r="F275" s="562"/>
      <c r="G275" s="562"/>
      <c r="H275" s="562"/>
    </row>
    <row r="276" spans="1:8">
      <c r="A276" s="563" t="s">
        <v>728</v>
      </c>
      <c r="B276" s="562"/>
      <c r="C276" s="562"/>
      <c r="D276" s="562"/>
      <c r="E276" s="562"/>
      <c r="F276" s="562"/>
      <c r="G276" s="562"/>
      <c r="H276" s="562"/>
    </row>
    <row r="277" spans="1:8">
      <c r="A277" s="563" t="s">
        <v>729</v>
      </c>
      <c r="B277" s="562"/>
      <c r="C277" s="562"/>
      <c r="D277" s="562"/>
      <c r="E277" s="562"/>
      <c r="F277" s="562"/>
      <c r="G277" s="562"/>
      <c r="H277" s="562"/>
    </row>
    <row r="278" spans="1:8">
      <c r="A278" s="563" t="s">
        <v>588</v>
      </c>
      <c r="B278" s="562"/>
      <c r="C278" s="562"/>
      <c r="D278" s="562"/>
      <c r="E278" s="562"/>
      <c r="F278" s="562"/>
      <c r="G278" s="562"/>
      <c r="H278" s="562"/>
    </row>
    <row r="279" spans="1:8">
      <c r="A279" s="562"/>
      <c r="B279" s="562"/>
      <c r="C279" s="562"/>
      <c r="D279" s="562"/>
      <c r="E279" s="562"/>
      <c r="F279" s="562"/>
      <c r="G279" s="562"/>
      <c r="H279" s="562"/>
    </row>
    <row r="280" spans="1:8">
      <c r="A280" s="563" t="s">
        <v>730</v>
      </c>
      <c r="B280" s="562"/>
      <c r="C280" s="562"/>
      <c r="D280" s="562"/>
      <c r="E280" s="562"/>
      <c r="F280" s="562"/>
      <c r="G280" s="562"/>
      <c r="H280" s="562"/>
    </row>
    <row r="281" spans="1:8">
      <c r="A281" s="563" t="s">
        <v>731</v>
      </c>
      <c r="B281" s="562"/>
      <c r="C281" s="562"/>
      <c r="D281" s="562"/>
      <c r="E281" s="562"/>
      <c r="F281" s="562"/>
      <c r="G281" s="562"/>
      <c r="H281" s="562"/>
    </row>
    <row r="282" spans="1:8">
      <c r="A282" s="563" t="s">
        <v>732</v>
      </c>
      <c r="B282" s="562"/>
      <c r="C282" s="562"/>
      <c r="D282" s="562"/>
      <c r="E282" s="562"/>
      <c r="F282" s="562"/>
      <c r="G282" s="562"/>
      <c r="H282" s="562"/>
    </row>
    <row r="283" spans="1:8">
      <c r="A283" s="563" t="s">
        <v>733</v>
      </c>
      <c r="B283" s="562"/>
      <c r="C283" s="562"/>
      <c r="D283" s="562"/>
      <c r="E283" s="562"/>
      <c r="F283" s="562"/>
      <c r="G283" s="562"/>
      <c r="H283" s="562"/>
    </row>
    <row r="284" spans="1:8">
      <c r="A284" s="563" t="s">
        <v>734</v>
      </c>
      <c r="B284" s="562"/>
      <c r="C284" s="562"/>
      <c r="D284" s="562"/>
      <c r="E284" s="562"/>
      <c r="F284" s="562"/>
      <c r="G284" s="562"/>
      <c r="H284" s="562"/>
    </row>
    <row r="285" spans="1:8">
      <c r="A285" s="563" t="s">
        <v>735</v>
      </c>
      <c r="B285" s="562"/>
      <c r="C285" s="562"/>
      <c r="D285" s="562"/>
      <c r="E285" s="562"/>
      <c r="F285" s="562"/>
      <c r="G285" s="562"/>
      <c r="H285" s="562"/>
    </row>
    <row r="286" spans="1:8">
      <c r="A286" s="563" t="s">
        <v>736</v>
      </c>
      <c r="B286" s="562"/>
      <c r="C286" s="562"/>
      <c r="D286" s="562"/>
      <c r="E286" s="562"/>
      <c r="F286" s="562"/>
      <c r="G286" s="562"/>
      <c r="H286" s="562"/>
    </row>
    <row r="287" spans="1:8">
      <c r="A287" s="563" t="s">
        <v>737</v>
      </c>
      <c r="B287" s="562"/>
      <c r="C287" s="562"/>
      <c r="D287" s="562"/>
      <c r="E287" s="562"/>
      <c r="F287" s="562"/>
      <c r="G287" s="562"/>
      <c r="H287" s="562"/>
    </row>
    <row r="288" spans="1:8">
      <c r="A288" s="563" t="s">
        <v>738</v>
      </c>
      <c r="B288" s="562"/>
      <c r="C288" s="562"/>
      <c r="D288" s="562"/>
      <c r="E288" s="562"/>
      <c r="F288" s="562"/>
      <c r="G288" s="562"/>
      <c r="H288" s="562"/>
    </row>
    <row r="289" spans="1:8">
      <c r="A289" s="562"/>
      <c r="B289" s="562"/>
      <c r="C289" s="562"/>
      <c r="D289" s="562"/>
      <c r="E289" s="562"/>
      <c r="F289" s="562"/>
      <c r="G289" s="562"/>
      <c r="H289" s="562"/>
    </row>
    <row r="290" spans="1:8">
      <c r="A290" s="563" t="s">
        <v>739</v>
      </c>
      <c r="B290" s="562"/>
      <c r="C290" s="562"/>
      <c r="D290" s="562"/>
      <c r="E290" s="562"/>
      <c r="F290" s="562"/>
      <c r="G290" s="562"/>
      <c r="H290" s="562"/>
    </row>
    <row r="291" spans="1:8">
      <c r="A291" s="563" t="s">
        <v>740</v>
      </c>
      <c r="B291" s="562"/>
      <c r="C291" s="562"/>
      <c r="D291" s="562"/>
      <c r="E291" s="562"/>
      <c r="F291" s="562"/>
      <c r="G291" s="562"/>
      <c r="H291" s="562"/>
    </row>
    <row r="292" spans="1:8">
      <c r="A292" s="563" t="s">
        <v>741</v>
      </c>
      <c r="B292" s="562"/>
      <c r="C292" s="562"/>
      <c r="D292" s="562"/>
      <c r="E292" s="562"/>
      <c r="F292" s="562"/>
      <c r="G292" s="562"/>
      <c r="H292" s="562"/>
    </row>
    <row r="293" spans="1:8">
      <c r="A293" s="563" t="s">
        <v>742</v>
      </c>
      <c r="B293" s="562"/>
      <c r="C293" s="562"/>
      <c r="D293" s="562"/>
      <c r="E293" s="562"/>
      <c r="F293" s="562"/>
      <c r="G293" s="562"/>
      <c r="H293" s="562"/>
    </row>
    <row r="294" spans="1:8">
      <c r="A294" s="563" t="s">
        <v>743</v>
      </c>
      <c r="B294" s="562"/>
      <c r="C294" s="562"/>
      <c r="D294" s="562"/>
      <c r="E294" s="562"/>
      <c r="F294" s="562"/>
      <c r="G294" s="562"/>
      <c r="H294" s="562"/>
    </row>
    <row r="295" spans="1:8">
      <c r="A295" s="563" t="s">
        <v>744</v>
      </c>
      <c r="B295" s="562"/>
      <c r="C295" s="562"/>
      <c r="D295" s="562"/>
      <c r="E295" s="562"/>
      <c r="F295" s="562"/>
      <c r="G295" s="562"/>
      <c r="H295" s="562"/>
    </row>
    <row r="296" spans="1:8">
      <c r="A296" s="563" t="s">
        <v>745</v>
      </c>
      <c r="B296" s="562"/>
      <c r="C296" s="562"/>
      <c r="D296" s="562"/>
      <c r="E296" s="562"/>
      <c r="F296" s="562"/>
      <c r="G296" s="562"/>
      <c r="H296" s="562"/>
    </row>
    <row r="297" spans="1:8">
      <c r="A297" s="562"/>
      <c r="B297" s="562"/>
      <c r="C297" s="562"/>
      <c r="D297" s="562"/>
      <c r="E297" s="562"/>
      <c r="F297" s="562"/>
      <c r="G297" s="562"/>
      <c r="H297" s="562"/>
    </row>
    <row r="298" spans="1:8">
      <c r="A298" s="563" t="s">
        <v>746</v>
      </c>
      <c r="B298" s="562"/>
      <c r="C298" s="562"/>
      <c r="D298" s="562"/>
      <c r="E298" s="562"/>
      <c r="F298" s="562"/>
      <c r="G298" s="562"/>
      <c r="H298" s="562"/>
    </row>
    <row r="299" spans="1:8">
      <c r="A299" s="563" t="s">
        <v>747</v>
      </c>
      <c r="B299" s="562"/>
      <c r="C299" s="562"/>
      <c r="D299" s="562"/>
      <c r="E299" s="562"/>
      <c r="F299" s="562"/>
      <c r="G299" s="562"/>
      <c r="H299" s="562"/>
    </row>
    <row r="300" spans="1:8">
      <c r="A300" s="563" t="s">
        <v>748</v>
      </c>
      <c r="B300" s="562"/>
      <c r="C300" s="562"/>
      <c r="D300" s="562"/>
      <c r="E300" s="562"/>
      <c r="F300" s="562"/>
      <c r="G300" s="562"/>
      <c r="H300" s="562"/>
    </row>
    <row r="301" spans="1:8">
      <c r="A301" s="562"/>
      <c r="B301" s="562"/>
      <c r="C301" s="562"/>
      <c r="D301" s="562"/>
      <c r="E301" s="562"/>
      <c r="F301" s="562"/>
      <c r="G301" s="562"/>
      <c r="H301" s="562"/>
    </row>
    <row r="302" spans="1:8">
      <c r="A302" s="563" t="s">
        <v>749</v>
      </c>
      <c r="B302" s="562"/>
      <c r="C302" s="562"/>
      <c r="D302" s="562"/>
      <c r="E302" s="562"/>
      <c r="F302" s="562"/>
      <c r="G302" s="562"/>
      <c r="H302" s="562"/>
    </row>
    <row r="303" spans="1:8">
      <c r="A303" s="563" t="s">
        <v>750</v>
      </c>
      <c r="B303" s="562"/>
      <c r="C303" s="562"/>
      <c r="D303" s="562"/>
      <c r="E303" s="562"/>
      <c r="F303" s="562"/>
      <c r="G303" s="562"/>
      <c r="H303" s="562"/>
    </row>
    <row r="304" spans="1:8">
      <c r="A304" s="562"/>
      <c r="B304" s="562"/>
      <c r="C304" s="562"/>
      <c r="D304" s="562"/>
      <c r="E304" s="562"/>
      <c r="F304" s="562"/>
      <c r="G304" s="562"/>
      <c r="H304" s="562"/>
    </row>
    <row r="305" spans="1:8">
      <c r="A305" s="563" t="s">
        <v>751</v>
      </c>
      <c r="B305" s="562"/>
      <c r="C305" s="562"/>
      <c r="D305" s="562"/>
      <c r="E305" s="562"/>
      <c r="F305" s="562"/>
      <c r="G305" s="562"/>
      <c r="H305" s="562"/>
    </row>
    <row r="306" spans="1:8">
      <c r="A306" s="563" t="s">
        <v>752</v>
      </c>
      <c r="B306" s="562"/>
      <c r="C306" s="562"/>
      <c r="D306" s="562"/>
      <c r="E306" s="562"/>
      <c r="F306" s="562"/>
      <c r="G306" s="562"/>
      <c r="H306" s="562"/>
    </row>
    <row r="307" spans="1:8">
      <c r="A307" s="563" t="s">
        <v>753</v>
      </c>
      <c r="B307" s="562"/>
      <c r="C307" s="562"/>
      <c r="D307" s="562"/>
      <c r="E307" s="562"/>
      <c r="F307" s="562"/>
      <c r="G307" s="562"/>
      <c r="H307" s="562"/>
    </row>
    <row r="308" spans="1:8">
      <c r="A308" s="563" t="s">
        <v>754</v>
      </c>
      <c r="B308" s="562"/>
      <c r="C308" s="562"/>
      <c r="D308" s="562"/>
      <c r="E308" s="562"/>
      <c r="F308" s="562"/>
      <c r="G308" s="562"/>
      <c r="H308" s="562"/>
    </row>
    <row r="309" spans="1:8">
      <c r="A309" s="563" t="s">
        <v>755</v>
      </c>
      <c r="B309" s="562"/>
      <c r="C309" s="562"/>
      <c r="D309" s="562"/>
      <c r="E309" s="562"/>
      <c r="F309" s="562"/>
      <c r="G309" s="562"/>
      <c r="H309" s="562"/>
    </row>
    <row r="310" spans="1:8">
      <c r="A310" s="563" t="s">
        <v>756</v>
      </c>
      <c r="B310" s="562"/>
      <c r="C310" s="562"/>
      <c r="D310" s="562"/>
      <c r="E310" s="562"/>
      <c r="F310" s="562"/>
      <c r="G310" s="562"/>
      <c r="H310" s="562"/>
    </row>
    <row r="311" spans="1:8">
      <c r="A311" s="563" t="s">
        <v>757</v>
      </c>
      <c r="B311" s="562"/>
      <c r="C311" s="562"/>
      <c r="D311" s="562"/>
      <c r="E311" s="562"/>
      <c r="F311" s="562"/>
      <c r="G311" s="562"/>
      <c r="H311" s="562"/>
    </row>
    <row r="312" spans="1:8">
      <c r="A312" s="563" t="s">
        <v>758</v>
      </c>
      <c r="B312" s="562"/>
      <c r="C312" s="562"/>
      <c r="D312" s="562"/>
      <c r="E312" s="562"/>
      <c r="F312" s="562"/>
      <c r="G312" s="562"/>
      <c r="H312" s="562"/>
    </row>
    <row r="313" spans="1:8">
      <c r="A313" s="563" t="s">
        <v>759</v>
      </c>
      <c r="B313" s="562"/>
      <c r="C313" s="562"/>
      <c r="D313" s="562"/>
      <c r="E313" s="562"/>
      <c r="F313" s="562"/>
      <c r="G313" s="562"/>
      <c r="H313" s="562"/>
    </row>
    <row r="314" spans="1:8">
      <c r="A314" s="563" t="s">
        <v>760</v>
      </c>
      <c r="B314" s="562"/>
      <c r="C314" s="562"/>
      <c r="D314" s="562"/>
      <c r="E314" s="562"/>
      <c r="F314" s="562"/>
      <c r="G314" s="562"/>
      <c r="H314" s="562"/>
    </row>
    <row r="315" spans="1:8">
      <c r="A315" s="563" t="s">
        <v>761</v>
      </c>
      <c r="B315" s="562"/>
      <c r="C315" s="562"/>
      <c r="D315" s="562"/>
      <c r="E315" s="562"/>
      <c r="F315" s="562"/>
      <c r="G315" s="562"/>
      <c r="H315" s="562"/>
    </row>
    <row r="316" spans="1:8">
      <c r="A316" s="563" t="s">
        <v>762</v>
      </c>
      <c r="B316" s="562"/>
      <c r="C316" s="562"/>
      <c r="D316" s="562"/>
      <c r="E316" s="562"/>
      <c r="F316" s="562"/>
      <c r="G316" s="562"/>
      <c r="H316" s="562"/>
    </row>
    <row r="317" spans="1:8">
      <c r="A317" s="563" t="s">
        <v>763</v>
      </c>
      <c r="B317" s="562"/>
      <c r="C317" s="562"/>
      <c r="D317" s="562"/>
      <c r="E317" s="562"/>
      <c r="F317" s="562"/>
      <c r="G317" s="562"/>
      <c r="H317" s="562"/>
    </row>
    <row r="318" spans="1:8">
      <c r="A318" s="562"/>
      <c r="B318" s="562"/>
      <c r="C318" s="562"/>
      <c r="D318" s="562"/>
      <c r="E318" s="562"/>
      <c r="F318" s="562"/>
      <c r="G318" s="562"/>
      <c r="H318" s="562"/>
    </row>
    <row r="319" spans="1:8">
      <c r="A319" s="563" t="s">
        <v>764</v>
      </c>
      <c r="B319" s="562"/>
      <c r="C319" s="562"/>
      <c r="D319" s="562"/>
      <c r="E319" s="562"/>
      <c r="F319" s="562"/>
      <c r="G319" s="562"/>
      <c r="H319" s="562"/>
    </row>
    <row r="320" spans="1:8">
      <c r="A320" s="563" t="s">
        <v>765</v>
      </c>
      <c r="B320" s="562"/>
      <c r="C320" s="562"/>
      <c r="D320" s="562"/>
      <c r="E320" s="562"/>
      <c r="F320" s="562"/>
      <c r="G320" s="562"/>
      <c r="H320" s="562"/>
    </row>
    <row r="321" spans="1:8">
      <c r="A321" s="563" t="s">
        <v>766</v>
      </c>
      <c r="B321" s="562"/>
      <c r="C321" s="562"/>
      <c r="D321" s="562"/>
      <c r="E321" s="562"/>
      <c r="F321" s="562"/>
      <c r="G321" s="562"/>
      <c r="H321" s="562"/>
    </row>
    <row r="322" spans="1:8">
      <c r="A322" s="563" t="s">
        <v>767</v>
      </c>
      <c r="B322" s="562"/>
      <c r="C322" s="562"/>
      <c r="D322" s="562"/>
      <c r="E322" s="562"/>
      <c r="F322" s="562"/>
      <c r="G322" s="562"/>
      <c r="H322" s="562"/>
    </row>
    <row r="323" spans="1:8">
      <c r="A323" s="563" t="s">
        <v>768</v>
      </c>
      <c r="B323" s="562"/>
      <c r="C323" s="562"/>
      <c r="D323" s="562"/>
      <c r="E323" s="562"/>
      <c r="F323" s="562"/>
      <c r="G323" s="562"/>
      <c r="H323" s="562"/>
    </row>
    <row r="324" spans="1:8">
      <c r="A324" s="563" t="s">
        <v>769</v>
      </c>
      <c r="B324" s="562"/>
      <c r="C324" s="562"/>
      <c r="D324" s="562"/>
      <c r="E324" s="562"/>
      <c r="F324" s="562"/>
      <c r="G324" s="562"/>
      <c r="H324" s="562"/>
    </row>
    <row r="325" spans="1:8">
      <c r="A325" s="563" t="s">
        <v>770</v>
      </c>
      <c r="B325" s="562"/>
      <c r="C325" s="562"/>
      <c r="D325" s="562"/>
      <c r="E325" s="562"/>
      <c r="F325" s="562"/>
      <c r="G325" s="562"/>
      <c r="H325" s="562"/>
    </row>
    <row r="326" spans="1:8">
      <c r="A326" s="563" t="s">
        <v>771</v>
      </c>
      <c r="B326" s="562"/>
      <c r="C326" s="562"/>
      <c r="D326" s="562"/>
      <c r="E326" s="562"/>
      <c r="F326" s="562"/>
      <c r="G326" s="562"/>
      <c r="H326" s="562"/>
    </row>
    <row r="327" spans="1:8">
      <c r="A327" s="562"/>
      <c r="B327" s="562"/>
      <c r="C327" s="562"/>
      <c r="D327" s="562"/>
      <c r="E327" s="562"/>
      <c r="F327" s="562"/>
      <c r="G327" s="562"/>
      <c r="H327" s="562"/>
    </row>
    <row r="328" spans="1:8">
      <c r="A328" s="563" t="s">
        <v>772</v>
      </c>
      <c r="B328" s="562"/>
      <c r="C328" s="562"/>
      <c r="D328" s="562"/>
      <c r="E328" s="562"/>
      <c r="F328" s="562"/>
      <c r="G328" s="562"/>
      <c r="H328" s="562"/>
    </row>
    <row r="329" spans="1:8">
      <c r="A329" s="563" t="s">
        <v>773</v>
      </c>
      <c r="B329" s="562"/>
      <c r="C329" s="562"/>
      <c r="D329" s="562"/>
      <c r="E329" s="562"/>
      <c r="F329" s="562"/>
      <c r="G329" s="562"/>
      <c r="H329" s="562"/>
    </row>
    <row r="330" spans="1:8">
      <c r="A330" s="563" t="s">
        <v>774</v>
      </c>
      <c r="B330" s="562"/>
      <c r="C330" s="562"/>
      <c r="D330" s="562"/>
      <c r="E330" s="562"/>
      <c r="F330" s="562"/>
      <c r="G330" s="562"/>
      <c r="H330" s="562"/>
    </row>
    <row r="331" spans="1:8">
      <c r="A331" s="563" t="s">
        <v>775</v>
      </c>
      <c r="B331" s="562"/>
      <c r="C331" s="562"/>
      <c r="D331" s="562"/>
      <c r="E331" s="562"/>
      <c r="F331" s="562"/>
      <c r="G331" s="562"/>
      <c r="H331" s="562"/>
    </row>
    <row r="332" spans="1:8">
      <c r="A332" s="563" t="s">
        <v>776</v>
      </c>
      <c r="B332" s="562"/>
      <c r="C332" s="562"/>
      <c r="D332" s="562"/>
      <c r="E332" s="562"/>
      <c r="F332" s="562"/>
      <c r="G332" s="562"/>
      <c r="H332" s="562"/>
    </row>
    <row r="333" spans="1:8">
      <c r="A333" s="563" t="s">
        <v>777</v>
      </c>
      <c r="B333" s="562"/>
      <c r="C333" s="562"/>
      <c r="D333" s="562"/>
      <c r="E333" s="562"/>
      <c r="F333" s="562"/>
      <c r="G333" s="562"/>
      <c r="H333" s="562"/>
    </row>
    <row r="334" spans="1:8">
      <c r="A334" s="563" t="s">
        <v>778</v>
      </c>
      <c r="B334" s="562"/>
      <c r="C334" s="562"/>
      <c r="D334" s="562"/>
      <c r="E334" s="562"/>
      <c r="F334" s="562"/>
      <c r="G334" s="562"/>
      <c r="H334" s="562"/>
    </row>
    <row r="335" spans="1:8">
      <c r="A335" s="563" t="s">
        <v>779</v>
      </c>
      <c r="B335" s="562"/>
      <c r="C335" s="562"/>
      <c r="D335" s="562"/>
      <c r="E335" s="562"/>
      <c r="F335" s="562"/>
      <c r="G335" s="562"/>
      <c r="H335" s="562"/>
    </row>
    <row r="336" spans="1:8">
      <c r="A336" s="563" t="s">
        <v>780</v>
      </c>
      <c r="B336" s="562"/>
      <c r="C336" s="562"/>
      <c r="D336" s="562"/>
      <c r="E336" s="562"/>
      <c r="F336" s="562"/>
      <c r="G336" s="562"/>
      <c r="H336" s="562"/>
    </row>
    <row r="337" spans="1:8">
      <c r="A337" s="563" t="s">
        <v>781</v>
      </c>
      <c r="B337" s="562"/>
      <c r="C337" s="562"/>
      <c r="D337" s="562"/>
      <c r="E337" s="562"/>
      <c r="F337" s="562"/>
      <c r="G337" s="562"/>
      <c r="H337" s="562"/>
    </row>
    <row r="338" spans="1:8">
      <c r="A338" s="563" t="s">
        <v>782</v>
      </c>
      <c r="B338" s="562"/>
      <c r="C338" s="562"/>
      <c r="D338" s="562"/>
      <c r="E338" s="562"/>
      <c r="F338" s="562"/>
      <c r="G338" s="562"/>
      <c r="H338" s="562"/>
    </row>
    <row r="339" spans="1:8">
      <c r="A339" s="563" t="s">
        <v>783</v>
      </c>
      <c r="B339" s="562"/>
      <c r="C339" s="562"/>
      <c r="D339" s="562"/>
      <c r="E339" s="562"/>
      <c r="F339" s="562"/>
      <c r="G339" s="562"/>
      <c r="H339" s="562"/>
    </row>
    <row r="340" spans="1:8">
      <c r="A340" s="563" t="s">
        <v>784</v>
      </c>
      <c r="B340" s="562"/>
      <c r="C340" s="562"/>
      <c r="D340" s="562"/>
      <c r="E340" s="562"/>
      <c r="F340" s="562"/>
      <c r="G340" s="562"/>
      <c r="H340" s="562"/>
    </row>
    <row r="341" spans="1:8">
      <c r="A341" s="563" t="s">
        <v>785</v>
      </c>
      <c r="B341" s="562"/>
      <c r="C341" s="562"/>
      <c r="D341" s="562"/>
      <c r="E341" s="562"/>
      <c r="F341" s="562"/>
      <c r="G341" s="562"/>
      <c r="H341" s="562"/>
    </row>
    <row r="342" spans="1:8">
      <c r="A342" s="563" t="s">
        <v>786</v>
      </c>
      <c r="B342" s="562"/>
      <c r="C342" s="562"/>
      <c r="D342" s="562"/>
      <c r="E342" s="562"/>
      <c r="F342" s="562"/>
      <c r="G342" s="562"/>
      <c r="H342" s="562"/>
    </row>
    <row r="343" spans="1:8">
      <c r="A343" s="563" t="s">
        <v>787</v>
      </c>
      <c r="B343" s="562"/>
      <c r="C343" s="562"/>
      <c r="D343" s="562"/>
      <c r="E343" s="562"/>
      <c r="F343" s="562"/>
      <c r="G343" s="562"/>
      <c r="H343" s="562"/>
    </row>
    <row r="344" spans="1:8">
      <c r="A344" s="563" t="s">
        <v>788</v>
      </c>
      <c r="B344" s="562"/>
      <c r="C344" s="562"/>
      <c r="D344" s="562"/>
      <c r="E344" s="562"/>
      <c r="F344" s="562"/>
      <c r="G344" s="562"/>
      <c r="H344" s="562"/>
    </row>
    <row r="345" spans="1:8">
      <c r="A345" s="563" t="s">
        <v>789</v>
      </c>
      <c r="B345" s="562"/>
      <c r="C345" s="562"/>
      <c r="D345" s="562"/>
      <c r="E345" s="562"/>
      <c r="F345" s="562"/>
      <c r="G345" s="562"/>
      <c r="H345" s="562"/>
    </row>
    <row r="346" spans="1:8">
      <c r="A346" s="563" t="s">
        <v>790</v>
      </c>
      <c r="B346" s="562"/>
      <c r="C346" s="562"/>
      <c r="D346" s="562"/>
      <c r="E346" s="562"/>
      <c r="F346" s="562"/>
      <c r="G346" s="562"/>
      <c r="H346" s="562"/>
    </row>
    <row r="347" spans="1:8">
      <c r="A347" s="563" t="s">
        <v>791</v>
      </c>
      <c r="B347" s="562"/>
      <c r="C347" s="562"/>
      <c r="D347" s="562"/>
      <c r="E347" s="562"/>
      <c r="F347" s="562"/>
      <c r="G347" s="562"/>
      <c r="H347" s="562"/>
    </row>
    <row r="348" spans="1:8">
      <c r="A348" s="563" t="s">
        <v>792</v>
      </c>
      <c r="B348" s="562"/>
      <c r="C348" s="562"/>
      <c r="D348" s="562"/>
      <c r="E348" s="562"/>
      <c r="F348" s="562"/>
      <c r="G348" s="562"/>
      <c r="H348" s="562"/>
    </row>
    <row r="349" spans="1:8">
      <c r="A349" s="563" t="s">
        <v>793</v>
      </c>
      <c r="B349" s="562"/>
      <c r="C349" s="562"/>
      <c r="D349" s="562"/>
      <c r="E349" s="562"/>
      <c r="F349" s="562"/>
      <c r="G349" s="562"/>
      <c r="H349" s="562"/>
    </row>
    <row r="350" spans="1:8">
      <c r="A350" s="563" t="s">
        <v>794</v>
      </c>
      <c r="B350" s="562"/>
      <c r="C350" s="562"/>
      <c r="D350" s="562"/>
      <c r="E350" s="562"/>
      <c r="F350" s="562"/>
      <c r="G350" s="562"/>
      <c r="H350" s="562"/>
    </row>
    <row r="351" spans="1:8">
      <c r="A351" s="563" t="s">
        <v>795</v>
      </c>
      <c r="B351" s="562"/>
      <c r="C351" s="562"/>
      <c r="D351" s="562"/>
      <c r="E351" s="562"/>
      <c r="F351" s="562"/>
      <c r="G351" s="562"/>
      <c r="H351" s="562"/>
    </row>
    <row r="352" spans="1:8">
      <c r="A352" s="563" t="s">
        <v>796</v>
      </c>
      <c r="B352" s="562"/>
      <c r="C352" s="562"/>
      <c r="D352" s="562"/>
      <c r="E352" s="562"/>
      <c r="F352" s="562"/>
      <c r="G352" s="562"/>
      <c r="H352" s="562"/>
    </row>
    <row r="353" spans="1:8">
      <c r="A353" s="563" t="s">
        <v>797</v>
      </c>
      <c r="B353" s="562"/>
      <c r="C353" s="562"/>
      <c r="D353" s="562"/>
      <c r="E353" s="562"/>
      <c r="F353" s="562"/>
      <c r="G353" s="562"/>
      <c r="H353" s="562"/>
    </row>
    <row r="354" spans="1:8">
      <c r="A354" s="563" t="s">
        <v>798</v>
      </c>
      <c r="B354" s="562"/>
      <c r="C354" s="562"/>
      <c r="D354" s="562"/>
      <c r="E354" s="562"/>
      <c r="F354" s="562"/>
      <c r="G354" s="562"/>
      <c r="H354" s="562"/>
    </row>
    <row r="355" spans="1:8">
      <c r="A355" s="563" t="s">
        <v>799</v>
      </c>
      <c r="B355" s="562"/>
      <c r="C355" s="562"/>
      <c r="D355" s="562"/>
      <c r="E355" s="562"/>
      <c r="F355" s="562"/>
      <c r="G355" s="562"/>
      <c r="H355" s="562"/>
    </row>
    <row r="356" spans="1:8">
      <c r="A356" s="563" t="s">
        <v>800</v>
      </c>
      <c r="B356" s="562"/>
      <c r="C356" s="562"/>
      <c r="D356" s="562"/>
      <c r="E356" s="562"/>
      <c r="F356" s="562"/>
      <c r="G356" s="562"/>
      <c r="H356" s="562"/>
    </row>
    <row r="357" spans="1:8">
      <c r="A357" s="563" t="s">
        <v>801</v>
      </c>
      <c r="B357" s="562"/>
      <c r="C357" s="562"/>
      <c r="D357" s="562"/>
      <c r="E357" s="562"/>
      <c r="F357" s="562"/>
      <c r="G357" s="562"/>
      <c r="H357" s="562"/>
    </row>
    <row r="358" spans="1:8">
      <c r="A358" s="563" t="s">
        <v>802</v>
      </c>
      <c r="B358" s="562"/>
      <c r="C358" s="562"/>
      <c r="D358" s="562"/>
      <c r="E358" s="562"/>
      <c r="F358" s="562"/>
      <c r="G358" s="562"/>
      <c r="H358" s="562"/>
    </row>
    <row r="359" spans="1:8">
      <c r="A359" s="563" t="s">
        <v>803</v>
      </c>
      <c r="B359" s="562"/>
      <c r="C359" s="562"/>
      <c r="D359" s="562"/>
      <c r="E359" s="562"/>
      <c r="F359" s="562"/>
      <c r="G359" s="562"/>
      <c r="H359" s="562"/>
    </row>
    <row r="360" spans="1:8">
      <c r="A360" s="563" t="s">
        <v>804</v>
      </c>
      <c r="B360" s="562"/>
      <c r="C360" s="562"/>
      <c r="D360" s="562"/>
      <c r="E360" s="562"/>
      <c r="F360" s="562"/>
      <c r="G360" s="562"/>
      <c r="H360" s="562"/>
    </row>
    <row r="361" spans="1:8">
      <c r="A361" s="563" t="s">
        <v>805</v>
      </c>
      <c r="B361" s="562"/>
      <c r="C361" s="562"/>
      <c r="D361" s="562"/>
      <c r="E361" s="562"/>
      <c r="F361" s="562"/>
      <c r="G361" s="562"/>
      <c r="H361" s="562"/>
    </row>
    <row r="362" spans="1:8">
      <c r="A362" s="563" t="s">
        <v>806</v>
      </c>
      <c r="B362" s="562"/>
      <c r="C362" s="562"/>
      <c r="D362" s="562"/>
      <c r="E362" s="562"/>
      <c r="F362" s="562"/>
      <c r="G362" s="562"/>
      <c r="H362" s="562"/>
    </row>
    <row r="363" spans="1:8">
      <c r="A363" s="563" t="s">
        <v>807</v>
      </c>
      <c r="B363" s="562"/>
      <c r="C363" s="562"/>
      <c r="D363" s="562"/>
      <c r="E363" s="562"/>
      <c r="F363" s="562"/>
      <c r="G363" s="562"/>
      <c r="H363" s="562"/>
    </row>
    <row r="364" spans="1:8">
      <c r="A364" s="563" t="s">
        <v>808</v>
      </c>
      <c r="B364" s="562"/>
      <c r="C364" s="562"/>
      <c r="D364" s="562"/>
      <c r="E364" s="562"/>
      <c r="F364" s="562"/>
      <c r="G364" s="562"/>
      <c r="H364" s="562"/>
    </row>
    <row r="365" spans="1:8">
      <c r="A365" s="563" t="s">
        <v>809</v>
      </c>
      <c r="B365" s="562"/>
      <c r="C365" s="562"/>
      <c r="D365" s="562"/>
      <c r="E365" s="562"/>
      <c r="F365" s="562"/>
      <c r="G365" s="562"/>
      <c r="H365" s="562"/>
    </row>
    <row r="366" spans="1:8">
      <c r="A366" s="563" t="s">
        <v>810</v>
      </c>
      <c r="B366" s="562"/>
      <c r="C366" s="562"/>
      <c r="D366" s="562"/>
      <c r="E366" s="562"/>
      <c r="F366" s="562"/>
      <c r="G366" s="562"/>
      <c r="H366" s="562"/>
    </row>
    <row r="367" spans="1:8">
      <c r="A367" s="563" t="s">
        <v>811</v>
      </c>
      <c r="B367" s="562"/>
      <c r="C367" s="562"/>
      <c r="D367" s="562"/>
      <c r="E367" s="562"/>
      <c r="F367" s="562"/>
      <c r="G367" s="562"/>
      <c r="H367" s="562"/>
    </row>
    <row r="368" spans="1:8">
      <c r="A368" s="563" t="s">
        <v>812</v>
      </c>
      <c r="B368" s="562"/>
      <c r="C368" s="562"/>
      <c r="D368" s="562"/>
      <c r="E368" s="562"/>
      <c r="F368" s="562"/>
      <c r="G368" s="562"/>
      <c r="H368" s="562"/>
    </row>
    <row r="369" spans="1:8">
      <c r="A369" s="563" t="s">
        <v>813</v>
      </c>
      <c r="B369" s="562"/>
      <c r="C369" s="562"/>
      <c r="D369" s="562"/>
      <c r="E369" s="562"/>
      <c r="F369" s="562"/>
      <c r="G369" s="562"/>
      <c r="H369" s="562"/>
    </row>
    <row r="370" spans="1:8">
      <c r="A370" s="563" t="s">
        <v>814</v>
      </c>
      <c r="B370" s="562"/>
      <c r="C370" s="562"/>
      <c r="D370" s="562"/>
      <c r="E370" s="562"/>
      <c r="F370" s="562"/>
      <c r="G370" s="562"/>
      <c r="H370" s="562"/>
    </row>
    <row r="371" spans="1:8">
      <c r="A371" s="563" t="s">
        <v>815</v>
      </c>
      <c r="B371" s="562"/>
      <c r="C371" s="562"/>
      <c r="D371" s="562"/>
      <c r="E371" s="562"/>
      <c r="F371" s="562"/>
      <c r="G371" s="562"/>
      <c r="H371" s="562"/>
    </row>
    <row r="372" spans="1:8">
      <c r="A372" s="563" t="s">
        <v>816</v>
      </c>
      <c r="B372" s="562"/>
      <c r="C372" s="562"/>
      <c r="D372" s="562"/>
      <c r="E372" s="562"/>
      <c r="F372" s="562"/>
      <c r="G372" s="562"/>
      <c r="H372" s="562"/>
    </row>
    <row r="373" spans="1:8">
      <c r="A373" s="563" t="s">
        <v>817</v>
      </c>
      <c r="B373" s="562"/>
      <c r="C373" s="562"/>
      <c r="D373" s="562"/>
      <c r="E373" s="562"/>
      <c r="F373" s="562"/>
      <c r="G373" s="562"/>
      <c r="H373" s="562"/>
    </row>
    <row r="374" spans="1:8">
      <c r="A374" s="562"/>
      <c r="B374" s="562"/>
      <c r="C374" s="562"/>
      <c r="D374" s="562"/>
      <c r="E374" s="562"/>
      <c r="F374" s="562"/>
      <c r="G374" s="562"/>
      <c r="H374" s="562"/>
    </row>
    <row r="375" spans="1:8">
      <c r="A375" s="563" t="s">
        <v>818</v>
      </c>
      <c r="B375" s="562"/>
      <c r="C375" s="562"/>
      <c r="D375" s="562"/>
      <c r="E375" s="562"/>
      <c r="F375" s="562"/>
      <c r="G375" s="562"/>
      <c r="H375" s="562"/>
    </row>
    <row r="376" spans="1:8">
      <c r="A376" s="563" t="s">
        <v>819</v>
      </c>
      <c r="B376" s="562"/>
      <c r="C376" s="562"/>
      <c r="D376" s="562"/>
      <c r="E376" s="562"/>
      <c r="F376" s="562"/>
      <c r="G376" s="562"/>
      <c r="H376" s="562"/>
    </row>
    <row r="377" spans="1:8">
      <c r="A377" s="563" t="s">
        <v>820</v>
      </c>
      <c r="B377" s="562"/>
      <c r="C377" s="562"/>
      <c r="D377" s="562"/>
      <c r="E377" s="562"/>
      <c r="F377" s="562"/>
      <c r="G377" s="562"/>
      <c r="H377" s="562"/>
    </row>
    <row r="378" spans="1:8">
      <c r="A378" s="563" t="s">
        <v>821</v>
      </c>
      <c r="B378" s="562"/>
      <c r="C378" s="562"/>
      <c r="D378" s="562"/>
      <c r="E378" s="562"/>
      <c r="F378" s="562"/>
      <c r="G378" s="562"/>
      <c r="H378" s="562"/>
    </row>
    <row r="379" spans="1:8">
      <c r="A379" s="563" t="s">
        <v>822</v>
      </c>
      <c r="B379" s="562"/>
      <c r="C379" s="562"/>
      <c r="D379" s="562"/>
      <c r="E379" s="562"/>
      <c r="F379" s="562"/>
      <c r="G379" s="562"/>
      <c r="H379" s="562"/>
    </row>
    <row r="380" spans="1:8">
      <c r="A380" s="563" t="s">
        <v>823</v>
      </c>
      <c r="B380" s="562"/>
      <c r="C380" s="562"/>
      <c r="D380" s="562"/>
      <c r="E380" s="562"/>
      <c r="F380" s="562"/>
      <c r="G380" s="562"/>
      <c r="H380" s="562"/>
    </row>
    <row r="381" spans="1:8">
      <c r="A381" s="563" t="s">
        <v>824</v>
      </c>
      <c r="B381" s="562"/>
      <c r="C381" s="562"/>
      <c r="D381" s="562"/>
      <c r="E381" s="562"/>
      <c r="F381" s="562"/>
      <c r="G381" s="562"/>
      <c r="H381" s="562"/>
    </row>
    <row r="382" spans="1:8">
      <c r="A382" s="563" t="s">
        <v>825</v>
      </c>
      <c r="B382" s="562"/>
      <c r="C382" s="562"/>
      <c r="D382" s="562"/>
      <c r="E382" s="562"/>
      <c r="F382" s="562"/>
      <c r="G382" s="562"/>
      <c r="H382" s="562"/>
    </row>
    <row r="383" spans="1:8">
      <c r="A383" s="562"/>
      <c r="B383" s="562"/>
      <c r="C383" s="562"/>
      <c r="D383" s="562"/>
      <c r="E383" s="562"/>
      <c r="F383" s="562"/>
      <c r="G383" s="562"/>
      <c r="H383" s="562"/>
    </row>
    <row r="384" spans="1:8">
      <c r="A384" s="563" t="s">
        <v>818</v>
      </c>
      <c r="B384" s="562"/>
      <c r="C384" s="562"/>
      <c r="D384" s="562"/>
      <c r="E384" s="562"/>
      <c r="F384" s="562"/>
      <c r="G384" s="562"/>
      <c r="H384" s="562"/>
    </row>
    <row r="385" spans="1:8">
      <c r="A385" s="563" t="s">
        <v>826</v>
      </c>
      <c r="B385" s="562"/>
      <c r="C385" s="562"/>
      <c r="D385" s="562"/>
      <c r="E385" s="562"/>
      <c r="F385" s="562"/>
      <c r="G385" s="562"/>
      <c r="H385" s="562"/>
    </row>
    <row r="386" spans="1:8">
      <c r="A386" s="563" t="s">
        <v>827</v>
      </c>
      <c r="B386" s="562"/>
      <c r="C386" s="562"/>
      <c r="D386" s="562"/>
      <c r="E386" s="562"/>
      <c r="F386" s="562"/>
      <c r="G386" s="562"/>
      <c r="H386" s="562"/>
    </row>
    <row r="387" spans="1:8">
      <c r="A387" s="563" t="s">
        <v>828</v>
      </c>
      <c r="B387" s="562"/>
      <c r="C387" s="562"/>
      <c r="D387" s="562"/>
      <c r="E387" s="562"/>
      <c r="F387" s="562"/>
      <c r="G387" s="562"/>
      <c r="H387" s="562"/>
    </row>
    <row r="388" spans="1:8">
      <c r="A388" s="562"/>
      <c r="B388" s="562"/>
      <c r="C388" s="562"/>
      <c r="D388" s="562"/>
      <c r="E388" s="562"/>
      <c r="F388" s="562"/>
      <c r="G388" s="562"/>
      <c r="H388" s="562"/>
    </row>
    <row r="389" spans="1:8">
      <c r="A389" s="563" t="s">
        <v>829</v>
      </c>
      <c r="B389" s="562"/>
      <c r="C389" s="562"/>
      <c r="D389" s="562"/>
      <c r="E389" s="562"/>
      <c r="F389" s="562"/>
      <c r="G389" s="562"/>
      <c r="H389" s="562"/>
    </row>
    <row r="390" spans="1:8">
      <c r="A390" s="563" t="s">
        <v>830</v>
      </c>
      <c r="B390" s="562"/>
      <c r="C390" s="562"/>
      <c r="D390" s="562"/>
      <c r="E390" s="562"/>
      <c r="F390" s="562"/>
      <c r="G390" s="562"/>
      <c r="H390" s="562"/>
    </row>
    <row r="391" spans="1:8">
      <c r="A391" s="563" t="s">
        <v>831</v>
      </c>
      <c r="B391" s="562"/>
      <c r="C391" s="562"/>
      <c r="D391" s="562"/>
      <c r="E391" s="562"/>
      <c r="F391" s="562"/>
      <c r="G391" s="562"/>
      <c r="H391" s="562"/>
    </row>
    <row r="392" spans="1:8">
      <c r="A392" s="563" t="s">
        <v>832</v>
      </c>
      <c r="B392" s="562"/>
      <c r="C392" s="562"/>
      <c r="D392" s="562"/>
      <c r="E392" s="562"/>
      <c r="F392" s="562"/>
      <c r="G392" s="562"/>
      <c r="H392" s="562"/>
    </row>
    <row r="393" spans="1:8">
      <c r="A393" s="563" t="s">
        <v>833</v>
      </c>
      <c r="B393" s="562"/>
      <c r="C393" s="562"/>
      <c r="D393" s="562"/>
      <c r="E393" s="562"/>
      <c r="F393" s="562"/>
      <c r="G393" s="562"/>
      <c r="H393" s="562"/>
    </row>
    <row r="394" spans="1:8">
      <c r="A394" s="563" t="s">
        <v>834</v>
      </c>
      <c r="B394" s="562"/>
      <c r="C394" s="562"/>
      <c r="D394" s="562"/>
      <c r="E394" s="562"/>
      <c r="F394" s="562"/>
      <c r="G394" s="562"/>
      <c r="H394" s="562"/>
    </row>
    <row r="395" spans="1:8">
      <c r="A395" s="562"/>
      <c r="B395" s="562"/>
      <c r="C395" s="562"/>
      <c r="D395" s="562"/>
      <c r="E395" s="562"/>
      <c r="F395" s="562"/>
      <c r="G395" s="562"/>
      <c r="H395" s="562"/>
    </row>
    <row r="396" spans="1:8">
      <c r="A396" s="563" t="s">
        <v>835</v>
      </c>
      <c r="B396" s="562"/>
      <c r="C396" s="562"/>
      <c r="D396" s="562"/>
      <c r="E396" s="562"/>
      <c r="F396" s="562"/>
      <c r="G396" s="562"/>
      <c r="H396" s="562"/>
    </row>
    <row r="397" spans="1:8">
      <c r="A397" s="563" t="s">
        <v>836</v>
      </c>
      <c r="B397" s="562"/>
      <c r="C397" s="562"/>
      <c r="D397" s="562"/>
      <c r="E397" s="562"/>
      <c r="F397" s="562"/>
      <c r="G397" s="562"/>
      <c r="H397" s="562"/>
    </row>
    <row r="398" spans="1:8">
      <c r="A398" s="563" t="s">
        <v>837</v>
      </c>
      <c r="B398" s="562"/>
      <c r="C398" s="562"/>
      <c r="D398" s="562"/>
      <c r="E398" s="562"/>
      <c r="F398" s="562"/>
      <c r="G398" s="562"/>
      <c r="H398" s="562"/>
    </row>
    <row r="399" spans="1:8">
      <c r="A399" s="563" t="s">
        <v>838</v>
      </c>
      <c r="B399" s="562"/>
      <c r="C399" s="562"/>
      <c r="D399" s="562"/>
      <c r="E399" s="562"/>
      <c r="F399" s="562"/>
      <c r="G399" s="562"/>
      <c r="H399" s="562"/>
    </row>
    <row r="400" spans="1:8">
      <c r="A400" s="563" t="s">
        <v>839</v>
      </c>
      <c r="B400" s="562"/>
      <c r="C400" s="562"/>
      <c r="D400" s="562"/>
      <c r="E400" s="562"/>
      <c r="F400" s="562"/>
      <c r="G400" s="562"/>
      <c r="H400" s="562"/>
    </row>
    <row r="401" spans="1:8">
      <c r="A401" s="562"/>
      <c r="B401" s="562"/>
      <c r="C401" s="562"/>
      <c r="D401" s="562"/>
      <c r="E401" s="562"/>
      <c r="F401" s="562"/>
      <c r="G401" s="562"/>
      <c r="H401" s="562"/>
    </row>
    <row r="402" spans="1:8">
      <c r="A402" s="563" t="s">
        <v>840</v>
      </c>
      <c r="B402" s="562"/>
      <c r="C402" s="562"/>
      <c r="D402" s="562"/>
      <c r="E402" s="562"/>
      <c r="F402" s="562"/>
      <c r="G402" s="562"/>
      <c r="H402" s="562"/>
    </row>
    <row r="403" spans="1:8">
      <c r="A403" s="563" t="s">
        <v>841</v>
      </c>
      <c r="B403" s="562"/>
      <c r="C403" s="562"/>
      <c r="D403" s="562"/>
      <c r="E403" s="562"/>
      <c r="F403" s="562"/>
      <c r="G403" s="562"/>
      <c r="H403" s="562"/>
    </row>
    <row r="404" spans="1:8">
      <c r="A404" s="562"/>
      <c r="B404" s="562"/>
      <c r="C404" s="562"/>
      <c r="D404" s="562"/>
      <c r="E404" s="562"/>
      <c r="F404" s="562"/>
      <c r="G404" s="562"/>
      <c r="H404" s="562"/>
    </row>
    <row r="405" spans="1:8">
      <c r="A405" s="563" t="s">
        <v>842</v>
      </c>
      <c r="B405" s="562"/>
      <c r="C405" s="562"/>
      <c r="D405" s="562"/>
      <c r="E405" s="562"/>
      <c r="F405" s="562"/>
      <c r="G405" s="562"/>
      <c r="H405" s="562"/>
    </row>
    <row r="406" spans="1:8">
      <c r="A406" s="563" t="s">
        <v>843</v>
      </c>
      <c r="B406" s="562"/>
      <c r="C406" s="562"/>
      <c r="D406" s="562"/>
      <c r="E406" s="562"/>
      <c r="F406" s="562"/>
      <c r="G406" s="562"/>
      <c r="H406" s="562"/>
    </row>
    <row r="407" spans="1:8">
      <c r="A407" s="562"/>
      <c r="B407" s="562"/>
      <c r="C407" s="562"/>
      <c r="D407" s="562"/>
      <c r="E407" s="562"/>
      <c r="F407" s="562"/>
      <c r="G407" s="562"/>
      <c r="H407" s="562"/>
    </row>
    <row r="408" spans="1:8">
      <c r="A408" s="563" t="s">
        <v>844</v>
      </c>
      <c r="B408" s="562"/>
      <c r="C408" s="562"/>
      <c r="D408" s="562"/>
      <c r="E408" s="562"/>
      <c r="F408" s="562"/>
      <c r="G408" s="562"/>
      <c r="H408" s="562"/>
    </row>
    <row r="409" spans="1:8">
      <c r="A409" s="563" t="s">
        <v>845</v>
      </c>
      <c r="B409" s="562"/>
      <c r="C409" s="562"/>
      <c r="D409" s="562"/>
      <c r="E409" s="562"/>
      <c r="F409" s="562"/>
      <c r="G409" s="562"/>
      <c r="H409" s="562"/>
    </row>
    <row r="410" spans="1:8">
      <c r="A410" s="563" t="s">
        <v>846</v>
      </c>
      <c r="B410" s="562"/>
      <c r="C410" s="562"/>
      <c r="D410" s="562"/>
      <c r="E410" s="562"/>
      <c r="F410" s="562"/>
      <c r="G410" s="562"/>
      <c r="H410" s="562"/>
    </row>
    <row r="411" spans="1:8">
      <c r="A411" s="563" t="s">
        <v>847</v>
      </c>
      <c r="B411" s="562"/>
      <c r="C411" s="562"/>
      <c r="D411" s="562"/>
      <c r="E411" s="562"/>
      <c r="F411" s="562"/>
      <c r="G411" s="562"/>
      <c r="H411" s="562"/>
    </row>
    <row r="412" spans="1:8">
      <c r="A412" s="562"/>
      <c r="B412" s="562"/>
      <c r="C412" s="562"/>
      <c r="D412" s="562"/>
      <c r="E412" s="562"/>
      <c r="F412" s="562"/>
      <c r="G412" s="562"/>
      <c r="H412" s="562"/>
    </row>
    <row r="413" spans="1:8">
      <c r="A413" s="563" t="s">
        <v>848</v>
      </c>
      <c r="B413" s="562"/>
      <c r="C413" s="562"/>
      <c r="D413" s="562"/>
      <c r="E413" s="562"/>
      <c r="F413" s="562"/>
      <c r="G413" s="562"/>
      <c r="H413" s="562"/>
    </row>
    <row r="414" spans="1:8">
      <c r="A414" s="563" t="s">
        <v>849</v>
      </c>
      <c r="B414" s="562"/>
      <c r="C414" s="562"/>
      <c r="D414" s="562"/>
      <c r="E414" s="562"/>
      <c r="F414" s="562"/>
      <c r="G414" s="562"/>
      <c r="H414" s="562"/>
    </row>
    <row r="415" spans="1:8">
      <c r="A415" s="562"/>
      <c r="B415" s="562"/>
      <c r="C415" s="562"/>
      <c r="D415" s="562"/>
      <c r="E415" s="562"/>
      <c r="F415" s="562"/>
      <c r="G415" s="562"/>
      <c r="H415" s="562"/>
    </row>
    <row r="416" spans="1:8">
      <c r="A416" s="563" t="s">
        <v>850</v>
      </c>
      <c r="B416" s="562"/>
      <c r="C416" s="562"/>
      <c r="D416" s="562"/>
      <c r="E416" s="562"/>
      <c r="F416" s="562"/>
      <c r="G416" s="562"/>
      <c r="H416" s="562"/>
    </row>
    <row r="417" spans="1:8">
      <c r="A417" s="563" t="s">
        <v>851</v>
      </c>
      <c r="B417" s="562"/>
      <c r="C417" s="562"/>
      <c r="D417" s="562"/>
      <c r="E417" s="562"/>
      <c r="F417" s="562"/>
      <c r="G417" s="562"/>
      <c r="H417" s="562"/>
    </row>
    <row r="418" spans="1:8">
      <c r="A418" s="563" t="s">
        <v>852</v>
      </c>
      <c r="B418" s="562"/>
      <c r="C418" s="562"/>
      <c r="D418" s="562"/>
      <c r="E418" s="562"/>
      <c r="F418" s="562"/>
      <c r="G418" s="562"/>
      <c r="H418" s="562"/>
    </row>
    <row r="419" spans="1:8">
      <c r="A419" s="563" t="s">
        <v>853</v>
      </c>
      <c r="B419" s="562"/>
      <c r="C419" s="562"/>
      <c r="D419" s="562"/>
      <c r="E419" s="562"/>
      <c r="F419" s="562"/>
      <c r="G419" s="562"/>
      <c r="H419" s="562"/>
    </row>
    <row r="421" spans="1:8">
      <c r="A421" s="566" t="s">
        <v>854</v>
      </c>
    </row>
  </sheetData>
  <mergeCells count="3">
    <mergeCell ref="B124:C124"/>
    <mergeCell ref="D124:F124"/>
    <mergeCell ref="G124:H12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140"/>
  <sheetViews>
    <sheetView showGridLines="0" zoomScale="80" zoomScaleNormal="80" workbookViewId="0">
      <pane xSplit="1" ySplit="2" topLeftCell="B3" activePane="bottomRight" state="frozen"/>
      <selection activeCell="Q38" sqref="Q38"/>
      <selection pane="topRight" activeCell="Q38" sqref="Q38"/>
      <selection pane="bottomLeft" activeCell="Q38" sqref="Q38"/>
      <selection pane="bottomRight" activeCell="AD11" sqref="AD11"/>
    </sheetView>
  </sheetViews>
  <sheetFormatPr defaultRowHeight="15"/>
  <cols>
    <col min="1" max="1" width="47.85546875" customWidth="1"/>
    <col min="2" max="19" width="12.140625" style="25" hidden="1" customWidth="1"/>
    <col min="20" max="28" width="12.140625" style="25" customWidth="1"/>
  </cols>
  <sheetData>
    <row r="1" spans="1:28">
      <c r="A1" s="14" t="s">
        <v>140</v>
      </c>
      <c r="B1" s="71"/>
      <c r="C1" s="71"/>
      <c r="D1" s="71"/>
      <c r="E1" s="71"/>
      <c r="F1" s="71"/>
      <c r="G1" s="71"/>
      <c r="H1" s="71"/>
      <c r="I1" s="71"/>
      <c r="J1" s="71"/>
      <c r="K1" s="71"/>
      <c r="L1" s="71"/>
      <c r="M1" s="71"/>
      <c r="N1" s="71"/>
      <c r="O1" s="71"/>
      <c r="P1" s="71"/>
      <c r="Q1" s="71"/>
      <c r="R1" s="71"/>
      <c r="S1" s="71"/>
      <c r="T1" s="71"/>
      <c r="U1" s="71"/>
      <c r="V1" s="71"/>
      <c r="W1" s="71"/>
      <c r="X1" s="71"/>
      <c r="Y1" s="71"/>
      <c r="Z1" s="71"/>
      <c r="AA1" s="71"/>
      <c r="AB1" s="71"/>
    </row>
    <row r="2" spans="1:28">
      <c r="B2" s="174" t="str">
        <f>ProForma_IS_Annual!B2</f>
        <v>CY2000A</v>
      </c>
      <c r="C2" s="174" t="str">
        <f>ProForma_IS_Annual!C2</f>
        <v>CY2001A</v>
      </c>
      <c r="D2" s="174" t="str">
        <f>ProForma_IS_Annual!D2</f>
        <v>CY2002A</v>
      </c>
      <c r="E2" s="174" t="str">
        <f>ProForma_IS_Annual!E2</f>
        <v>CY2003A</v>
      </c>
      <c r="F2" s="174" t="str">
        <f>ProForma_IS_Annual!F2</f>
        <v>CY2004A</v>
      </c>
      <c r="G2" s="174" t="str">
        <f>ProForma_IS_Annual!G2</f>
        <v>CY2005A</v>
      </c>
      <c r="H2" s="174" t="str">
        <f>ProForma_IS_Annual!H2</f>
        <v>CY2006A</v>
      </c>
      <c r="I2" s="174" t="str">
        <f>ProForma_IS_Annual!I2</f>
        <v>CY2007A</v>
      </c>
      <c r="J2" s="174" t="str">
        <f>ProForma_IS_Annual!J2</f>
        <v>CY2008A</v>
      </c>
      <c r="K2" s="174" t="str">
        <f>ProForma_IS_Annual!K2</f>
        <v>CY2009A</v>
      </c>
      <c r="L2" s="174" t="str">
        <f>ProForma_IS_Annual!L2</f>
        <v>CY2010A</v>
      </c>
      <c r="M2" s="174" t="str">
        <f>ProForma_IS_Annual!M2</f>
        <v>CY2011A</v>
      </c>
      <c r="N2" s="174" t="str">
        <f>ProForma_IS_Annual!N2</f>
        <v>CY2012A</v>
      </c>
      <c r="O2" s="174" t="str">
        <f>ProForma_IS_Annual!O2</f>
        <v>CY2013A</v>
      </c>
      <c r="P2" s="174" t="str">
        <f>ProForma_IS_Annual!P2</f>
        <v>CY2014A</v>
      </c>
      <c r="Q2" s="174" t="str">
        <f>ProForma_IS_Annual!Q2</f>
        <v>CY2015A</v>
      </c>
      <c r="R2" s="174" t="str">
        <f>ProForma_IS_Annual!R2</f>
        <v>CY2016A</v>
      </c>
      <c r="S2" s="174" t="str">
        <f>ProForma_IS_Annual!S2</f>
        <v>CY2017A</v>
      </c>
      <c r="T2" s="174" t="str">
        <f>ProForma_IS_Annual!T2</f>
        <v>CY2018A</v>
      </c>
      <c r="U2" s="174" t="str">
        <f>ProForma_IS_Annual!U2</f>
        <v>CY2019A</v>
      </c>
      <c r="V2" s="174" t="str">
        <f>ProForma_IS_Annual!V2</f>
        <v>CY2020A</v>
      </c>
      <c r="W2" s="174" t="str">
        <f>ProForma_IS_Annual!W2</f>
        <v>CY2021A</v>
      </c>
      <c r="X2" s="174" t="str">
        <f>ProForma_IS_Annual!X2</f>
        <v>CY2022A</v>
      </c>
      <c r="Y2" s="174" t="str">
        <f>ProForma_IS_Annual!Y2</f>
        <v>CY2023A</v>
      </c>
      <c r="Z2" s="174" t="str">
        <f>ProForma_IS_Annual!Z2</f>
        <v>CY2024A</v>
      </c>
      <c r="AA2" s="110" t="str">
        <f>ProForma_IS_Annual!AA2</f>
        <v>CY2025A</v>
      </c>
      <c r="AB2" s="110" t="str">
        <f>ProForma_IS_Annual!AB2</f>
        <v>CY2026E</v>
      </c>
    </row>
    <row r="3" spans="1:28">
      <c r="A3" s="8" t="s">
        <v>141</v>
      </c>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24"/>
      <c r="AB3" s="24"/>
    </row>
    <row r="4" spans="1:28">
      <c r="A4" s="1" t="s">
        <v>142</v>
      </c>
      <c r="B4" s="131">
        <f>ProForma_IS_Annual!B9</f>
        <v>0</v>
      </c>
      <c r="C4" s="131">
        <f>ProForma_IS_Annual!C9</f>
        <v>0</v>
      </c>
      <c r="D4" s="131">
        <f>ProForma_IS_Annual!D9</f>
        <v>0</v>
      </c>
      <c r="E4" s="131">
        <f>ProForma_IS_Annual!E9</f>
        <v>0</v>
      </c>
      <c r="F4" s="131">
        <f>ProForma_IS_Annual!F9</f>
        <v>0</v>
      </c>
      <c r="G4" s="131">
        <f>ProForma_IS_Annual!G9</f>
        <v>0</v>
      </c>
      <c r="H4" s="131">
        <f>ProForma_IS_Annual!H9</f>
        <v>0</v>
      </c>
      <c r="I4" s="131">
        <f>ProForma_IS_Annual!I9</f>
        <v>0</v>
      </c>
      <c r="J4" s="131">
        <f>ProForma_IS_Annual!J9</f>
        <v>0</v>
      </c>
      <c r="K4" s="131">
        <f>ProForma_IS_Annual!K9</f>
        <v>0</v>
      </c>
      <c r="L4" s="131">
        <f>ProForma_IS_Annual!L9</f>
        <v>12935</v>
      </c>
      <c r="M4" s="131">
        <f>ProForma_IS_Annual!M9</f>
        <v>17471</v>
      </c>
      <c r="N4" s="131">
        <f>ProForma_IS_Annual!N9</f>
        <v>48587</v>
      </c>
      <c r="O4" s="131">
        <f>ProForma_IS_Annual!O9</f>
        <v>53352</v>
      </c>
      <c r="P4" s="131">
        <f>ProForma_IS_Annual!P9</f>
        <v>53078</v>
      </c>
      <c r="Q4" s="131">
        <f>ProForma_IS_Annual!Q9</f>
        <v>52838</v>
      </c>
      <c r="R4" s="131">
        <f>ProForma_IS_Annual!R9</f>
        <v>54519</v>
      </c>
      <c r="S4" s="131">
        <f>ProForma_IS_Annual!S9</f>
        <v>57434</v>
      </c>
      <c r="T4" s="131">
        <f>ProForma_IS_Annual!T9</f>
        <v>63979</v>
      </c>
      <c r="U4" s="131">
        <f>ProForma_IS_Annual!U9</f>
        <v>74237</v>
      </c>
      <c r="V4" s="131">
        <f>ProForma_IS_Annual!V9</f>
        <v>64665</v>
      </c>
      <c r="W4" s="131">
        <f>ProForma_IS_Annual!W9</f>
        <v>64388</v>
      </c>
      <c r="X4" s="131">
        <f>ProForma_IS_Annual!X9</f>
        <v>67074</v>
      </c>
      <c r="Y4" s="131">
        <f>ProForma_IS_Annual!Y9</f>
        <v>74305</v>
      </c>
      <c r="Z4" s="131">
        <f>ProForma_IS_Annual!Z9</f>
        <v>80808</v>
      </c>
      <c r="AA4" s="169">
        <f>ProForma_IS_Annual!AA9</f>
        <v>88603</v>
      </c>
      <c r="AB4" s="169">
        <f>ProForma_IS_Annual!AB9</f>
        <v>95993.96699999999</v>
      </c>
    </row>
    <row r="5" spans="1:28">
      <c r="A5" s="1" t="s">
        <v>143</v>
      </c>
      <c r="B5" s="130">
        <f>ProForma_IS_Annual!B10</f>
        <v>0</v>
      </c>
      <c r="C5" s="130" t="str">
        <f>ProForma_IS_Annual!C10</f>
        <v>NM</v>
      </c>
      <c r="D5" s="130" t="str">
        <f>ProForma_IS_Annual!D10</f>
        <v>NM</v>
      </c>
      <c r="E5" s="130" t="str">
        <f>ProForma_IS_Annual!E10</f>
        <v>NM</v>
      </c>
      <c r="F5" s="130" t="str">
        <f>ProForma_IS_Annual!F10</f>
        <v>NM</v>
      </c>
      <c r="G5" s="130" t="str">
        <f>ProForma_IS_Annual!G10</f>
        <v>NM</v>
      </c>
      <c r="H5" s="130" t="str">
        <f>ProForma_IS_Annual!H10</f>
        <v>NM</v>
      </c>
      <c r="I5" s="130" t="str">
        <f>ProForma_IS_Annual!I10</f>
        <v>NM</v>
      </c>
      <c r="J5" s="130" t="str">
        <f>ProForma_IS_Annual!J10</f>
        <v>NM</v>
      </c>
      <c r="K5" s="130" t="str">
        <f>ProForma_IS_Annual!K10</f>
        <v>NM</v>
      </c>
      <c r="L5" s="130" t="str">
        <f>ProForma_IS_Annual!L10</f>
        <v>NM</v>
      </c>
      <c r="M5" s="130">
        <f>ProForma_IS_Annual!M10</f>
        <v>0.3506764592191729</v>
      </c>
      <c r="N5" s="130">
        <f>ProForma_IS_Annual!N10</f>
        <v>1.7810085284185222</v>
      </c>
      <c r="O5" s="130">
        <f>ProForma_IS_Annual!O10</f>
        <v>9.8071500607158191E-2</v>
      </c>
      <c r="P5" s="130">
        <f>ProForma_IS_Annual!P10</f>
        <v>-5.1357025041235405E-3</v>
      </c>
      <c r="Q5" s="130">
        <f>ProForma_IS_Annual!Q10</f>
        <v>-4.5216473868646689E-3</v>
      </c>
      <c r="R5" s="130">
        <f>ProForma_IS_Annual!R10</f>
        <v>3.1814224611075304E-2</v>
      </c>
      <c r="S5" s="130">
        <f>ProForma_IS_Annual!S10</f>
        <v>5.3467598451915954E-2</v>
      </c>
      <c r="T5" s="130">
        <f>ProForma_IS_Annual!T10</f>
        <v>0.11395688964724737</v>
      </c>
      <c r="U5" s="130">
        <f>ProForma_IS_Annual!U10</f>
        <v>0.16033385954766399</v>
      </c>
      <c r="V5" s="130">
        <f>ProForma_IS_Annual!V10</f>
        <v>-0.12893839998922374</v>
      </c>
      <c r="W5" s="130">
        <f>ProForma_IS_Annual!W10</f>
        <v>-4.283615557101994E-3</v>
      </c>
      <c r="X5" s="130">
        <f>ProForma_IS_Annual!X10</f>
        <v>4.1715847673479578E-2</v>
      </c>
      <c r="Y5" s="130">
        <f>ProForma_IS_Annual!Y10</f>
        <v>0.10780630348570241</v>
      </c>
      <c r="Z5" s="130">
        <f>ProForma_IS_Annual!Z10</f>
        <v>8.7517663683466695E-2</v>
      </c>
      <c r="AA5" s="186">
        <f>ProForma_IS_Annual!AA10</f>
        <v>9.6463221463221505E-2</v>
      </c>
      <c r="AB5" s="186">
        <f>ProForma_IS_Annual!AB10</f>
        <v>8.3416667607191464E-2</v>
      </c>
    </row>
    <row r="6" spans="1:28">
      <c r="A6" s="1" t="s">
        <v>40</v>
      </c>
      <c r="B6" s="131">
        <f>ProForma_IS_Annual!B82</f>
        <v>0</v>
      </c>
      <c r="C6" s="131">
        <f>ProForma_IS_Annual!C82</f>
        <v>0</v>
      </c>
      <c r="D6" s="131">
        <f>ProForma_IS_Annual!D82</f>
        <v>0</v>
      </c>
      <c r="E6" s="131">
        <f>ProForma_IS_Annual!E82</f>
        <v>0</v>
      </c>
      <c r="F6" s="131">
        <f>ProForma_IS_Annual!F82</f>
        <v>0</v>
      </c>
      <c r="G6" s="131">
        <f>ProForma_IS_Annual!G82</f>
        <v>0</v>
      </c>
      <c r="H6" s="131">
        <f>ProForma_IS_Annual!H82</f>
        <v>0</v>
      </c>
      <c r="I6" s="131">
        <f>ProForma_IS_Annual!I82</f>
        <v>0</v>
      </c>
      <c r="J6" s="131">
        <f>ProForma_IS_Annual!J82</f>
        <v>0</v>
      </c>
      <c r="K6" s="131">
        <f>ProForma_IS_Annual!K82</f>
        <v>0</v>
      </c>
      <c r="L6" s="131">
        <f>ProForma_IS_Annual!L82</f>
        <v>0</v>
      </c>
      <c r="M6" s="131">
        <f>ProForma_IS_Annual!M82</f>
        <v>0</v>
      </c>
      <c r="N6" s="131">
        <f>ProForma_IS_Annual!N82</f>
        <v>0</v>
      </c>
      <c r="O6" s="131">
        <f>ProForma_IS_Annual!O82</f>
        <v>0</v>
      </c>
      <c r="P6" s="131">
        <f>ProForma_IS_Annual!P82</f>
        <v>0</v>
      </c>
      <c r="Q6" s="131">
        <f>ProForma_IS_Annual!Q82</f>
        <v>0</v>
      </c>
      <c r="R6" s="131">
        <f>ProForma_IS_Annual!R82</f>
        <v>0</v>
      </c>
      <c r="S6" s="131">
        <f>ProForma_IS_Annual!S82</f>
        <v>0</v>
      </c>
      <c r="T6" s="131">
        <f>ProForma_IS_Annual!T82</f>
        <v>0</v>
      </c>
      <c r="U6" s="131">
        <f>ProForma_IS_Annual!U82</f>
        <v>14015</v>
      </c>
      <c r="V6" s="131">
        <f>ProForma_IS_Annual!V82</f>
        <v>10574</v>
      </c>
      <c r="W6" s="131">
        <f>ProForma_IS_Annual!W82</f>
        <v>11820</v>
      </c>
      <c r="X6" s="131">
        <f>ProForma_IS_Annual!X82</f>
        <v>11931</v>
      </c>
      <c r="Y6" s="131">
        <f>ProForma_IS_Annual!Y82</f>
        <v>13106</v>
      </c>
      <c r="Z6" s="131">
        <f>ProForma_IS_Annual!Z82</f>
        <v>14547</v>
      </c>
      <c r="AA6" s="169">
        <f>ProForma_IS_Annual!AA82</f>
        <v>15767</v>
      </c>
      <c r="AB6" s="169">
        <f>ProForma_IS_Annual!AB82</f>
        <v>17127.731147000002</v>
      </c>
    </row>
    <row r="7" spans="1:28">
      <c r="A7" s="1" t="s">
        <v>41</v>
      </c>
      <c r="B7" s="130">
        <f>ProForma_IS_Annual!B83</f>
        <v>0</v>
      </c>
      <c r="C7" s="130">
        <f>ProForma_IS_Annual!C83</f>
        <v>0</v>
      </c>
      <c r="D7" s="130">
        <f>ProForma_IS_Annual!D83</f>
        <v>0</v>
      </c>
      <c r="E7" s="130">
        <f>ProForma_IS_Annual!E83</f>
        <v>0</v>
      </c>
      <c r="F7" s="130">
        <f>ProForma_IS_Annual!F83</f>
        <v>0</v>
      </c>
      <c r="G7" s="130">
        <f>ProForma_IS_Annual!G83</f>
        <v>0</v>
      </c>
      <c r="H7" s="130">
        <f>ProForma_IS_Annual!H83</f>
        <v>0</v>
      </c>
      <c r="I7" s="130">
        <f>ProForma_IS_Annual!I83</f>
        <v>0</v>
      </c>
      <c r="J7" s="130">
        <f>ProForma_IS_Annual!J83</f>
        <v>0</v>
      </c>
      <c r="K7" s="130">
        <f>ProForma_IS_Annual!K83</f>
        <v>0</v>
      </c>
      <c r="L7" s="130">
        <f>ProForma_IS_Annual!L83</f>
        <v>0</v>
      </c>
      <c r="M7" s="130">
        <f>ProForma_IS_Annual!M83</f>
        <v>0</v>
      </c>
      <c r="N7" s="130">
        <f>ProForma_IS_Annual!N83</f>
        <v>0</v>
      </c>
      <c r="O7" s="130">
        <f>ProForma_IS_Annual!O83</f>
        <v>0</v>
      </c>
      <c r="P7" s="130">
        <f>ProForma_IS_Annual!P83</f>
        <v>0</v>
      </c>
      <c r="Q7" s="130">
        <f>ProForma_IS_Annual!Q83</f>
        <v>0</v>
      </c>
      <c r="R7" s="130">
        <f>ProForma_IS_Annual!R83</f>
        <v>0</v>
      </c>
      <c r="S7" s="130">
        <f>ProForma_IS_Annual!S83</f>
        <v>0</v>
      </c>
      <c r="T7" s="130">
        <f>ProForma_IS_Annual!T83</f>
        <v>0</v>
      </c>
      <c r="U7" s="130">
        <f>ProForma_IS_Annual!U83</f>
        <v>0.18878726241631533</v>
      </c>
      <c r="V7" s="130">
        <f>ProForma_IS_Annual!V83</f>
        <v>0.16351967834222531</v>
      </c>
      <c r="W7" s="130">
        <f>ProForma_IS_Annual!W83</f>
        <v>0.18357457911412065</v>
      </c>
      <c r="X7" s="130">
        <f>ProForma_IS_Annual!X83</f>
        <v>0.17787816441542179</v>
      </c>
      <c r="Y7" s="130">
        <f>ProForma_IS_Annual!Y83</f>
        <v>0.17638113182154633</v>
      </c>
      <c r="Z7" s="130">
        <f>ProForma_IS_Annual!Z83</f>
        <v>0.18001930501930502</v>
      </c>
      <c r="AA7" s="186">
        <f>ProForma_IS_Annual!AA83</f>
        <v>0.17795108517770278</v>
      </c>
      <c r="AB7" s="186">
        <f>ProForma_IS_Annual!AB83</f>
        <v>0.17842507901564278</v>
      </c>
    </row>
    <row r="8" spans="1:28">
      <c r="A8" s="1" t="s">
        <v>144</v>
      </c>
      <c r="B8" s="131">
        <f>ProForma_IS_Annual!B28</f>
        <v>0</v>
      </c>
      <c r="C8" s="131">
        <f>ProForma_IS_Annual!C28</f>
        <v>0</v>
      </c>
      <c r="D8" s="131">
        <f>ProForma_IS_Annual!D28</f>
        <v>0</v>
      </c>
      <c r="E8" s="131">
        <f>ProForma_IS_Annual!E28</f>
        <v>0</v>
      </c>
      <c r="F8" s="131">
        <f>ProForma_IS_Annual!F28</f>
        <v>0</v>
      </c>
      <c r="G8" s="131">
        <f>ProForma_IS_Annual!G28</f>
        <v>0</v>
      </c>
      <c r="H8" s="131">
        <f>ProForma_IS_Annual!H28</f>
        <v>0</v>
      </c>
      <c r="I8" s="131">
        <f>ProForma_IS_Annual!I28</f>
        <v>0</v>
      </c>
      <c r="J8" s="131">
        <f>ProForma_IS_Annual!J28</f>
        <v>0</v>
      </c>
      <c r="K8" s="131">
        <f>ProForma_IS_Annual!K28</f>
        <v>0</v>
      </c>
      <c r="L8" s="131">
        <f>ProForma_IS_Annual!L28</f>
        <v>0</v>
      </c>
      <c r="M8" s="131">
        <f>ProForma_IS_Annual!M28</f>
        <v>0</v>
      </c>
      <c r="N8" s="131">
        <f>ProForma_IS_Annual!N28</f>
        <v>0</v>
      </c>
      <c r="O8" s="131">
        <f>ProForma_IS_Annual!O28</f>
        <v>0</v>
      </c>
      <c r="P8" s="131">
        <f>ProForma_IS_Annual!P28</f>
        <v>0</v>
      </c>
      <c r="Q8" s="131">
        <f>ProForma_IS_Annual!Q28</f>
        <v>0</v>
      </c>
      <c r="R8" s="131">
        <f>ProForma_IS_Annual!R28</f>
        <v>0</v>
      </c>
      <c r="S8" s="131">
        <f>ProForma_IS_Annual!S28</f>
        <v>0</v>
      </c>
      <c r="T8" s="131">
        <f>ProForma_IS_Annual!T28</f>
        <v>0</v>
      </c>
      <c r="U8" s="131">
        <f>ProForma_IS_Annual!U28</f>
        <v>11307</v>
      </c>
      <c r="V8" s="131">
        <f>ProForma_IS_Annual!V28</f>
        <v>6418</v>
      </c>
      <c r="W8" s="131">
        <f>ProForma_IS_Annual!W28</f>
        <v>7263</v>
      </c>
      <c r="X8" s="131">
        <f>ProForma_IS_Annual!X28</f>
        <v>7823</v>
      </c>
      <c r="Y8" s="131">
        <f>ProForma_IS_Annual!Y28</f>
        <v>8895</v>
      </c>
      <c r="Z8" s="131">
        <f>ProForma_IS_Annual!Z28</f>
        <v>10183</v>
      </c>
      <c r="AA8" s="169">
        <f>ProForma_IS_Annual!AA28</f>
        <v>11389</v>
      </c>
      <c r="AB8" s="169">
        <f>ProForma_IS_Annual!AB28</f>
        <v>12913.287147000001</v>
      </c>
    </row>
    <row r="9" spans="1:28">
      <c r="A9" s="1" t="s">
        <v>145</v>
      </c>
      <c r="B9" s="130">
        <f>ProForma_IS_Annual!B29</f>
        <v>0</v>
      </c>
      <c r="C9" s="130">
        <f>ProForma_IS_Annual!C29</f>
        <v>0</v>
      </c>
      <c r="D9" s="130">
        <f>ProForma_IS_Annual!D29</f>
        <v>0</v>
      </c>
      <c r="E9" s="130">
        <f>ProForma_IS_Annual!E29</f>
        <v>0</v>
      </c>
      <c r="F9" s="130">
        <f>ProForma_IS_Annual!F29</f>
        <v>0</v>
      </c>
      <c r="G9" s="130">
        <f>ProForma_IS_Annual!G29</f>
        <v>0</v>
      </c>
      <c r="H9" s="130">
        <f>ProForma_IS_Annual!H29</f>
        <v>0</v>
      </c>
      <c r="I9" s="130">
        <f>ProForma_IS_Annual!I29</f>
        <v>0</v>
      </c>
      <c r="J9" s="130">
        <f>ProForma_IS_Annual!J29</f>
        <v>0</v>
      </c>
      <c r="K9" s="130">
        <f>ProForma_IS_Annual!K29</f>
        <v>0</v>
      </c>
      <c r="L9" s="130">
        <f>ProForma_IS_Annual!L29</f>
        <v>0</v>
      </c>
      <c r="M9" s="130">
        <f>ProForma_IS_Annual!M29</f>
        <v>0</v>
      </c>
      <c r="N9" s="130">
        <f>ProForma_IS_Annual!N29</f>
        <v>0</v>
      </c>
      <c r="O9" s="130">
        <f>ProForma_IS_Annual!O29</f>
        <v>0</v>
      </c>
      <c r="P9" s="130">
        <f>ProForma_IS_Annual!P29</f>
        <v>0</v>
      </c>
      <c r="Q9" s="130">
        <f>ProForma_IS_Annual!Q29</f>
        <v>0</v>
      </c>
      <c r="R9" s="130">
        <f>ProForma_IS_Annual!R29</f>
        <v>0</v>
      </c>
      <c r="S9" s="130">
        <f>ProForma_IS_Annual!S29</f>
        <v>0</v>
      </c>
      <c r="T9" s="130">
        <f>ProForma_IS_Annual!T29</f>
        <v>0</v>
      </c>
      <c r="U9" s="130">
        <f>ProForma_IS_Annual!U29</f>
        <v>0.15230949526516427</v>
      </c>
      <c r="V9" s="130">
        <f>ProForma_IS_Annual!V29</f>
        <v>9.9249980669604887E-2</v>
      </c>
      <c r="W9" s="130">
        <f>ProForma_IS_Annual!W29</f>
        <v>0.11280052183636702</v>
      </c>
      <c r="X9" s="130">
        <f>ProForma_IS_Annual!X29</f>
        <v>0.11663237618153084</v>
      </c>
      <c r="Y9" s="130">
        <f>ProForma_IS_Annual!Y29</f>
        <v>0.11970930623780365</v>
      </c>
      <c r="Z9" s="130">
        <f>ProForma_IS_Annual!Z29</f>
        <v>0.12601475101475101</v>
      </c>
      <c r="AA9" s="186">
        <f>ProForma_IS_Annual!AA29</f>
        <v>0.12853966569980702</v>
      </c>
      <c r="AB9" s="186">
        <f>ProForma_IS_Annual!AB29</f>
        <v>0.13452186163949242</v>
      </c>
    </row>
    <row r="10" spans="1:28">
      <c r="A10" s="1" t="s">
        <v>51</v>
      </c>
      <c r="B10" s="131">
        <f>ProForma_IS_Annual!B34</f>
        <v>0</v>
      </c>
      <c r="C10" s="131">
        <f>ProForma_IS_Annual!C34</f>
        <v>0</v>
      </c>
      <c r="D10" s="131">
        <f>ProForma_IS_Annual!D34</f>
        <v>0</v>
      </c>
      <c r="E10" s="131">
        <f>ProForma_IS_Annual!E34</f>
        <v>0</v>
      </c>
      <c r="F10" s="131">
        <f>ProForma_IS_Annual!F34</f>
        <v>0</v>
      </c>
      <c r="G10" s="131">
        <f>ProForma_IS_Annual!G34</f>
        <v>0</v>
      </c>
      <c r="H10" s="131">
        <f>ProForma_IS_Annual!H34</f>
        <v>0</v>
      </c>
      <c r="I10" s="131">
        <f>ProForma_IS_Annual!I34</f>
        <v>0</v>
      </c>
      <c r="J10" s="131">
        <f>ProForma_IS_Annual!J34</f>
        <v>0</v>
      </c>
      <c r="K10" s="131">
        <f>ProForma_IS_Annual!K34</f>
        <v>0</v>
      </c>
      <c r="L10" s="131">
        <f>ProForma_IS_Annual!L34</f>
        <v>0</v>
      </c>
      <c r="M10" s="131">
        <f>ProForma_IS_Annual!M34</f>
        <v>0</v>
      </c>
      <c r="N10" s="131">
        <f>ProForma_IS_Annual!N34</f>
        <v>0</v>
      </c>
      <c r="O10" s="131">
        <f>ProForma_IS_Annual!O34</f>
        <v>0</v>
      </c>
      <c r="P10" s="131">
        <f>ProForma_IS_Annual!P34</f>
        <v>0</v>
      </c>
      <c r="Q10" s="131">
        <f>ProForma_IS_Annual!Q34</f>
        <v>0</v>
      </c>
      <c r="R10" s="131">
        <f>ProForma_IS_Annual!R34</f>
        <v>0</v>
      </c>
      <c r="S10" s="131">
        <f>ProForma_IS_Annual!S34</f>
        <v>0</v>
      </c>
      <c r="T10" s="131">
        <f>ProForma_IS_Annual!T34</f>
        <v>0</v>
      </c>
      <c r="U10" s="131">
        <f>ProForma_IS_Annual!U34</f>
        <v>9625</v>
      </c>
      <c r="V10" s="131">
        <f>ProForma_IS_Annual!V34</f>
        <v>6170</v>
      </c>
      <c r="W10" s="131">
        <f>ProForma_IS_Annual!W34</f>
        <v>7902</v>
      </c>
      <c r="X10" s="131">
        <f>ProForma_IS_Annual!X34</f>
        <v>8443</v>
      </c>
      <c r="Y10" s="131">
        <f>ProForma_IS_Annual!Y34</f>
        <v>9161</v>
      </c>
      <c r="Z10" s="131">
        <f>ProForma_IS_Annual!Z34</f>
        <v>9772.1265822784808</v>
      </c>
      <c r="AA10" s="169">
        <f>ProForma_IS_Annual!AA34</f>
        <v>10802.949367088608</v>
      </c>
      <c r="AB10" s="169">
        <f>ProForma_IS_Annual!AB34</f>
        <v>12688.706959500001</v>
      </c>
    </row>
    <row r="11" spans="1:28">
      <c r="A11" s="1" t="s">
        <v>52</v>
      </c>
      <c r="B11" s="130">
        <f>ProForma_IS_Annual!B38</f>
        <v>0</v>
      </c>
      <c r="C11" s="130">
        <f>ProForma_IS_Annual!C38</f>
        <v>0</v>
      </c>
      <c r="D11" s="130">
        <f>ProForma_IS_Annual!D38</f>
        <v>0</v>
      </c>
      <c r="E11" s="130">
        <f>ProForma_IS_Annual!E38</f>
        <v>0</v>
      </c>
      <c r="F11" s="130">
        <f>ProForma_IS_Annual!F38</f>
        <v>0</v>
      </c>
      <c r="G11" s="130">
        <f>ProForma_IS_Annual!G38</f>
        <v>0</v>
      </c>
      <c r="H11" s="130">
        <f>ProForma_IS_Annual!H38</f>
        <v>0</v>
      </c>
      <c r="I11" s="130">
        <f>ProForma_IS_Annual!I38</f>
        <v>0</v>
      </c>
      <c r="J11" s="130">
        <f>ProForma_IS_Annual!J38</f>
        <v>0</v>
      </c>
      <c r="K11" s="130">
        <f>ProForma_IS_Annual!K38</f>
        <v>0</v>
      </c>
      <c r="L11" s="130">
        <f>ProForma_IS_Annual!L38</f>
        <v>0</v>
      </c>
      <c r="M11" s="130">
        <f>ProForma_IS_Annual!M38</f>
        <v>0</v>
      </c>
      <c r="N11" s="130">
        <f>ProForma_IS_Annual!N38</f>
        <v>0</v>
      </c>
      <c r="O11" s="130">
        <f>ProForma_IS_Annual!O38</f>
        <v>0</v>
      </c>
      <c r="P11" s="130">
        <f>ProForma_IS_Annual!P38</f>
        <v>0</v>
      </c>
      <c r="Q11" s="130">
        <f>ProForma_IS_Annual!Q38</f>
        <v>0</v>
      </c>
      <c r="R11" s="130">
        <f>ProForma_IS_Annual!R38</f>
        <v>0</v>
      </c>
      <c r="S11" s="130">
        <f>ProForma_IS_Annual!S38</f>
        <v>0</v>
      </c>
      <c r="T11" s="130">
        <f>ProForma_IS_Annual!T38</f>
        <v>0</v>
      </c>
      <c r="U11" s="130">
        <f>ProForma_IS_Annual!U38</f>
        <v>0.17672727272727273</v>
      </c>
      <c r="V11" s="130">
        <f>ProForma_IS_Annual!V38</f>
        <v>0.17504051863857376</v>
      </c>
      <c r="W11" s="130">
        <f>ProForma_IS_Annual!W38</f>
        <v>0.15502404454568464</v>
      </c>
      <c r="X11" s="130">
        <f>ProForma_IS_Annual!X38</f>
        <v>0.14429468198507639</v>
      </c>
      <c r="Y11" s="130">
        <f>ProForma_IS_Annual!Y38</f>
        <v>0.18447767710948587</v>
      </c>
      <c r="Z11" s="130">
        <f>ProForma_IS_Annual!Z38</f>
        <v>0.18798364762603012</v>
      </c>
      <c r="AA11" s="186">
        <f>ProForma_IS_Annual!AA38</f>
        <v>0.17911775148136994</v>
      </c>
      <c r="AB11" s="186">
        <f>ProForma_IS_Annual!AB38</f>
        <v>0.185</v>
      </c>
    </row>
    <row r="12" spans="1:28">
      <c r="A12" s="1" t="s">
        <v>146</v>
      </c>
      <c r="B12" s="131">
        <f>ProForma_IS_Annual!B44</f>
        <v>0</v>
      </c>
      <c r="C12" s="131">
        <f>ProForma_IS_Annual!C44</f>
        <v>0</v>
      </c>
      <c r="D12" s="131">
        <f>ProForma_IS_Annual!D44</f>
        <v>0</v>
      </c>
      <c r="E12" s="131">
        <f>ProForma_IS_Annual!E44</f>
        <v>0</v>
      </c>
      <c r="F12" s="131">
        <f>ProForma_IS_Annual!F44</f>
        <v>0</v>
      </c>
      <c r="G12" s="131">
        <f>ProForma_IS_Annual!G44</f>
        <v>0</v>
      </c>
      <c r="H12" s="131">
        <f>ProForma_IS_Annual!H44</f>
        <v>0</v>
      </c>
      <c r="I12" s="131">
        <f>ProForma_IS_Annual!I44</f>
        <v>0</v>
      </c>
      <c r="J12" s="131">
        <f>ProForma_IS_Annual!J44</f>
        <v>0</v>
      </c>
      <c r="K12" s="131">
        <f>ProForma_IS_Annual!K44</f>
        <v>0</v>
      </c>
      <c r="L12" s="131">
        <f>ProForma_IS_Annual!L44</f>
        <v>0</v>
      </c>
      <c r="M12" s="131">
        <f>ProForma_IS_Annual!M44</f>
        <v>0</v>
      </c>
      <c r="N12" s="131">
        <f>ProForma_IS_Annual!N44</f>
        <v>0</v>
      </c>
      <c r="O12" s="131">
        <f>ProForma_IS_Annual!O44</f>
        <v>0</v>
      </c>
      <c r="P12" s="131">
        <f>ProForma_IS_Annual!P44</f>
        <v>0</v>
      </c>
      <c r="Q12" s="131">
        <f>ProForma_IS_Annual!Q44</f>
        <v>0</v>
      </c>
      <c r="R12" s="131">
        <f>ProForma_IS_Annual!R44</f>
        <v>0</v>
      </c>
      <c r="S12" s="131">
        <f>ProForma_IS_Annual!S44</f>
        <v>0</v>
      </c>
      <c r="T12" s="131">
        <f>ProForma_IS_Annual!T44</f>
        <v>0</v>
      </c>
      <c r="U12" s="131">
        <f>ProForma_IS_Annual!U44</f>
        <v>7724</v>
      </c>
      <c r="V12" s="131">
        <f>ProForma_IS_Annual!V44</f>
        <v>4907</v>
      </c>
      <c r="W12" s="131">
        <f>ProForma_IS_Annual!W44</f>
        <v>6445</v>
      </c>
      <c r="X12" s="131">
        <f>ProForma_IS_Annual!X44</f>
        <v>7097.72</v>
      </c>
      <c r="Y12" s="131">
        <f>ProForma_IS_Annual!Y44</f>
        <v>7269</v>
      </c>
      <c r="Z12" s="131">
        <f>ProForma_IS_Annual!Z44</f>
        <v>7705.1265822784808</v>
      </c>
      <c r="AA12" s="169">
        <f>ProForma_IS_Annual!AA44</f>
        <v>8530.9493670886077</v>
      </c>
      <c r="AB12" s="169">
        <f>ProForma_IS_Annual!AB44</f>
        <v>9903.1961719925002</v>
      </c>
    </row>
    <row r="13" spans="1:28">
      <c r="A13" s="1" t="s">
        <v>147</v>
      </c>
      <c r="B13" s="151">
        <f>ProForma_IS_Annual!B52</f>
        <v>0</v>
      </c>
      <c r="C13" s="151">
        <f>ProForma_IS_Annual!C52</f>
        <v>0</v>
      </c>
      <c r="D13" s="151">
        <f>ProForma_IS_Annual!D52</f>
        <v>0</v>
      </c>
      <c r="E13" s="151">
        <f>ProForma_IS_Annual!E52</f>
        <v>0</v>
      </c>
      <c r="F13" s="151">
        <f>ProForma_IS_Annual!F52</f>
        <v>0</v>
      </c>
      <c r="G13" s="151">
        <f>ProForma_IS_Annual!G52</f>
        <v>0</v>
      </c>
      <c r="H13" s="151">
        <f>ProForma_IS_Annual!H52</f>
        <v>0</v>
      </c>
      <c r="I13" s="151">
        <f>ProForma_IS_Annual!I52</f>
        <v>0</v>
      </c>
      <c r="J13" s="151">
        <f>ProForma_IS_Annual!J52</f>
        <v>0</v>
      </c>
      <c r="K13" s="151">
        <f>ProForma_IS_Annual!K52</f>
        <v>0</v>
      </c>
      <c r="L13" s="151">
        <f>ProForma_IS_Annual!L52</f>
        <v>0</v>
      </c>
      <c r="M13" s="151">
        <f>ProForma_IS_Annual!M52</f>
        <v>0</v>
      </c>
      <c r="N13" s="151">
        <f>ProForma_IS_Annual!N52</f>
        <v>0</v>
      </c>
      <c r="O13" s="151">
        <f>ProForma_IS_Annual!O52</f>
        <v>0</v>
      </c>
      <c r="P13" s="151">
        <f>ProForma_IS_Annual!P52</f>
        <v>0</v>
      </c>
      <c r="Q13" s="151">
        <f>ProForma_IS_Annual!Q52</f>
        <v>0</v>
      </c>
      <c r="R13" s="151">
        <f>ProForma_IS_Annual!R52</f>
        <v>0</v>
      </c>
      <c r="S13" s="151">
        <f>ProForma_IS_Annual!S52</f>
        <v>0</v>
      </c>
      <c r="T13" s="151">
        <f>ProForma_IS_Annual!T52</f>
        <v>0</v>
      </c>
      <c r="U13" s="151">
        <f>ProForma_IS_Annual!U52</f>
        <v>5.0886092627972852</v>
      </c>
      <c r="V13" s="151">
        <f>ProForma_IS_Annual!V52</f>
        <v>3.2436541512427284</v>
      </c>
      <c r="W13" s="151">
        <f>ProForma_IS_Annual!W52</f>
        <v>4.2725268897396376</v>
      </c>
      <c r="X13" s="151">
        <f>ProForma_IS_Annual!X52</f>
        <v>4.7771163197657787</v>
      </c>
      <c r="Y13" s="151">
        <f>ProForma_IS_Annual!Y52</f>
        <v>5.0640936324369514</v>
      </c>
      <c r="Z13" s="151">
        <f>ProForma_IS_Annual!Z52</f>
        <v>5.7346878403382568</v>
      </c>
      <c r="AA13" s="225">
        <f>ProForma_IS_Annual!AA52</f>
        <v>6.2894053133947265</v>
      </c>
      <c r="AB13" s="225">
        <f>ProForma_IS_Annual!AB52</f>
        <v>7.252377258665816</v>
      </c>
    </row>
    <row r="14" spans="1:28">
      <c r="A14" s="1" t="s">
        <v>163</v>
      </c>
      <c r="B14" s="127">
        <f>ProForma_IS_Annual!B64</f>
        <v>0</v>
      </c>
      <c r="C14" s="127">
        <f>ProForma_IS_Annual!C64</f>
        <v>0</v>
      </c>
      <c r="D14" s="127">
        <f>ProForma_IS_Annual!D64</f>
        <v>0</v>
      </c>
      <c r="E14" s="127">
        <f>ProForma_IS_Annual!E64</f>
        <v>0</v>
      </c>
      <c r="F14" s="127">
        <f>ProForma_IS_Annual!F64</f>
        <v>0</v>
      </c>
      <c r="G14" s="127">
        <f>ProForma_IS_Annual!G64</f>
        <v>0</v>
      </c>
      <c r="H14" s="127">
        <f>ProForma_IS_Annual!H64</f>
        <v>0</v>
      </c>
      <c r="I14" s="127">
        <f>ProForma_IS_Annual!I64</f>
        <v>0</v>
      </c>
      <c r="J14" s="127">
        <f>ProForma_IS_Annual!J64</f>
        <v>0</v>
      </c>
      <c r="K14" s="127">
        <f>ProForma_IS_Annual!K64</f>
        <v>0</v>
      </c>
      <c r="L14" s="127">
        <f>ProForma_IS_Annual!L64</f>
        <v>0</v>
      </c>
      <c r="M14" s="127">
        <f>ProForma_IS_Annual!M64</f>
        <v>0</v>
      </c>
      <c r="N14" s="127">
        <f>ProForma_IS_Annual!N64</f>
        <v>0</v>
      </c>
      <c r="O14" s="127">
        <f>ProForma_IS_Annual!O64</f>
        <v>0</v>
      </c>
      <c r="P14" s="127">
        <f>ProForma_IS_Annual!P64</f>
        <v>0</v>
      </c>
      <c r="Q14" s="127">
        <f>ProForma_IS_Annual!Q64</f>
        <v>0</v>
      </c>
      <c r="R14" s="127">
        <f>ProForma_IS_Annual!R64</f>
        <v>0</v>
      </c>
      <c r="S14" s="127">
        <f>ProForma_IS_Annual!S64</f>
        <v>0</v>
      </c>
      <c r="T14" s="127">
        <f>ProForma_IS_Annual!T64</f>
        <v>0</v>
      </c>
      <c r="U14" s="127">
        <f>ProForma_IS_Annual!U64</f>
        <v>1517.9</v>
      </c>
      <c r="V14" s="127">
        <f>ProForma_IS_Annual!V64</f>
        <v>1512.8000000000002</v>
      </c>
      <c r="W14" s="127">
        <f>ProForma_IS_Annual!W64</f>
        <v>1508.4750000000001</v>
      </c>
      <c r="X14" s="127">
        <f>ProForma_IS_Annual!X64</f>
        <v>1485.7750000000001</v>
      </c>
      <c r="Y14" s="127">
        <f>ProForma_IS_Annual!Y64</f>
        <v>1435.4</v>
      </c>
      <c r="Z14" s="127">
        <f>ProForma_IS_Annual!Z64</f>
        <v>1343.6</v>
      </c>
      <c r="AA14" s="38">
        <f>ProForma_IS_Annual!AA64</f>
        <v>1356.4</v>
      </c>
      <c r="AB14" s="38">
        <f>ProForma_IS_Annual!AB64</f>
        <v>1365.5103449230028</v>
      </c>
    </row>
    <row r="15" spans="1:28">
      <c r="A15" s="1" t="s">
        <v>68</v>
      </c>
      <c r="B15" s="133">
        <v>0</v>
      </c>
      <c r="C15" s="133">
        <v>0</v>
      </c>
      <c r="D15" s="133">
        <v>0</v>
      </c>
      <c r="E15" s="133">
        <v>0</v>
      </c>
      <c r="F15" s="133">
        <v>0</v>
      </c>
      <c r="G15" s="133">
        <v>0</v>
      </c>
      <c r="H15" s="133">
        <v>0</v>
      </c>
      <c r="I15" s="133">
        <v>0</v>
      </c>
      <c r="J15" s="133">
        <v>0</v>
      </c>
      <c r="K15" s="133">
        <v>0</v>
      </c>
      <c r="L15" s="133">
        <v>0</v>
      </c>
      <c r="M15" s="133">
        <v>0</v>
      </c>
      <c r="N15" s="133">
        <v>0</v>
      </c>
      <c r="O15" s="133">
        <v>0</v>
      </c>
      <c r="P15" s="133">
        <v>0</v>
      </c>
      <c r="Q15" s="133">
        <v>0</v>
      </c>
      <c r="R15" s="133">
        <v>0</v>
      </c>
      <c r="S15" s="133">
        <v>0</v>
      </c>
      <c r="T15" s="133">
        <v>0</v>
      </c>
      <c r="U15" s="133">
        <v>1</v>
      </c>
      <c r="V15" s="133">
        <v>3.3211938452021958</v>
      </c>
      <c r="W15" s="133">
        <v>3.4228117040442316</v>
      </c>
      <c r="X15" s="133">
        <v>3.609058651638489</v>
      </c>
      <c r="Y15" s="133">
        <v>3.6377767310409799</v>
      </c>
      <c r="Z15" s="133">
        <v>0</v>
      </c>
      <c r="AA15" s="255">
        <v>0</v>
      </c>
      <c r="AB15" s="255">
        <v>0</v>
      </c>
    </row>
    <row r="16" spans="1:28">
      <c r="A16" s="1"/>
      <c r="B16" s="127"/>
      <c r="C16" s="127"/>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38"/>
      <c r="AB16" s="38"/>
    </row>
    <row r="17" spans="1:28">
      <c r="A17" s="8" t="s">
        <v>148</v>
      </c>
      <c r="B17" s="154"/>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24"/>
      <c r="AB17" s="24"/>
    </row>
    <row r="18" spans="1:28">
      <c r="A18" s="1" t="s">
        <v>161</v>
      </c>
      <c r="B18" s="131">
        <f>Cash_Flow_Annual!B21</f>
        <v>0</v>
      </c>
      <c r="C18" s="131">
        <f>Cash_Flow_Annual!C21</f>
        <v>0</v>
      </c>
      <c r="D18" s="131">
        <f>Cash_Flow_Annual!D21</f>
        <v>0</v>
      </c>
      <c r="E18" s="131">
        <f>Cash_Flow_Annual!E21</f>
        <v>0</v>
      </c>
      <c r="F18" s="131">
        <f>Cash_Flow_Annual!F21</f>
        <v>0</v>
      </c>
      <c r="G18" s="131">
        <f>Cash_Flow_Annual!G21</f>
        <v>0</v>
      </c>
      <c r="H18" s="131">
        <f>Cash_Flow_Annual!H21</f>
        <v>0</v>
      </c>
      <c r="I18" s="131">
        <f>Cash_Flow_Annual!I21</f>
        <v>0</v>
      </c>
      <c r="J18" s="131">
        <f>Cash_Flow_Annual!J21</f>
        <v>0</v>
      </c>
      <c r="K18" s="131">
        <f>Cash_Flow_Annual!K21</f>
        <v>0</v>
      </c>
      <c r="L18" s="131">
        <f>Cash_Flow_Annual!L21</f>
        <v>0</v>
      </c>
      <c r="M18" s="131">
        <f>Cash_Flow_Annual!M21</f>
        <v>0</v>
      </c>
      <c r="N18" s="131">
        <f>Cash_Flow_Annual!N21</f>
        <v>0</v>
      </c>
      <c r="O18" s="131">
        <f>Cash_Flow_Annual!O21</f>
        <v>0</v>
      </c>
      <c r="P18" s="131">
        <f>Cash_Flow_Annual!P21</f>
        <v>0</v>
      </c>
      <c r="Q18" s="131">
        <f>Cash_Flow_Annual!Q21</f>
        <v>0</v>
      </c>
      <c r="R18" s="131">
        <f>Cash_Flow_Annual!R21</f>
        <v>0</v>
      </c>
      <c r="S18" s="131">
        <f>Cash_Flow_Annual!S21</f>
        <v>0</v>
      </c>
      <c r="T18" s="131">
        <f>Cash_Flow_Annual!T21</f>
        <v>0</v>
      </c>
      <c r="U18" s="131">
        <f>Cash_Flow_Annual!U21</f>
        <v>5821</v>
      </c>
      <c r="V18" s="131">
        <f>Cash_Flow_Annual!V21</f>
        <v>4334</v>
      </c>
      <c r="W18" s="131">
        <f>Cash_Flow_Annual!W21</f>
        <v>7142</v>
      </c>
      <c r="X18" s="131">
        <f>Cash_Flow_Annual!X21</f>
        <v>7168</v>
      </c>
      <c r="Y18" s="131">
        <f>Cash_Flow_Annual!Y21</f>
        <v>7883</v>
      </c>
      <c r="Z18" s="131">
        <f>Cash_Flow_Annual!Z21</f>
        <v>7159</v>
      </c>
      <c r="AA18" s="169">
        <f>Cash_Flow_Annual!AA21</f>
        <v>10567</v>
      </c>
      <c r="AB18" s="169">
        <f>Cash_Flow_Annual!AB21</f>
        <v>11832.615429011681</v>
      </c>
    </row>
    <row r="19" spans="1:28">
      <c r="A19" s="1" t="s">
        <v>149</v>
      </c>
      <c r="B19" s="131">
        <f>Cash_Flow_Annual!B24</f>
        <v>0</v>
      </c>
      <c r="C19" s="131">
        <f>Cash_Flow_Annual!C24</f>
        <v>0</v>
      </c>
      <c r="D19" s="131">
        <f>Cash_Flow_Annual!D24</f>
        <v>0</v>
      </c>
      <c r="E19" s="131">
        <f>Cash_Flow_Annual!E24</f>
        <v>0</v>
      </c>
      <c r="F19" s="131">
        <f>Cash_Flow_Annual!F24</f>
        <v>0</v>
      </c>
      <c r="G19" s="131">
        <f>Cash_Flow_Annual!G24</f>
        <v>0</v>
      </c>
      <c r="H19" s="131">
        <f>Cash_Flow_Annual!H24</f>
        <v>0</v>
      </c>
      <c r="I19" s="131">
        <f>Cash_Flow_Annual!I24</f>
        <v>0</v>
      </c>
      <c r="J19" s="131">
        <f>Cash_Flow_Annual!J24</f>
        <v>0</v>
      </c>
      <c r="K19" s="131">
        <f>Cash_Flow_Annual!K24</f>
        <v>0</v>
      </c>
      <c r="L19" s="131">
        <f>Cash_Flow_Annual!L24</f>
        <v>0</v>
      </c>
      <c r="M19" s="131">
        <f>Cash_Flow_Annual!M24</f>
        <v>0</v>
      </c>
      <c r="N19" s="131">
        <f>Cash_Flow_Annual!N24</f>
        <v>0</v>
      </c>
      <c r="O19" s="131">
        <f>Cash_Flow_Annual!O24</f>
        <v>0</v>
      </c>
      <c r="P19" s="131">
        <f>Cash_Flow_Annual!P24</f>
        <v>0</v>
      </c>
      <c r="Q19" s="131">
        <f>Cash_Flow_Annual!Q24</f>
        <v>0</v>
      </c>
      <c r="R19" s="131">
        <f>Cash_Flow_Annual!R24</f>
        <v>0</v>
      </c>
      <c r="S19" s="131">
        <f>Cash_Flow_Annual!S24</f>
        <v>0</v>
      </c>
      <c r="T19" s="131" t="str">
        <f>Cash_Flow_Annual!T24</f>
        <v>ND</v>
      </c>
      <c r="U19" s="131">
        <f>Cash_Flow_Annual!U24</f>
        <v>-1868</v>
      </c>
      <c r="V19" s="131">
        <f>Cash_Flow_Annual!V24</f>
        <v>-1795</v>
      </c>
      <c r="W19" s="131">
        <f>Cash_Flow_Annual!W24</f>
        <v>-2134</v>
      </c>
      <c r="X19" s="131">
        <f>Cash_Flow_Annual!X24</f>
        <v>-2288</v>
      </c>
      <c r="Y19" s="131">
        <f>Cash_Flow_Annual!Y24</f>
        <v>-2415</v>
      </c>
      <c r="Z19" s="131">
        <f>Cash_Flow_Annual!Z24</f>
        <v>-2625</v>
      </c>
      <c r="AA19" s="169">
        <f>Cash_Flow_Annual!AA24</f>
        <v>-2627</v>
      </c>
      <c r="AB19" s="169">
        <f>Cash_Flow_Annual!AB24</f>
        <v>-3119.8039274999996</v>
      </c>
    </row>
    <row r="20" spans="1:28">
      <c r="A20" s="1" t="s">
        <v>26</v>
      </c>
      <c r="B20" s="131">
        <f>Cash_Flow_Annual!B72</f>
        <v>0</v>
      </c>
      <c r="C20" s="131">
        <f>Cash_Flow_Annual!C72</f>
        <v>0</v>
      </c>
      <c r="D20" s="131">
        <f>Cash_Flow_Annual!D72</f>
        <v>0</v>
      </c>
      <c r="E20" s="131">
        <f>Cash_Flow_Annual!E72</f>
        <v>0</v>
      </c>
      <c r="F20" s="131">
        <f>Cash_Flow_Annual!F72</f>
        <v>0</v>
      </c>
      <c r="G20" s="131">
        <f>Cash_Flow_Annual!G72</f>
        <v>0</v>
      </c>
      <c r="H20" s="131">
        <f>Cash_Flow_Annual!H72</f>
        <v>0</v>
      </c>
      <c r="I20" s="131">
        <f>Cash_Flow_Annual!I72</f>
        <v>0</v>
      </c>
      <c r="J20" s="131">
        <f>Cash_Flow_Annual!J72</f>
        <v>0</v>
      </c>
      <c r="K20" s="131">
        <f>Cash_Flow_Annual!K72</f>
        <v>0</v>
      </c>
      <c r="L20" s="131">
        <f>Cash_Flow_Annual!L72</f>
        <v>0</v>
      </c>
      <c r="M20" s="131">
        <f>Cash_Flow_Annual!M72</f>
        <v>0</v>
      </c>
      <c r="N20" s="131">
        <f>Cash_Flow_Annual!N72</f>
        <v>0</v>
      </c>
      <c r="O20" s="131">
        <f>Cash_Flow_Annual!O72</f>
        <v>0</v>
      </c>
      <c r="P20" s="131">
        <f>Cash_Flow_Annual!P72</f>
        <v>0</v>
      </c>
      <c r="Q20" s="131">
        <f>Cash_Flow_Annual!Q72</f>
        <v>0</v>
      </c>
      <c r="R20" s="131">
        <f>Cash_Flow_Annual!R72</f>
        <v>0</v>
      </c>
      <c r="S20" s="131">
        <f>Cash_Flow_Annual!S72</f>
        <v>0</v>
      </c>
      <c r="T20" s="131">
        <f>Cash_Flow_Annual!T72</f>
        <v>0</v>
      </c>
      <c r="U20" s="131">
        <f>Cash_Flow_Annual!U72</f>
        <v>3953</v>
      </c>
      <c r="V20" s="131">
        <f>Cash_Flow_Annual!V72</f>
        <v>2539</v>
      </c>
      <c r="W20" s="131">
        <f>Cash_Flow_Annual!W72</f>
        <v>5008</v>
      </c>
      <c r="X20" s="131">
        <f>Cash_Flow_Annual!X72</f>
        <v>4880</v>
      </c>
      <c r="Y20" s="131">
        <f>Cash_Flow_Annual!Y72</f>
        <v>5468</v>
      </c>
      <c r="Z20" s="131">
        <f>Cash_Flow_Annual!Z72</f>
        <v>4534</v>
      </c>
      <c r="AA20" s="169">
        <f>Cash_Flow_Annual!AA72</f>
        <v>7940</v>
      </c>
      <c r="AB20" s="169">
        <f>Cash_Flow_Annual!AB72</f>
        <v>8712.8115015116819</v>
      </c>
    </row>
    <row r="21" spans="1:28">
      <c r="A21" s="1" t="s">
        <v>150</v>
      </c>
      <c r="B21" s="130">
        <f>Cash_Flow_Annual!B73</f>
        <v>0</v>
      </c>
      <c r="C21" s="130">
        <f>Cash_Flow_Annual!C73</f>
        <v>0</v>
      </c>
      <c r="D21" s="130">
        <f>Cash_Flow_Annual!D73</f>
        <v>0</v>
      </c>
      <c r="E21" s="130">
        <f>Cash_Flow_Annual!E73</f>
        <v>0</v>
      </c>
      <c r="F21" s="130">
        <f>Cash_Flow_Annual!F73</f>
        <v>0</v>
      </c>
      <c r="G21" s="130">
        <f>Cash_Flow_Annual!G73</f>
        <v>0</v>
      </c>
      <c r="H21" s="130">
        <f>Cash_Flow_Annual!H73</f>
        <v>0</v>
      </c>
      <c r="I21" s="130">
        <f>Cash_Flow_Annual!I73</f>
        <v>0</v>
      </c>
      <c r="J21" s="130">
        <f>Cash_Flow_Annual!J73</f>
        <v>0</v>
      </c>
      <c r="K21" s="130">
        <f>Cash_Flow_Annual!K73</f>
        <v>0</v>
      </c>
      <c r="L21" s="130">
        <f>Cash_Flow_Annual!L73</f>
        <v>0</v>
      </c>
      <c r="M21" s="130">
        <f>Cash_Flow_Annual!M73</f>
        <v>0</v>
      </c>
      <c r="N21" s="130">
        <f>Cash_Flow_Annual!N73</f>
        <v>0</v>
      </c>
      <c r="O21" s="130">
        <f>Cash_Flow_Annual!O73</f>
        <v>0</v>
      </c>
      <c r="P21" s="130">
        <f>Cash_Flow_Annual!P73</f>
        <v>0</v>
      </c>
      <c r="Q21" s="130">
        <f>Cash_Flow_Annual!Q73</f>
        <v>0</v>
      </c>
      <c r="R21" s="130">
        <f>Cash_Flow_Annual!R73</f>
        <v>0</v>
      </c>
      <c r="S21" s="130">
        <f>Cash_Flow_Annual!S73</f>
        <v>0</v>
      </c>
      <c r="T21" s="130">
        <f>Cash_Flow_Annual!T73</f>
        <v>0</v>
      </c>
      <c r="U21" s="130">
        <f>Cash_Flow_Annual!U73</f>
        <v>1.0595014741356206</v>
      </c>
      <c r="V21" s="130">
        <f>Cash_Flow_Annual!V73</f>
        <v>-0.86714480874316935</v>
      </c>
      <c r="W21" s="130">
        <f>Cash_Flow_Annual!W73</f>
        <v>1.2082026537997588</v>
      </c>
      <c r="X21" s="130">
        <f>Cash_Flow_Annual!X73</f>
        <v>0.91608785432701334</v>
      </c>
      <c r="Y21" s="130">
        <f>Cash_Flow_Annual!Y73</f>
        <v>1.6177514792899408</v>
      </c>
      <c r="Z21" s="130">
        <f>Cash_Flow_Annual!Z73</f>
        <v>0.90444843407141429</v>
      </c>
      <c r="AA21" s="186">
        <f>Cash_Flow_Annual!AA73</f>
        <v>1.1232140331022775</v>
      </c>
      <c r="AB21" s="186">
        <f>Cash_Flow_Annual!AB73</f>
        <v>0.87979793090968172</v>
      </c>
    </row>
    <row r="22" spans="1:28">
      <c r="A22" s="1" t="s">
        <v>151</v>
      </c>
      <c r="B22" s="131">
        <f>Cash_Flow_Annual!B76</f>
        <v>0</v>
      </c>
      <c r="C22" s="131">
        <f>Cash_Flow_Annual!C76</f>
        <v>0</v>
      </c>
      <c r="D22" s="131">
        <f>Cash_Flow_Annual!D76</f>
        <v>0</v>
      </c>
      <c r="E22" s="131">
        <f>Cash_Flow_Annual!E76</f>
        <v>0</v>
      </c>
      <c r="F22" s="131">
        <f>Cash_Flow_Annual!F76</f>
        <v>0</v>
      </c>
      <c r="G22" s="131">
        <f>Cash_Flow_Annual!G76</f>
        <v>0</v>
      </c>
      <c r="H22" s="131">
        <f>Cash_Flow_Annual!H76</f>
        <v>0</v>
      </c>
      <c r="I22" s="131">
        <f>Cash_Flow_Annual!I76</f>
        <v>0</v>
      </c>
      <c r="J22" s="131">
        <f>Cash_Flow_Annual!J76</f>
        <v>0</v>
      </c>
      <c r="K22" s="131">
        <f>Cash_Flow_Annual!K76</f>
        <v>0</v>
      </c>
      <c r="L22" s="131">
        <f>Cash_Flow_Annual!L76</f>
        <v>0</v>
      </c>
      <c r="M22" s="131">
        <f>Cash_Flow_Annual!M76</f>
        <v>0</v>
      </c>
      <c r="N22" s="131">
        <f>Cash_Flow_Annual!N76</f>
        <v>0</v>
      </c>
      <c r="O22" s="131">
        <f>Cash_Flow_Annual!O76</f>
        <v>0</v>
      </c>
      <c r="P22" s="131">
        <f>Cash_Flow_Annual!P76</f>
        <v>0</v>
      </c>
      <c r="Q22" s="131">
        <f>Cash_Flow_Annual!Q76</f>
        <v>0</v>
      </c>
      <c r="R22" s="131">
        <f>Cash_Flow_Annual!R76</f>
        <v>0</v>
      </c>
      <c r="S22" s="131">
        <f>Cash_Flow_Annual!S76</f>
        <v>0</v>
      </c>
      <c r="T22" s="131">
        <f>Cash_Flow_Annual!T76</f>
        <v>0</v>
      </c>
      <c r="U22" s="131">
        <f>Cash_Flow_Annual!U76</f>
        <v>2593</v>
      </c>
      <c r="V22" s="131">
        <f>Cash_Flow_Annual!V76</f>
        <v>2779</v>
      </c>
      <c r="W22" s="131">
        <f>Cash_Flow_Annual!W76</f>
        <v>5284</v>
      </c>
      <c r="X22" s="131">
        <f>Cash_Flow_Annual!X76</f>
        <v>5931</v>
      </c>
      <c r="Y22" s="131">
        <f>Cash_Flow_Annual!Y76</f>
        <v>16109</v>
      </c>
      <c r="Z22" s="131">
        <f>Cash_Flow_Annual!Z76</f>
        <v>3661</v>
      </c>
      <c r="AA22" s="169">
        <f>Cash_Flow_Annual!AA76</f>
        <v>3624</v>
      </c>
      <c r="AB22" s="169">
        <f>Cash_Flow_Annual!AB76</f>
        <v>3875.597142749667</v>
      </c>
    </row>
    <row r="23" spans="1:28">
      <c r="A23" s="1" t="s">
        <v>152</v>
      </c>
      <c r="B23" s="130">
        <f>Cash_Flow_Annual!B77</f>
        <v>0</v>
      </c>
      <c r="C23" s="130">
        <f>Cash_Flow_Annual!C77</f>
        <v>0</v>
      </c>
      <c r="D23" s="130">
        <f>Cash_Flow_Annual!D77</f>
        <v>0</v>
      </c>
      <c r="E23" s="130">
        <f>Cash_Flow_Annual!E77</f>
        <v>0</v>
      </c>
      <c r="F23" s="130">
        <f>Cash_Flow_Annual!F77</f>
        <v>0</v>
      </c>
      <c r="G23" s="130">
        <f>Cash_Flow_Annual!G77</f>
        <v>0</v>
      </c>
      <c r="H23" s="130">
        <f>Cash_Flow_Annual!H77</f>
        <v>0</v>
      </c>
      <c r="I23" s="130">
        <f>Cash_Flow_Annual!I77</f>
        <v>0</v>
      </c>
      <c r="J23" s="130">
        <f>Cash_Flow_Annual!J77</f>
        <v>0</v>
      </c>
      <c r="K23" s="130">
        <f>Cash_Flow_Annual!K77</f>
        <v>0</v>
      </c>
      <c r="L23" s="130">
        <f>Cash_Flow_Annual!L77</f>
        <v>0</v>
      </c>
      <c r="M23" s="130">
        <f>Cash_Flow_Annual!M77</f>
        <v>0</v>
      </c>
      <c r="N23" s="130">
        <f>Cash_Flow_Annual!N77</f>
        <v>0</v>
      </c>
      <c r="O23" s="130">
        <f>Cash_Flow_Annual!O77</f>
        <v>0</v>
      </c>
      <c r="P23" s="130">
        <f>Cash_Flow_Annual!P77</f>
        <v>0</v>
      </c>
      <c r="Q23" s="130">
        <f>Cash_Flow_Annual!Q77</f>
        <v>0</v>
      </c>
      <c r="R23" s="130">
        <f>Cash_Flow_Annual!R77</f>
        <v>0</v>
      </c>
      <c r="S23" s="130">
        <f>Cash_Flow_Annual!S77</f>
        <v>0</v>
      </c>
      <c r="T23" s="130">
        <f>Cash_Flow_Annual!T77</f>
        <v>0</v>
      </c>
      <c r="U23" s="130">
        <f>Cash_Flow_Annual!U77</f>
        <v>0.65595750063243108</v>
      </c>
      <c r="V23" s="130">
        <f>Cash_Flow_Annual!V77</f>
        <v>1.0945254037022449</v>
      </c>
      <c r="W23" s="130">
        <f>Cash_Flow_Annual!W77</f>
        <v>1.055111821086262</v>
      </c>
      <c r="X23" s="130">
        <f>Cash_Flow_Annual!X77</f>
        <v>1.2153688524590165</v>
      </c>
      <c r="Y23" s="130">
        <f>Cash_Flow_Annual!Y77</f>
        <v>2.9460497439648865</v>
      </c>
      <c r="Z23" s="130">
        <f>Cash_Flow_Annual!Z77</f>
        <v>0.8074547860608734</v>
      </c>
      <c r="AA23" s="186">
        <f>Cash_Flow_Annual!AA77</f>
        <v>0.45642317380352643</v>
      </c>
      <c r="AB23" s="186">
        <f>Cash_Flow_Annual!AB77</f>
        <v>0.44481590610301242</v>
      </c>
    </row>
    <row r="24" spans="1:28">
      <c r="A24" s="1"/>
      <c r="B24" s="127"/>
      <c r="C24" s="127"/>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38"/>
      <c r="AB24" s="38"/>
    </row>
    <row r="25" spans="1:28">
      <c r="A25" s="8" t="s">
        <v>153</v>
      </c>
      <c r="B25" s="154"/>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24"/>
      <c r="AB25" s="24"/>
    </row>
    <row r="26" spans="1:28">
      <c r="A26" s="1" t="s">
        <v>154</v>
      </c>
      <c r="B26" s="131">
        <f>Balance_Sheet_Annual!B5</f>
        <v>0</v>
      </c>
      <c r="C26" s="131">
        <f>Balance_Sheet_Annual!C5</f>
        <v>0</v>
      </c>
      <c r="D26" s="131">
        <f>Balance_Sheet_Annual!D5</f>
        <v>0</v>
      </c>
      <c r="E26" s="131">
        <f>Balance_Sheet_Annual!E5</f>
        <v>0</v>
      </c>
      <c r="F26" s="131">
        <f>Balance_Sheet_Annual!F5</f>
        <v>0</v>
      </c>
      <c r="G26" s="131">
        <f>Balance_Sheet_Annual!G5</f>
        <v>0</v>
      </c>
      <c r="H26" s="131">
        <f>Balance_Sheet_Annual!H5</f>
        <v>0</v>
      </c>
      <c r="I26" s="131">
        <f>Balance_Sheet_Annual!I5</f>
        <v>0</v>
      </c>
      <c r="J26" s="131">
        <f>Balance_Sheet_Annual!J5</f>
        <v>0</v>
      </c>
      <c r="K26" s="131">
        <f>Balance_Sheet_Annual!K5</f>
        <v>0</v>
      </c>
      <c r="L26" s="131">
        <f>Balance_Sheet_Annual!L5</f>
        <v>0</v>
      </c>
      <c r="M26" s="131">
        <f>Balance_Sheet_Annual!M5</f>
        <v>0</v>
      </c>
      <c r="N26" s="131">
        <f>Balance_Sheet_Annual!N5</f>
        <v>0</v>
      </c>
      <c r="O26" s="131">
        <f>Balance_Sheet_Annual!O5</f>
        <v>0</v>
      </c>
      <c r="P26" s="131">
        <f>Balance_Sheet_Annual!P5</f>
        <v>0</v>
      </c>
      <c r="Q26" s="131">
        <f>Balance_Sheet_Annual!Q5</f>
        <v>0</v>
      </c>
      <c r="R26" s="131">
        <f>Balance_Sheet_Annual!R5</f>
        <v>0</v>
      </c>
      <c r="S26" s="131">
        <f>Balance_Sheet_Annual!S5</f>
        <v>0</v>
      </c>
      <c r="T26" s="131">
        <f>Balance_Sheet_Annual!T5</f>
        <v>6212</v>
      </c>
      <c r="U26" s="131">
        <f>Balance_Sheet_Annual!U5</f>
        <v>4937</v>
      </c>
      <c r="V26" s="131">
        <f>Balance_Sheet_Annual!V5</f>
        <v>8802</v>
      </c>
      <c r="W26" s="131">
        <f>Balance_Sheet_Annual!W5</f>
        <v>7832</v>
      </c>
      <c r="X26" s="131">
        <f>Balance_Sheet_Annual!X5</f>
        <v>6220</v>
      </c>
      <c r="Y26" s="131">
        <f>Balance_Sheet_Annual!Y5</f>
        <v>6587</v>
      </c>
      <c r="Z26" s="131">
        <f>Balance_Sheet_Annual!Z5</f>
        <v>5578</v>
      </c>
      <c r="AA26" s="169">
        <f>Balance_Sheet_Annual!AA5</f>
        <v>7435</v>
      </c>
      <c r="AB26" s="169">
        <f>Balance_Sheet_Annual!AB5</f>
        <v>8604.2143587620139</v>
      </c>
    </row>
    <row r="27" spans="1:28">
      <c r="A27" s="1" t="s">
        <v>114</v>
      </c>
      <c r="B27" s="131">
        <f>Balance_Sheet_Annual!B80</f>
        <v>0</v>
      </c>
      <c r="C27" s="131">
        <f>Balance_Sheet_Annual!C80</f>
        <v>0</v>
      </c>
      <c r="D27" s="131">
        <f>Balance_Sheet_Annual!D80</f>
        <v>0</v>
      </c>
      <c r="E27" s="131">
        <f>Balance_Sheet_Annual!E80</f>
        <v>0</v>
      </c>
      <c r="F27" s="131">
        <f>Balance_Sheet_Annual!F80</f>
        <v>0</v>
      </c>
      <c r="G27" s="131">
        <f>Balance_Sheet_Annual!G80</f>
        <v>0</v>
      </c>
      <c r="H27" s="131">
        <f>Balance_Sheet_Annual!H80</f>
        <v>0</v>
      </c>
      <c r="I27" s="131">
        <f>Balance_Sheet_Annual!I80</f>
        <v>0</v>
      </c>
      <c r="J27" s="131">
        <f>Balance_Sheet_Annual!J80</f>
        <v>0</v>
      </c>
      <c r="K27" s="131">
        <f>Balance_Sheet_Annual!K80</f>
        <v>0</v>
      </c>
      <c r="L27" s="131">
        <f>Balance_Sheet_Annual!L80</f>
        <v>0</v>
      </c>
      <c r="M27" s="131">
        <f>Balance_Sheet_Annual!M80</f>
        <v>0</v>
      </c>
      <c r="N27" s="131">
        <f>Balance_Sheet_Annual!N80</f>
        <v>0</v>
      </c>
      <c r="O27" s="131">
        <f>Balance_Sheet_Annual!O80</f>
        <v>0</v>
      </c>
      <c r="P27" s="131">
        <f>Balance_Sheet_Annual!P80</f>
        <v>0</v>
      </c>
      <c r="Q27" s="131">
        <f>Balance_Sheet_Annual!Q80</f>
        <v>0</v>
      </c>
      <c r="R27" s="131">
        <f>Balance_Sheet_Annual!R80</f>
        <v>0</v>
      </c>
      <c r="S27" s="131">
        <f>Balance_Sheet_Annual!S80</f>
        <v>0</v>
      </c>
      <c r="T27" s="131">
        <f>Balance_Sheet_Annual!T80</f>
        <v>0</v>
      </c>
      <c r="U27" s="131">
        <f>Balance_Sheet_Annual!U80</f>
        <v>44345</v>
      </c>
      <c r="V27" s="131">
        <f>Balance_Sheet_Annual!V80</f>
        <v>33339</v>
      </c>
      <c r="W27" s="131">
        <f>Balance_Sheet_Annual!W80</f>
        <v>33142</v>
      </c>
      <c r="X27" s="131">
        <f>Balance_Sheet_Annual!X80</f>
        <v>33500</v>
      </c>
      <c r="Y27" s="131">
        <f>Balance_Sheet_Annual!Y80</f>
        <v>45239</v>
      </c>
      <c r="Z27" s="131">
        <f>Balance_Sheet_Annual!Z80</f>
        <v>42893</v>
      </c>
      <c r="AA27" s="169">
        <f>Balance_Sheet_Annual!AA80</f>
        <v>39506</v>
      </c>
      <c r="AB27" s="169">
        <f>Balance_Sheet_Annual!AB80</f>
        <v>35987</v>
      </c>
    </row>
    <row r="28" spans="1:28">
      <c r="A28" s="1" t="s">
        <v>115</v>
      </c>
      <c r="B28" s="131">
        <f>Balance_Sheet_Annual!B81</f>
        <v>0</v>
      </c>
      <c r="C28" s="131">
        <f>Balance_Sheet_Annual!C81</f>
        <v>0</v>
      </c>
      <c r="D28" s="131">
        <f>Balance_Sheet_Annual!D81</f>
        <v>0</v>
      </c>
      <c r="E28" s="131">
        <f>Balance_Sheet_Annual!E81</f>
        <v>0</v>
      </c>
      <c r="F28" s="131">
        <f>Balance_Sheet_Annual!F81</f>
        <v>0</v>
      </c>
      <c r="G28" s="131">
        <f>Balance_Sheet_Annual!G81</f>
        <v>0</v>
      </c>
      <c r="H28" s="131">
        <f>Balance_Sheet_Annual!H81</f>
        <v>0</v>
      </c>
      <c r="I28" s="131">
        <f>Balance_Sheet_Annual!I81</f>
        <v>0</v>
      </c>
      <c r="J28" s="131">
        <f>Balance_Sheet_Annual!J81</f>
        <v>0</v>
      </c>
      <c r="K28" s="131">
        <f>Balance_Sheet_Annual!K81</f>
        <v>0</v>
      </c>
      <c r="L28" s="131">
        <f>Balance_Sheet_Annual!L81</f>
        <v>0</v>
      </c>
      <c r="M28" s="131">
        <f>Balance_Sheet_Annual!M81</f>
        <v>0</v>
      </c>
      <c r="N28" s="131">
        <f>Balance_Sheet_Annual!N81</f>
        <v>0</v>
      </c>
      <c r="O28" s="131">
        <f>Balance_Sheet_Annual!O81</f>
        <v>0</v>
      </c>
      <c r="P28" s="131">
        <f>Balance_Sheet_Annual!P81</f>
        <v>0</v>
      </c>
      <c r="Q28" s="131">
        <f>Balance_Sheet_Annual!Q81</f>
        <v>0</v>
      </c>
      <c r="R28" s="131">
        <f>Balance_Sheet_Annual!R81</f>
        <v>0</v>
      </c>
      <c r="S28" s="131">
        <f>Balance_Sheet_Annual!S81</f>
        <v>0</v>
      </c>
      <c r="T28" s="131">
        <f>Balance_Sheet_Annual!T81</f>
        <v>0</v>
      </c>
      <c r="U28" s="131">
        <f>Balance_Sheet_Annual!U81</f>
        <v>39408</v>
      </c>
      <c r="V28" s="131">
        <f>Balance_Sheet_Annual!V81</f>
        <v>24537</v>
      </c>
      <c r="W28" s="131">
        <f>Balance_Sheet_Annual!W81</f>
        <v>25310</v>
      </c>
      <c r="X28" s="131">
        <f>Balance_Sheet_Annual!X81</f>
        <v>27280</v>
      </c>
      <c r="Y28" s="131">
        <f>Balance_Sheet_Annual!Y81</f>
        <v>38652</v>
      </c>
      <c r="Z28" s="131">
        <f>Balance_Sheet_Annual!Z81</f>
        <v>37315</v>
      </c>
      <c r="AA28" s="169">
        <f>Balance_Sheet_Annual!AA81</f>
        <v>32071</v>
      </c>
      <c r="AB28" s="169">
        <f>Balance_Sheet_Annual!AB81</f>
        <v>27382.785641237984</v>
      </c>
    </row>
    <row r="29" spans="1:28">
      <c r="A29" s="1" t="s">
        <v>116</v>
      </c>
      <c r="B29" s="147">
        <f>Balance_Sheet_Annual!B82</f>
        <v>0</v>
      </c>
      <c r="C29" s="147">
        <f>Balance_Sheet_Annual!C82</f>
        <v>0</v>
      </c>
      <c r="D29" s="147">
        <f>Balance_Sheet_Annual!D82</f>
        <v>0</v>
      </c>
      <c r="E29" s="147">
        <f>Balance_Sheet_Annual!E82</f>
        <v>0</v>
      </c>
      <c r="F29" s="147">
        <f>Balance_Sheet_Annual!F82</f>
        <v>0</v>
      </c>
      <c r="G29" s="147">
        <f>Balance_Sheet_Annual!G82</f>
        <v>0</v>
      </c>
      <c r="H29" s="147">
        <f>Balance_Sheet_Annual!H82</f>
        <v>0</v>
      </c>
      <c r="I29" s="147">
        <f>Balance_Sheet_Annual!I82</f>
        <v>0</v>
      </c>
      <c r="J29" s="147">
        <f>Balance_Sheet_Annual!J82</f>
        <v>0</v>
      </c>
      <c r="K29" s="147">
        <f>Balance_Sheet_Annual!K82</f>
        <v>0</v>
      </c>
      <c r="L29" s="147">
        <f>Balance_Sheet_Annual!L82</f>
        <v>0</v>
      </c>
      <c r="M29" s="147">
        <f>Balance_Sheet_Annual!M82</f>
        <v>0</v>
      </c>
      <c r="N29" s="147">
        <f>Balance_Sheet_Annual!N82</f>
        <v>0</v>
      </c>
      <c r="O29" s="147">
        <f>Balance_Sheet_Annual!O82</f>
        <v>0</v>
      </c>
      <c r="P29" s="147">
        <f>Balance_Sheet_Annual!P82</f>
        <v>0</v>
      </c>
      <c r="Q29" s="147">
        <f>Balance_Sheet_Annual!Q82</f>
        <v>0</v>
      </c>
      <c r="R29" s="147">
        <f>Balance_Sheet_Annual!R82</f>
        <v>0</v>
      </c>
      <c r="S29" s="147">
        <f>Balance_Sheet_Annual!S82</f>
        <v>0</v>
      </c>
      <c r="T29" s="147">
        <f>Balance_Sheet_Annual!T82</f>
        <v>0</v>
      </c>
      <c r="U29" s="147">
        <f>Balance_Sheet_Annual!U82</f>
        <v>2.8118444523724579</v>
      </c>
      <c r="V29" s="147">
        <f>Balance_Sheet_Annual!V82</f>
        <v>2.3205031208624929</v>
      </c>
      <c r="W29" s="147">
        <f>Balance_Sheet_Annual!W82</f>
        <v>2.1412859560067683</v>
      </c>
      <c r="X29" s="147">
        <f>Balance_Sheet_Annual!X82</f>
        <v>2.2864805967647306</v>
      </c>
      <c r="Y29" s="147">
        <f>Balance_Sheet_Annual!Y82</f>
        <v>2.9491835800396764</v>
      </c>
      <c r="Z29" s="147">
        <f>Balance_Sheet_Annual!Z82</f>
        <v>2.565133704543892</v>
      </c>
      <c r="AA29" s="221">
        <f>Balance_Sheet_Annual!AA82</f>
        <v>2.0340584765649776</v>
      </c>
      <c r="AB29" s="221">
        <f>Balance_Sheet_Annual!AB82</f>
        <v>1.5987398100906203</v>
      </c>
    </row>
    <row r="30" spans="1:28">
      <c r="A30" s="1"/>
      <c r="B30" s="127"/>
      <c r="C30" s="127"/>
      <c r="D30" s="127"/>
      <c r="E30" s="127"/>
      <c r="F30" s="127"/>
      <c r="G30" s="127"/>
      <c r="H30" s="127"/>
      <c r="I30" s="127"/>
      <c r="J30" s="127"/>
      <c r="K30" s="127"/>
      <c r="L30" s="127"/>
      <c r="M30" s="127"/>
      <c r="N30" s="127"/>
      <c r="O30" s="127"/>
      <c r="P30" s="127"/>
      <c r="Q30" s="127"/>
      <c r="R30" s="127"/>
      <c r="S30" s="127"/>
      <c r="T30" s="127"/>
      <c r="U30" s="127"/>
      <c r="V30" s="127"/>
      <c r="W30" s="127"/>
      <c r="X30" s="127"/>
      <c r="Y30" s="127"/>
      <c r="Z30" s="127"/>
      <c r="AA30" s="38"/>
      <c r="AB30" s="38"/>
    </row>
    <row r="31" spans="1:28">
      <c r="A31" s="8" t="s">
        <v>155</v>
      </c>
      <c r="B31" s="154"/>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4"/>
      <c r="AB31" s="24"/>
    </row>
    <row r="32" spans="1:28">
      <c r="A32" s="1" t="s">
        <v>156</v>
      </c>
      <c r="B32" s="131">
        <f>Balance_Sheet_Annual!B87</f>
        <v>0</v>
      </c>
      <c r="C32" s="131">
        <f>Balance_Sheet_Annual!C87</f>
        <v>0</v>
      </c>
      <c r="D32" s="131">
        <f>Balance_Sheet_Annual!D87</f>
        <v>0</v>
      </c>
      <c r="E32" s="131">
        <f>Balance_Sheet_Annual!E87</f>
        <v>0</v>
      </c>
      <c r="F32" s="131">
        <f>Balance_Sheet_Annual!F87</f>
        <v>0</v>
      </c>
      <c r="G32" s="131">
        <f>Balance_Sheet_Annual!G87</f>
        <v>0</v>
      </c>
      <c r="H32" s="131">
        <f>Balance_Sheet_Annual!H87</f>
        <v>0</v>
      </c>
      <c r="I32" s="131">
        <f>Balance_Sheet_Annual!I87</f>
        <v>0</v>
      </c>
      <c r="J32" s="131">
        <f>Balance_Sheet_Annual!J87</f>
        <v>0</v>
      </c>
      <c r="K32" s="131">
        <f>Balance_Sheet_Annual!K87</f>
        <v>0</v>
      </c>
      <c r="L32" s="131">
        <f>Balance_Sheet_Annual!L87</f>
        <v>0</v>
      </c>
      <c r="M32" s="131">
        <f>Balance_Sheet_Annual!M87</f>
        <v>0</v>
      </c>
      <c r="N32" s="131">
        <f>Balance_Sheet_Annual!N87</f>
        <v>0</v>
      </c>
      <c r="O32" s="131">
        <f>Balance_Sheet_Annual!O87</f>
        <v>0</v>
      </c>
      <c r="P32" s="131">
        <f>Balance_Sheet_Annual!P87</f>
        <v>0</v>
      </c>
      <c r="Q32" s="131">
        <f>Balance_Sheet_Annual!Q87</f>
        <v>0</v>
      </c>
      <c r="R32" s="131">
        <f>Balance_Sheet_Annual!R87</f>
        <v>0</v>
      </c>
      <c r="S32" s="131">
        <f>Balance_Sheet_Annual!S87</f>
        <v>0</v>
      </c>
      <c r="T32" s="131">
        <f>Balance_Sheet_Annual!T87</f>
        <v>0</v>
      </c>
      <c r="U32" s="131">
        <f>Balance_Sheet_Annual!U87</f>
        <v>0</v>
      </c>
      <c r="V32" s="131">
        <f>Balance_Sheet_Annual!V87</f>
        <v>0</v>
      </c>
      <c r="W32" s="131">
        <f>Balance_Sheet_Annual!W87</f>
        <v>0</v>
      </c>
      <c r="X32" s="131">
        <f>Balance_Sheet_Annual!X87</f>
        <v>0</v>
      </c>
      <c r="Y32" s="131">
        <f>Balance_Sheet_Annual!Y87</f>
        <v>0</v>
      </c>
      <c r="Z32" s="131">
        <f>Balance_Sheet_Annual!Z87</f>
        <v>0</v>
      </c>
      <c r="AA32" s="169">
        <f>Balance_Sheet_Annual!AA87</f>
        <v>0</v>
      </c>
      <c r="AB32" s="169">
        <f ca="1">Balance_Sheet_Annual!AB87</f>
        <v>32000.543733016028</v>
      </c>
    </row>
    <row r="33" spans="1:28">
      <c r="A33" s="1" t="s">
        <v>157</v>
      </c>
      <c r="B33" s="147">
        <f>Balance_Sheet_Annual!B88</f>
        <v>0</v>
      </c>
      <c r="C33" s="147">
        <f>Balance_Sheet_Annual!C88</f>
        <v>0</v>
      </c>
      <c r="D33" s="147">
        <f>Balance_Sheet_Annual!D88</f>
        <v>0</v>
      </c>
      <c r="E33" s="147">
        <f>Balance_Sheet_Annual!E88</f>
        <v>0</v>
      </c>
      <c r="F33" s="147">
        <f>Balance_Sheet_Annual!F88</f>
        <v>0</v>
      </c>
      <c r="G33" s="147">
        <f>Balance_Sheet_Annual!G88</f>
        <v>0</v>
      </c>
      <c r="H33" s="147">
        <f>Balance_Sheet_Annual!H88</f>
        <v>0</v>
      </c>
      <c r="I33" s="147">
        <f>Balance_Sheet_Annual!I88</f>
        <v>0</v>
      </c>
      <c r="J33" s="147">
        <f>Balance_Sheet_Annual!J88</f>
        <v>0</v>
      </c>
      <c r="K33" s="147">
        <f>Balance_Sheet_Annual!K88</f>
        <v>0</v>
      </c>
      <c r="L33" s="147">
        <f>Balance_Sheet_Annual!L88</f>
        <v>0</v>
      </c>
      <c r="M33" s="147">
        <f>Balance_Sheet_Annual!M88</f>
        <v>0</v>
      </c>
      <c r="N33" s="147">
        <f>Balance_Sheet_Annual!N88</f>
        <v>0</v>
      </c>
      <c r="O33" s="147">
        <f>Balance_Sheet_Annual!O88</f>
        <v>0</v>
      </c>
      <c r="P33" s="147">
        <f>Balance_Sheet_Annual!P88</f>
        <v>0</v>
      </c>
      <c r="Q33" s="147">
        <f>Balance_Sheet_Annual!Q88</f>
        <v>0</v>
      </c>
      <c r="R33" s="147">
        <f>Balance_Sheet_Annual!R88</f>
        <v>0</v>
      </c>
      <c r="S33" s="147">
        <f>Balance_Sheet_Annual!S88</f>
        <v>0</v>
      </c>
      <c r="T33" s="147">
        <f>Balance_Sheet_Annual!T88</f>
        <v>0</v>
      </c>
      <c r="U33" s="147">
        <f>Balance_Sheet_Annual!U88</f>
        <v>0</v>
      </c>
      <c r="V33" s="147">
        <f>Balance_Sheet_Annual!V88</f>
        <v>0</v>
      </c>
      <c r="W33" s="147">
        <f>Balance_Sheet_Annual!W88</f>
        <v>0</v>
      </c>
      <c r="X33" s="147">
        <f>Balance_Sheet_Annual!X88</f>
        <v>0</v>
      </c>
      <c r="Y33" s="147">
        <f>Balance_Sheet_Annual!Y88</f>
        <v>0</v>
      </c>
      <c r="Z33" s="147">
        <f>Balance_Sheet_Annual!Z88</f>
        <v>0</v>
      </c>
      <c r="AA33" s="221">
        <f>Balance_Sheet_Annual!AA88</f>
        <v>0</v>
      </c>
      <c r="AB33" s="221">
        <f>Balance_Sheet_Annual!AB88</f>
        <v>3</v>
      </c>
    </row>
    <row r="34" spans="1:28">
      <c r="A34" s="1" t="s">
        <v>131</v>
      </c>
      <c r="B34" s="151">
        <f>Balance_Sheet_Annual!B102</f>
        <v>0</v>
      </c>
      <c r="C34" s="151">
        <f>Balance_Sheet_Annual!C102</f>
        <v>0</v>
      </c>
      <c r="D34" s="151">
        <f>Balance_Sheet_Annual!D102</f>
        <v>0</v>
      </c>
      <c r="E34" s="151">
        <f>Balance_Sheet_Annual!E102</f>
        <v>0</v>
      </c>
      <c r="F34" s="151">
        <f>Balance_Sheet_Annual!F102</f>
        <v>0</v>
      </c>
      <c r="G34" s="151">
        <f>Balance_Sheet_Annual!G102</f>
        <v>0</v>
      </c>
      <c r="H34" s="151">
        <f>Balance_Sheet_Annual!H102</f>
        <v>0</v>
      </c>
      <c r="I34" s="151">
        <f>Balance_Sheet_Annual!I102</f>
        <v>0</v>
      </c>
      <c r="J34" s="151">
        <f>Balance_Sheet_Annual!J102</f>
        <v>0</v>
      </c>
      <c r="K34" s="151">
        <f>Balance_Sheet_Annual!K102</f>
        <v>0</v>
      </c>
      <c r="L34" s="151">
        <f>Balance_Sheet_Annual!L102</f>
        <v>0</v>
      </c>
      <c r="M34" s="151">
        <f>Balance_Sheet_Annual!M102</f>
        <v>0</v>
      </c>
      <c r="N34" s="151">
        <f>Balance_Sheet_Annual!N102</f>
        <v>0</v>
      </c>
      <c r="O34" s="151">
        <f>Balance_Sheet_Annual!O102</f>
        <v>0</v>
      </c>
      <c r="P34" s="151">
        <f>Balance_Sheet_Annual!P102</f>
        <v>0</v>
      </c>
      <c r="Q34" s="151">
        <f>Balance_Sheet_Annual!Q102</f>
        <v>0</v>
      </c>
      <c r="R34" s="151">
        <f>Balance_Sheet_Annual!R102</f>
        <v>0</v>
      </c>
      <c r="S34" s="151">
        <f>Balance_Sheet_Annual!S102</f>
        <v>0</v>
      </c>
      <c r="T34" s="151">
        <f>Balance_Sheet_Annual!T102</f>
        <v>0</v>
      </c>
      <c r="U34" s="151">
        <f>Balance_Sheet_Annual!U102</f>
        <v>0</v>
      </c>
      <c r="V34" s="151">
        <f>Balance_Sheet_Annual!V102</f>
        <v>0</v>
      </c>
      <c r="W34" s="151">
        <f>Balance_Sheet_Annual!W102</f>
        <v>0</v>
      </c>
      <c r="X34" s="151">
        <f>Balance_Sheet_Annual!X102</f>
        <v>0</v>
      </c>
      <c r="Y34" s="151">
        <f>Balance_Sheet_Annual!Y102</f>
        <v>0</v>
      </c>
      <c r="Z34" s="151">
        <f>Balance_Sheet_Annual!Z102</f>
        <v>0</v>
      </c>
      <c r="AA34" s="225">
        <f>Balance_Sheet_Annual!AA102</f>
        <v>0</v>
      </c>
      <c r="AB34" s="225">
        <f ca="1">Balance_Sheet_Annual!AB102</f>
        <v>0.43198258561113789</v>
      </c>
    </row>
    <row r="35" spans="1:28">
      <c r="A35" s="1" t="s">
        <v>133</v>
      </c>
      <c r="B35" s="130">
        <f>Balance_Sheet_Annual!B103</f>
        <v>0</v>
      </c>
      <c r="C35" s="130">
        <f>Balance_Sheet_Annual!C103</f>
        <v>0</v>
      </c>
      <c r="D35" s="130">
        <f>Balance_Sheet_Annual!D103</f>
        <v>0</v>
      </c>
      <c r="E35" s="130">
        <f>Balance_Sheet_Annual!E103</f>
        <v>0</v>
      </c>
      <c r="F35" s="130">
        <f>Balance_Sheet_Annual!F103</f>
        <v>0</v>
      </c>
      <c r="G35" s="130">
        <f>Balance_Sheet_Annual!G103</f>
        <v>0</v>
      </c>
      <c r="H35" s="130">
        <f>Balance_Sheet_Annual!H103</f>
        <v>0</v>
      </c>
      <c r="I35" s="130">
        <f>Balance_Sheet_Annual!I103</f>
        <v>0</v>
      </c>
      <c r="J35" s="130">
        <f>Balance_Sheet_Annual!J103</f>
        <v>0</v>
      </c>
      <c r="K35" s="130">
        <f>Balance_Sheet_Annual!K103</f>
        <v>0</v>
      </c>
      <c r="L35" s="130">
        <f>Balance_Sheet_Annual!L103</f>
        <v>0</v>
      </c>
      <c r="M35" s="130">
        <f>Balance_Sheet_Annual!M103</f>
        <v>0</v>
      </c>
      <c r="N35" s="130">
        <f>Balance_Sheet_Annual!N103</f>
        <v>0</v>
      </c>
      <c r="O35" s="130">
        <f>Balance_Sheet_Annual!O103</f>
        <v>0</v>
      </c>
      <c r="P35" s="130">
        <f>Balance_Sheet_Annual!P103</f>
        <v>0</v>
      </c>
      <c r="Q35" s="130">
        <f>Balance_Sheet_Annual!Q103</f>
        <v>0</v>
      </c>
      <c r="R35" s="130">
        <f>Balance_Sheet_Annual!R103</f>
        <v>0</v>
      </c>
      <c r="S35" s="130">
        <f>Balance_Sheet_Annual!S103</f>
        <v>0</v>
      </c>
      <c r="T35" s="130">
        <f>Balance_Sheet_Annual!T103</f>
        <v>0</v>
      </c>
      <c r="U35" s="130">
        <f>Balance_Sheet_Annual!U103</f>
        <v>0</v>
      </c>
      <c r="V35" s="130">
        <f>Balance_Sheet_Annual!V103</f>
        <v>0</v>
      </c>
      <c r="W35" s="130">
        <f>Balance_Sheet_Annual!W103</f>
        <v>0</v>
      </c>
      <c r="X35" s="130">
        <f>Balance_Sheet_Annual!X103</f>
        <v>0</v>
      </c>
      <c r="Y35" s="130">
        <f>Balance_Sheet_Annual!Y103</f>
        <v>0</v>
      </c>
      <c r="Z35" s="130">
        <f>Balance_Sheet_Annual!Z103</f>
        <v>0</v>
      </c>
      <c r="AA35" s="186">
        <f>Balance_Sheet_Annual!AA103</f>
        <v>0</v>
      </c>
      <c r="AB35" s="186">
        <f ca="1">Balance_Sheet_Annual!AB103</f>
        <v>5.9564273920660271E-2</v>
      </c>
    </row>
    <row r="36" spans="1:28">
      <c r="A36" s="1"/>
      <c r="B36" s="127"/>
      <c r="C36" s="127"/>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38"/>
      <c r="AB36" s="38"/>
    </row>
    <row r="37" spans="1:28">
      <c r="A37" s="1" t="s">
        <v>158</v>
      </c>
      <c r="B37" s="131">
        <f>Balance_Sheet_Annual!B107</f>
        <v>0</v>
      </c>
      <c r="C37" s="131">
        <f>Balance_Sheet_Annual!C107</f>
        <v>0</v>
      </c>
      <c r="D37" s="131">
        <f>Balance_Sheet_Annual!D107</f>
        <v>0</v>
      </c>
      <c r="E37" s="131">
        <f>Balance_Sheet_Annual!E107</f>
        <v>0</v>
      </c>
      <c r="F37" s="131">
        <f>Balance_Sheet_Annual!F107</f>
        <v>0</v>
      </c>
      <c r="G37" s="131">
        <f>Balance_Sheet_Annual!G107</f>
        <v>0</v>
      </c>
      <c r="H37" s="131">
        <f>Balance_Sheet_Annual!H107</f>
        <v>0</v>
      </c>
      <c r="I37" s="131">
        <f>Balance_Sheet_Annual!I107</f>
        <v>0</v>
      </c>
      <c r="J37" s="131">
        <f>Balance_Sheet_Annual!J107</f>
        <v>0</v>
      </c>
      <c r="K37" s="131">
        <f>Balance_Sheet_Annual!K107</f>
        <v>0</v>
      </c>
      <c r="L37" s="131">
        <f>Balance_Sheet_Annual!L107</f>
        <v>0</v>
      </c>
      <c r="M37" s="131">
        <f>Balance_Sheet_Annual!M107</f>
        <v>0</v>
      </c>
      <c r="N37" s="131">
        <f>Balance_Sheet_Annual!N107</f>
        <v>0</v>
      </c>
      <c r="O37" s="131">
        <f>Balance_Sheet_Annual!O107</f>
        <v>0</v>
      </c>
      <c r="P37" s="131">
        <f>Balance_Sheet_Annual!P107</f>
        <v>0</v>
      </c>
      <c r="Q37" s="131">
        <f>Balance_Sheet_Annual!Q107</f>
        <v>0</v>
      </c>
      <c r="R37" s="131">
        <f>Balance_Sheet_Annual!R107</f>
        <v>0</v>
      </c>
      <c r="S37" s="131">
        <f>Balance_Sheet_Annual!S107</f>
        <v>0</v>
      </c>
      <c r="T37" s="131">
        <f>Balance_Sheet_Annual!T107</f>
        <v>0</v>
      </c>
      <c r="U37" s="131">
        <f>Balance_Sheet_Annual!U107</f>
        <v>0</v>
      </c>
      <c r="V37" s="131">
        <f>Balance_Sheet_Annual!V107</f>
        <v>0</v>
      </c>
      <c r="W37" s="131">
        <f>Balance_Sheet_Annual!W107</f>
        <v>0</v>
      </c>
      <c r="X37" s="131">
        <f>Balance_Sheet_Annual!X107</f>
        <v>0</v>
      </c>
      <c r="Y37" s="131">
        <f>Balance_Sheet_Annual!Y107</f>
        <v>0</v>
      </c>
      <c r="Z37" s="131">
        <f>Balance_Sheet_Annual!Z107</f>
        <v>0</v>
      </c>
      <c r="AA37" s="169">
        <f>Balance_Sheet_Annual!AA107</f>
        <v>0</v>
      </c>
      <c r="AB37" s="169">
        <f>Balance_Sheet_Annual!AB107</f>
        <v>24000.407799762026</v>
      </c>
    </row>
    <row r="38" spans="1:28">
      <c r="A38" s="1" t="s">
        <v>157</v>
      </c>
      <c r="B38" s="147">
        <f>Balance_Sheet_Annual!B109</f>
        <v>0</v>
      </c>
      <c r="C38" s="147">
        <f>Balance_Sheet_Annual!C109</f>
        <v>0</v>
      </c>
      <c r="D38" s="147">
        <f>Balance_Sheet_Annual!D109</f>
        <v>0</v>
      </c>
      <c r="E38" s="147">
        <f>Balance_Sheet_Annual!E109</f>
        <v>0</v>
      </c>
      <c r="F38" s="147">
        <f>Balance_Sheet_Annual!F109</f>
        <v>0</v>
      </c>
      <c r="G38" s="147">
        <f>Balance_Sheet_Annual!G109</f>
        <v>0</v>
      </c>
      <c r="H38" s="147">
        <f>Balance_Sheet_Annual!H109</f>
        <v>0</v>
      </c>
      <c r="I38" s="147">
        <f>Balance_Sheet_Annual!I109</f>
        <v>0</v>
      </c>
      <c r="J38" s="147">
        <f>Balance_Sheet_Annual!J109</f>
        <v>0</v>
      </c>
      <c r="K38" s="147">
        <f>Balance_Sheet_Annual!K109</f>
        <v>0</v>
      </c>
      <c r="L38" s="147">
        <f>Balance_Sheet_Annual!L109</f>
        <v>0</v>
      </c>
      <c r="M38" s="147">
        <f>Balance_Sheet_Annual!M109</f>
        <v>0</v>
      </c>
      <c r="N38" s="147">
        <f>Balance_Sheet_Annual!N109</f>
        <v>0</v>
      </c>
      <c r="O38" s="147">
        <f>Balance_Sheet_Annual!O109</f>
        <v>0</v>
      </c>
      <c r="P38" s="147">
        <f>Balance_Sheet_Annual!P109</f>
        <v>0</v>
      </c>
      <c r="Q38" s="147">
        <f>Balance_Sheet_Annual!Q109</f>
        <v>0</v>
      </c>
      <c r="R38" s="147">
        <f>Balance_Sheet_Annual!R109</f>
        <v>0</v>
      </c>
      <c r="S38" s="147">
        <f>Balance_Sheet_Annual!S109</f>
        <v>0</v>
      </c>
      <c r="T38" s="147">
        <f>Balance_Sheet_Annual!T109</f>
        <v>0</v>
      </c>
      <c r="U38" s="147">
        <f>Balance_Sheet_Annual!U109</f>
        <v>0</v>
      </c>
      <c r="V38" s="147">
        <f>Balance_Sheet_Annual!V109</f>
        <v>0</v>
      </c>
      <c r="W38" s="147">
        <f>Balance_Sheet_Annual!W109</f>
        <v>0</v>
      </c>
      <c r="X38" s="147">
        <f>Balance_Sheet_Annual!X109</f>
        <v>0</v>
      </c>
      <c r="Y38" s="147">
        <f>Balance_Sheet_Annual!Y109</f>
        <v>0</v>
      </c>
      <c r="Z38" s="147">
        <f>Balance_Sheet_Annual!Z109</f>
        <v>0</v>
      </c>
      <c r="AA38" s="221">
        <f>Balance_Sheet_Annual!AA109</f>
        <v>0</v>
      </c>
      <c r="AB38" s="221">
        <f>Balance_Sheet_Annual!AB109</f>
        <v>3</v>
      </c>
    </row>
    <row r="39" spans="1:28">
      <c r="A39" s="1" t="s">
        <v>131</v>
      </c>
      <c r="B39" s="151">
        <f>Balance_Sheet_Annual!B117</f>
        <v>0</v>
      </c>
      <c r="C39" s="151">
        <f>Balance_Sheet_Annual!C117</f>
        <v>0</v>
      </c>
      <c r="D39" s="151">
        <f>Balance_Sheet_Annual!D117</f>
        <v>0</v>
      </c>
      <c r="E39" s="151">
        <f>Balance_Sheet_Annual!E117</f>
        <v>0</v>
      </c>
      <c r="F39" s="151">
        <f>Balance_Sheet_Annual!F117</f>
        <v>0</v>
      </c>
      <c r="G39" s="151">
        <f>Balance_Sheet_Annual!G117</f>
        <v>0</v>
      </c>
      <c r="H39" s="151">
        <f>Balance_Sheet_Annual!H117</f>
        <v>0</v>
      </c>
      <c r="I39" s="151">
        <f>Balance_Sheet_Annual!I117</f>
        <v>0</v>
      </c>
      <c r="J39" s="151">
        <f>Balance_Sheet_Annual!J117</f>
        <v>0</v>
      </c>
      <c r="K39" s="151">
        <f>Balance_Sheet_Annual!K117</f>
        <v>0</v>
      </c>
      <c r="L39" s="151">
        <f>Balance_Sheet_Annual!L117</f>
        <v>0</v>
      </c>
      <c r="M39" s="151">
        <f>Balance_Sheet_Annual!M117</f>
        <v>0</v>
      </c>
      <c r="N39" s="151">
        <f>Balance_Sheet_Annual!N117</f>
        <v>0</v>
      </c>
      <c r="O39" s="151">
        <f>Balance_Sheet_Annual!O117</f>
        <v>0</v>
      </c>
      <c r="P39" s="151">
        <f>Balance_Sheet_Annual!P117</f>
        <v>0</v>
      </c>
      <c r="Q39" s="151">
        <f>Balance_Sheet_Annual!Q117</f>
        <v>0</v>
      </c>
      <c r="R39" s="151">
        <f>Balance_Sheet_Annual!R117</f>
        <v>0</v>
      </c>
      <c r="S39" s="151">
        <f>Balance_Sheet_Annual!S117</f>
        <v>0</v>
      </c>
      <c r="T39" s="151">
        <f>Balance_Sheet_Annual!T117</f>
        <v>0</v>
      </c>
      <c r="U39" s="151">
        <f>Balance_Sheet_Annual!U117</f>
        <v>0</v>
      </c>
      <c r="V39" s="151">
        <f>Balance_Sheet_Annual!V117</f>
        <v>0</v>
      </c>
      <c r="W39" s="151">
        <f>Balance_Sheet_Annual!W117</f>
        <v>0</v>
      </c>
      <c r="X39" s="151">
        <f>Balance_Sheet_Annual!X117</f>
        <v>0</v>
      </c>
      <c r="Y39" s="151">
        <f>Balance_Sheet_Annual!Y117</f>
        <v>0</v>
      </c>
      <c r="Z39" s="151">
        <f>Balance_Sheet_Annual!Z117</f>
        <v>0</v>
      </c>
      <c r="AA39" s="225">
        <f>Balance_Sheet_Annual!AA117</f>
        <v>0</v>
      </c>
      <c r="AB39" s="225">
        <f>Balance_Sheet_Annual!AB117</f>
        <v>0.18090842143187924</v>
      </c>
    </row>
    <row r="40" spans="1:28">
      <c r="A40" s="1" t="s">
        <v>133</v>
      </c>
      <c r="B40" s="130">
        <f>Balance_Sheet_Annual!B118</f>
        <v>0</v>
      </c>
      <c r="C40" s="130">
        <f>Balance_Sheet_Annual!C118</f>
        <v>0</v>
      </c>
      <c r="D40" s="130">
        <f>Balance_Sheet_Annual!D118</f>
        <v>0</v>
      </c>
      <c r="E40" s="130">
        <f>Balance_Sheet_Annual!E118</f>
        <v>0</v>
      </c>
      <c r="F40" s="130">
        <f>Balance_Sheet_Annual!F118</f>
        <v>0</v>
      </c>
      <c r="G40" s="130">
        <f>Balance_Sheet_Annual!G118</f>
        <v>0</v>
      </c>
      <c r="H40" s="130">
        <f>Balance_Sheet_Annual!H118</f>
        <v>0</v>
      </c>
      <c r="I40" s="130">
        <f>Balance_Sheet_Annual!I118</f>
        <v>0</v>
      </c>
      <c r="J40" s="130">
        <f>Balance_Sheet_Annual!J118</f>
        <v>0</v>
      </c>
      <c r="K40" s="130">
        <f>Balance_Sheet_Annual!K118</f>
        <v>0</v>
      </c>
      <c r="L40" s="130">
        <f>Balance_Sheet_Annual!L118</f>
        <v>0</v>
      </c>
      <c r="M40" s="130">
        <f>Balance_Sheet_Annual!M118</f>
        <v>0</v>
      </c>
      <c r="N40" s="130">
        <f>Balance_Sheet_Annual!N118</f>
        <v>0</v>
      </c>
      <c r="O40" s="130">
        <f>Balance_Sheet_Annual!O118</f>
        <v>0</v>
      </c>
      <c r="P40" s="130">
        <f>Balance_Sheet_Annual!P118</f>
        <v>0</v>
      </c>
      <c r="Q40" s="130">
        <f>Balance_Sheet_Annual!Q118</f>
        <v>0</v>
      </c>
      <c r="R40" s="130">
        <f>Balance_Sheet_Annual!R118</f>
        <v>0</v>
      </c>
      <c r="S40" s="130">
        <f>Balance_Sheet_Annual!S118</f>
        <v>0</v>
      </c>
      <c r="T40" s="130">
        <f>Balance_Sheet_Annual!T118</f>
        <v>0</v>
      </c>
      <c r="U40" s="130">
        <f>Balance_Sheet_Annual!U118</f>
        <v>0</v>
      </c>
      <c r="V40" s="130">
        <f>Balance_Sheet_Annual!V118</f>
        <v>0</v>
      </c>
      <c r="W40" s="130">
        <f>Balance_Sheet_Annual!W118</f>
        <v>0</v>
      </c>
      <c r="X40" s="130">
        <f>Balance_Sheet_Annual!X118</f>
        <v>0</v>
      </c>
      <c r="Y40" s="130">
        <f>Balance_Sheet_Annual!Y118</f>
        <v>0</v>
      </c>
      <c r="Z40" s="130">
        <f>Balance_Sheet_Annual!Z118</f>
        <v>0</v>
      </c>
      <c r="AA40" s="186">
        <f>Balance_Sheet_Annual!AA118</f>
        <v>0</v>
      </c>
      <c r="AB40" s="186">
        <f>Balance_Sheet_Annual!AB118</f>
        <v>2.4944706401712979E-2</v>
      </c>
    </row>
    <row r="41" spans="1:28">
      <c r="A41" s="1"/>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38"/>
      <c r="AB41" s="38"/>
    </row>
    <row r="42" spans="1:28">
      <c r="A42" s="8" t="s">
        <v>159</v>
      </c>
      <c r="B42" s="154"/>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24"/>
      <c r="AB42" s="24"/>
    </row>
    <row r="43" spans="1:28">
      <c r="A43" s="4" t="s">
        <v>324</v>
      </c>
      <c r="B43" s="127"/>
      <c r="C43" s="127"/>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38"/>
      <c r="AB43" s="38"/>
    </row>
    <row r="44" spans="1:28">
      <c r="A44" s="1" t="s">
        <v>142</v>
      </c>
      <c r="B44" s="131">
        <v>0</v>
      </c>
      <c r="C44" s="131">
        <v>0</v>
      </c>
      <c r="D44" s="131">
        <v>0</v>
      </c>
      <c r="E44" s="131">
        <v>0</v>
      </c>
      <c r="F44" s="131">
        <v>0</v>
      </c>
      <c r="G44" s="131">
        <v>0</v>
      </c>
      <c r="H44" s="131">
        <v>0</v>
      </c>
      <c r="I44" s="131">
        <v>0</v>
      </c>
      <c r="J44" s="131">
        <v>0</v>
      </c>
      <c r="K44" s="131">
        <v>0</v>
      </c>
      <c r="L44" s="131"/>
      <c r="M44" s="131">
        <v>4760</v>
      </c>
      <c r="N44" s="131">
        <v>8334</v>
      </c>
      <c r="O44" s="131">
        <v>13347</v>
      </c>
      <c r="P44" s="131">
        <v>14215</v>
      </c>
      <c r="Q44" s="131">
        <v>14094</v>
      </c>
      <c r="R44" s="131">
        <v>14465</v>
      </c>
      <c r="S44" s="131">
        <v>14691</v>
      </c>
      <c r="T44" s="131">
        <v>16634</v>
      </c>
      <c r="U44" s="131">
        <v>26028</v>
      </c>
      <c r="V44" s="131">
        <v>19288</v>
      </c>
      <c r="W44" s="131">
        <v>18449</v>
      </c>
      <c r="X44" s="131">
        <v>20597</v>
      </c>
      <c r="Y44" s="131">
        <v>23441.519639999999</v>
      </c>
      <c r="Z44" s="131">
        <v>26526.961348949993</v>
      </c>
      <c r="AA44" s="169">
        <v>28255.166859386994</v>
      </c>
      <c r="AB44" s="169">
        <v>29950.47687095022</v>
      </c>
    </row>
    <row r="45" spans="1:28">
      <c r="A45" s="1" t="s">
        <v>143</v>
      </c>
      <c r="B45" s="130">
        <v>0</v>
      </c>
      <c r="C45" s="130">
        <v>0</v>
      </c>
      <c r="D45" s="130">
        <v>0</v>
      </c>
      <c r="E45" s="130">
        <v>0</v>
      </c>
      <c r="F45" s="130">
        <v>0</v>
      </c>
      <c r="G45" s="130">
        <v>0</v>
      </c>
      <c r="H45" s="130">
        <v>0</v>
      </c>
      <c r="I45" s="130">
        <v>0</v>
      </c>
      <c r="J45" s="130">
        <v>0</v>
      </c>
      <c r="K45" s="130">
        <v>0</v>
      </c>
      <c r="L45" s="130"/>
      <c r="M45" s="130" t="s">
        <v>371</v>
      </c>
      <c r="N45" s="130">
        <v>0.75084033613445378</v>
      </c>
      <c r="O45" s="130">
        <v>0.60151187904967607</v>
      </c>
      <c r="P45" s="130">
        <v>6.5033340825653596E-2</v>
      </c>
      <c r="Q45" s="130">
        <v>-8.5121350685894992E-3</v>
      </c>
      <c r="R45" s="130">
        <v>2.6323258124024473E-2</v>
      </c>
      <c r="S45" s="130">
        <v>1.5623919806429409E-2</v>
      </c>
      <c r="T45" s="130">
        <v>0.13225784493907833</v>
      </c>
      <c r="U45" s="130">
        <v>0.56474690393170612</v>
      </c>
      <c r="V45" s="130">
        <v>-0.25895189795604734</v>
      </c>
      <c r="W45" s="130">
        <v>-4.349854832019906E-2</v>
      </c>
      <c r="X45" s="130">
        <v>0.1164290747465988</v>
      </c>
      <c r="Y45" s="130">
        <v>0.13810358984318105</v>
      </c>
      <c r="Z45" s="130">
        <v>0.13162293897043598</v>
      </c>
      <c r="AA45" s="186">
        <v>6.5149019056621293E-2</v>
      </c>
      <c r="AB45" s="186">
        <v>6.0000000000000275E-2</v>
      </c>
    </row>
    <row r="46" spans="1:28">
      <c r="A46" s="1" t="s">
        <v>230</v>
      </c>
      <c r="B46" s="131">
        <v>0</v>
      </c>
      <c r="C46" s="131">
        <v>0</v>
      </c>
      <c r="D46" s="131">
        <v>0</v>
      </c>
      <c r="E46" s="131">
        <v>0</v>
      </c>
      <c r="F46" s="131">
        <v>0</v>
      </c>
      <c r="G46" s="131">
        <v>0</v>
      </c>
      <c r="H46" s="131">
        <v>0</v>
      </c>
      <c r="I46" s="131">
        <v>0</v>
      </c>
      <c r="J46" s="131">
        <v>0</v>
      </c>
      <c r="K46" s="131">
        <v>0</v>
      </c>
      <c r="L46" s="131"/>
      <c r="M46" s="131">
        <v>770</v>
      </c>
      <c r="N46" s="131">
        <v>1059</v>
      </c>
      <c r="O46" s="131">
        <v>2110</v>
      </c>
      <c r="P46" s="131">
        <v>2437</v>
      </c>
      <c r="Q46" s="131">
        <v>2355</v>
      </c>
      <c r="R46" s="131">
        <v>2347</v>
      </c>
      <c r="S46" s="131">
        <v>2268</v>
      </c>
      <c r="T46" s="131">
        <v>2613</v>
      </c>
      <c r="U46" s="131">
        <v>4849</v>
      </c>
      <c r="V46" s="131">
        <v>1470</v>
      </c>
      <c r="W46" s="131">
        <v>1799</v>
      </c>
      <c r="X46" s="131">
        <v>2574</v>
      </c>
      <c r="Y46" s="131">
        <v>3445.9033870799976</v>
      </c>
      <c r="Z46" s="131">
        <v>4376.9486225767505</v>
      </c>
      <c r="AA46" s="169">
        <v>5085.9300346896589</v>
      </c>
      <c r="AB46" s="169">
        <v>5810.392512964343</v>
      </c>
    </row>
    <row r="47" spans="1:28">
      <c r="A47" s="1" t="s">
        <v>231</v>
      </c>
      <c r="B47" s="130">
        <v>0</v>
      </c>
      <c r="C47" s="130">
        <v>0</v>
      </c>
      <c r="D47" s="130">
        <v>0</v>
      </c>
      <c r="E47" s="130">
        <v>0</v>
      </c>
      <c r="F47" s="130">
        <v>0</v>
      </c>
      <c r="G47" s="130">
        <v>0</v>
      </c>
      <c r="H47" s="130">
        <v>0</v>
      </c>
      <c r="I47" s="130">
        <v>0</v>
      </c>
      <c r="J47" s="130">
        <v>0</v>
      </c>
      <c r="K47" s="130">
        <v>0</v>
      </c>
      <c r="L47" s="130"/>
      <c r="M47" s="130">
        <v>0.16176470588235295</v>
      </c>
      <c r="N47" s="130">
        <v>0.12706983441324693</v>
      </c>
      <c r="O47" s="130">
        <v>0.15808795984116281</v>
      </c>
      <c r="P47" s="130">
        <v>0.17143862117481534</v>
      </c>
      <c r="Q47" s="130">
        <v>0.16463926174496643</v>
      </c>
      <c r="R47" s="130">
        <v>0.16225371586588316</v>
      </c>
      <c r="S47" s="130">
        <v>0.15438023279558913</v>
      </c>
      <c r="T47" s="130">
        <v>0.15708789226884695</v>
      </c>
      <c r="U47" s="130">
        <v>0.18629936990932841</v>
      </c>
      <c r="V47" s="130">
        <v>7.5679571663920919E-2</v>
      </c>
      <c r="W47" s="130">
        <v>9.7512060274269605E-2</v>
      </c>
      <c r="X47" s="130">
        <v>0.12496965577511288</v>
      </c>
      <c r="Y47" s="130">
        <v>0.14699999999999991</v>
      </c>
      <c r="Z47" s="130">
        <v>0.16500000000000006</v>
      </c>
      <c r="AA47" s="186">
        <v>0.18</v>
      </c>
      <c r="AB47" s="186">
        <v>0.19400000000000001</v>
      </c>
    </row>
    <row r="48" spans="1:28">
      <c r="A48" s="1" t="s">
        <v>160</v>
      </c>
      <c r="B48" s="221">
        <v>0</v>
      </c>
      <c r="C48" s="221">
        <v>0</v>
      </c>
      <c r="D48" s="221">
        <v>0</v>
      </c>
      <c r="E48" s="221">
        <v>0</v>
      </c>
      <c r="F48" s="221">
        <v>0</v>
      </c>
      <c r="G48" s="221">
        <v>0</v>
      </c>
      <c r="H48" s="221">
        <v>0</v>
      </c>
      <c r="I48" s="221">
        <v>0</v>
      </c>
      <c r="J48" s="221">
        <v>0</v>
      </c>
      <c r="K48" s="221">
        <v>0</v>
      </c>
      <c r="L48" s="221"/>
      <c r="M48" s="221">
        <v>0</v>
      </c>
      <c r="N48" s="221">
        <v>0</v>
      </c>
      <c r="O48" s="221">
        <v>0</v>
      </c>
      <c r="P48" s="221">
        <v>0</v>
      </c>
      <c r="Q48" s="221">
        <v>0</v>
      </c>
      <c r="R48" s="221">
        <v>0</v>
      </c>
      <c r="S48" s="221">
        <v>0</v>
      </c>
      <c r="T48" s="221">
        <v>0</v>
      </c>
      <c r="U48" s="221" t="s">
        <v>371</v>
      </c>
      <c r="V48" s="221">
        <v>1</v>
      </c>
      <c r="W48" s="221">
        <v>1</v>
      </c>
      <c r="X48" s="221">
        <v>1</v>
      </c>
      <c r="Y48" s="221">
        <v>1</v>
      </c>
      <c r="Z48" s="221">
        <v>0</v>
      </c>
      <c r="AA48" s="221">
        <v>0</v>
      </c>
      <c r="AB48" s="221">
        <v>0</v>
      </c>
    </row>
    <row r="49" spans="1:28">
      <c r="A49" s="1"/>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c r="AA49" s="38"/>
      <c r="AB49" s="38"/>
    </row>
    <row r="50" spans="1:28">
      <c r="A50" s="4" t="s">
        <v>295</v>
      </c>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c r="AA50" s="38"/>
      <c r="AB50" s="38"/>
    </row>
    <row r="51" spans="1:28">
      <c r="A51" s="1" t="s">
        <v>142</v>
      </c>
      <c r="B51" s="131"/>
      <c r="C51" s="131"/>
      <c r="D51" s="131"/>
      <c r="E51" s="131"/>
      <c r="F51" s="131"/>
      <c r="G51" s="131"/>
      <c r="H51" s="131"/>
      <c r="I51" s="131"/>
      <c r="J51" s="131"/>
      <c r="K51" s="131"/>
      <c r="L51" s="131">
        <f>'Pratt &amp; Whitney_Annual'!L26</f>
        <v>12935</v>
      </c>
      <c r="M51" s="131">
        <f>'Pratt &amp; Whitney_Annual'!M26</f>
        <v>12711</v>
      </c>
      <c r="N51" s="131">
        <f>'Pratt &amp; Whitney_Annual'!N26</f>
        <v>13964</v>
      </c>
      <c r="O51" s="131">
        <f>'Pratt &amp; Whitney_Annual'!O26</f>
        <v>14501</v>
      </c>
      <c r="P51" s="131">
        <f>'Pratt &amp; Whitney_Annual'!P26</f>
        <v>14508</v>
      </c>
      <c r="Q51" s="131">
        <f>'Pratt &amp; Whitney_Annual'!Q26</f>
        <v>14082</v>
      </c>
      <c r="R51" s="131">
        <f>'Pratt &amp; Whitney_Annual'!R26</f>
        <v>14894</v>
      </c>
      <c r="S51" s="131">
        <f>'Pratt &amp; Whitney_Annual'!S26</f>
        <v>16160</v>
      </c>
      <c r="T51" s="131">
        <f>'Pratt &amp; Whitney_Annual'!T26</f>
        <v>19397</v>
      </c>
      <c r="U51" s="131">
        <f>'Pratt &amp; Whitney_Annual'!U26</f>
        <v>20902</v>
      </c>
      <c r="V51" s="131">
        <f>'Pratt &amp; Whitney_Annual'!V26</f>
        <v>16799</v>
      </c>
      <c r="W51" s="131">
        <f>'Pratt &amp; Whitney_Annual'!W26</f>
        <v>18150</v>
      </c>
      <c r="X51" s="131">
        <f>'Pratt &amp; Whitney_Annual'!X26</f>
        <v>20530</v>
      </c>
      <c r="Y51" s="131">
        <f>'Pratt &amp; Whitney_Annual'!Y26</f>
        <v>18296</v>
      </c>
      <c r="Z51" s="131">
        <f>'Pratt &amp; Whitney_Annual'!Z26</f>
        <v>28066</v>
      </c>
      <c r="AA51" s="169">
        <f>'Pratt &amp; Whitney_Annual'!AA26</f>
        <v>32916</v>
      </c>
      <c r="AB51" s="169">
        <f>'Pratt &amp; Whitney_Annual'!AB26</f>
        <v>35647.712</v>
      </c>
    </row>
    <row r="52" spans="1:28">
      <c r="A52" s="1" t="s">
        <v>143</v>
      </c>
      <c r="B52" s="130"/>
      <c r="C52" s="130"/>
      <c r="D52" s="130"/>
      <c r="E52" s="130"/>
      <c r="F52" s="130"/>
      <c r="G52" s="130"/>
      <c r="H52" s="130"/>
      <c r="I52" s="130"/>
      <c r="J52" s="130"/>
      <c r="K52" s="130"/>
      <c r="L52" s="130" t="str">
        <f>'Pratt &amp; Whitney_Annual'!L27</f>
        <v>NM</v>
      </c>
      <c r="M52" s="130">
        <f>'Pratt &amp; Whitney_Annual'!M27</f>
        <v>-1.7317356010823293E-2</v>
      </c>
      <c r="N52" s="130">
        <f>'Pratt &amp; Whitney_Annual'!N27</f>
        <v>9.8576036503815523E-2</v>
      </c>
      <c r="O52" s="130">
        <f>'Pratt &amp; Whitney_Annual'!O27</f>
        <v>3.8456029790890911E-2</v>
      </c>
      <c r="P52" s="130">
        <f>'Pratt &amp; Whitney_Annual'!P27</f>
        <v>4.8272532928761436E-4</v>
      </c>
      <c r="Q52" s="130">
        <f>'Pratt &amp; Whitney_Annual'!Q27</f>
        <v>-2.9363110008271298E-2</v>
      </c>
      <c r="R52" s="130">
        <f>'Pratt &amp; Whitney_Annual'!R27</f>
        <v>5.7662263882971132E-2</v>
      </c>
      <c r="S52" s="130">
        <f>'Pratt &amp; Whitney_Annual'!S27</f>
        <v>8.5000671411306516E-2</v>
      </c>
      <c r="T52" s="130">
        <f>'Pratt &amp; Whitney_Annual'!T27</f>
        <v>0.2003094059405941</v>
      </c>
      <c r="U52" s="130">
        <f>'Pratt &amp; Whitney_Annual'!U27</f>
        <v>7.758931793576318E-2</v>
      </c>
      <c r="V52" s="130">
        <f>'Pratt &amp; Whitney_Annual'!V27</f>
        <v>-0.196297005071285</v>
      </c>
      <c r="W52" s="130">
        <f>'Pratt &amp; Whitney_Annual'!W27</f>
        <v>8.0421453657955722E-2</v>
      </c>
      <c r="X52" s="130">
        <f>'Pratt &amp; Whitney_Annual'!X27</f>
        <v>0.13112947658402208</v>
      </c>
      <c r="Y52" s="130">
        <f>'Pratt &amp; Whitney_Annual'!Y27</f>
        <v>-0.10881636629322944</v>
      </c>
      <c r="Z52" s="130">
        <f>'Pratt &amp; Whitney_Annual'!Z27</f>
        <v>0.53399650196764314</v>
      </c>
      <c r="AA52" s="186">
        <f>'Pratt &amp; Whitney_Annual'!AA27</f>
        <v>0.17280695503456145</v>
      </c>
      <c r="AB52" s="186">
        <f>'Pratt &amp; Whitney_Annual'!AB27</f>
        <v>8.2990399805565662E-2</v>
      </c>
    </row>
    <row r="53" spans="1:28">
      <c r="A53" s="1" t="s">
        <v>230</v>
      </c>
      <c r="B53" s="131"/>
      <c r="C53" s="131"/>
      <c r="D53" s="131"/>
      <c r="E53" s="131"/>
      <c r="F53" s="131"/>
      <c r="G53" s="131"/>
      <c r="H53" s="131"/>
      <c r="I53" s="131"/>
      <c r="J53" s="131"/>
      <c r="K53" s="131"/>
      <c r="L53" s="131">
        <f>'Pratt &amp; Whitney_Annual'!L43</f>
        <v>2125</v>
      </c>
      <c r="M53" s="131">
        <f>'Pratt &amp; Whitney_Annual'!M43</f>
        <v>1878</v>
      </c>
      <c r="N53" s="131">
        <f>'Pratt &amp; Whitney_Annual'!N43</f>
        <v>1685</v>
      </c>
      <c r="O53" s="131">
        <f>'Pratt &amp; Whitney_Annual'!O43</f>
        <v>1862</v>
      </c>
      <c r="P53" s="131">
        <f>'Pratt &amp; Whitney_Annual'!P43</f>
        <v>2063</v>
      </c>
      <c r="Q53" s="131">
        <f>'Pratt &amp; Whitney_Annual'!Q43</f>
        <v>1913</v>
      </c>
      <c r="R53" s="131">
        <f>'Pratt &amp; Whitney_Annual'!R43</f>
        <v>1751</v>
      </c>
      <c r="S53" s="131">
        <f>'Pratt &amp; Whitney_Annual'!S43</f>
        <v>1501</v>
      </c>
      <c r="T53" s="131">
        <f>'Pratt &amp; Whitney_Annual'!T43</f>
        <v>1562</v>
      </c>
      <c r="U53" s="131">
        <f>'Pratt &amp; Whitney_Annual'!U43</f>
        <v>1934</v>
      </c>
      <c r="V53" s="131">
        <f>'Pratt &amp; Whitney_Annual'!V43</f>
        <v>426</v>
      </c>
      <c r="W53" s="131">
        <f>'Pratt &amp; Whitney_Annual'!W43</f>
        <v>487</v>
      </c>
      <c r="X53" s="131">
        <f>'Pratt &amp; Whitney_Annual'!X43</f>
        <v>1250</v>
      </c>
      <c r="Y53" s="131">
        <f>'Pratt &amp; Whitney_Annual'!Y43</f>
        <v>1688</v>
      </c>
      <c r="Z53" s="131">
        <f>'Pratt &amp; Whitney_Annual'!Z43</f>
        <v>2281</v>
      </c>
      <c r="AA53" s="169">
        <f>'Pratt &amp; Whitney_Annual'!AA43</f>
        <v>2725</v>
      </c>
      <c r="AB53" s="169">
        <f>'Pratt &amp; Whitney_Annual'!AB43</f>
        <v>3065.7032319999998</v>
      </c>
    </row>
    <row r="54" spans="1:28">
      <c r="A54" s="1" t="s">
        <v>231</v>
      </c>
      <c r="B54" s="130"/>
      <c r="C54" s="130"/>
      <c r="D54" s="130"/>
      <c r="E54" s="130"/>
      <c r="F54" s="130"/>
      <c r="G54" s="130"/>
      <c r="H54" s="130"/>
      <c r="I54" s="130"/>
      <c r="J54" s="130"/>
      <c r="K54" s="130"/>
      <c r="L54" s="130">
        <f>'Pratt &amp; Whitney_Annual'!L46</f>
        <v>0.16428295322767686</v>
      </c>
      <c r="M54" s="130">
        <f>'Pratt &amp; Whitney_Annual'!M46</f>
        <v>0.14774604673117772</v>
      </c>
      <c r="N54" s="130">
        <f>'Pratt &amp; Whitney_Annual'!N46</f>
        <v>0.12066743053566313</v>
      </c>
      <c r="O54" s="130">
        <f>'Pratt &amp; Whitney_Annual'!O46</f>
        <v>0.128404937590511</v>
      </c>
      <c r="P54" s="130">
        <f>'Pratt &amp; Whitney_Annual'!P46</f>
        <v>0.14219740832644059</v>
      </c>
      <c r="Q54" s="130">
        <f>'Pratt &amp; Whitney_Annual'!Q46</f>
        <v>0.1344910011248594</v>
      </c>
      <c r="R54" s="130">
        <f>'Pratt &amp; Whitney_Annual'!R46</f>
        <v>0.1161294601406022</v>
      </c>
      <c r="S54" s="130">
        <f>'Pratt &amp; Whitney_Annual'!S46</f>
        <v>9.0722272589906311E-2</v>
      </c>
      <c r="T54" s="130">
        <f>'Pratt &amp; Whitney_Annual'!T46</f>
        <v>8.0527916688147655E-2</v>
      </c>
      <c r="U54" s="130">
        <f>'Pratt &amp; Whitney_Annual'!U46</f>
        <v>9.2527030906133387E-2</v>
      </c>
      <c r="V54" s="130">
        <f>'Pratt &amp; Whitney_Annual'!V46</f>
        <v>2.4732930794240594E-2</v>
      </c>
      <c r="W54" s="130">
        <f>'Pratt &amp; Whitney_Annual'!W46</f>
        <v>2.6831955922865015E-2</v>
      </c>
      <c r="X54" s="130">
        <f>'Pratt &amp; Whitney_Annual'!X46</f>
        <v>6.0886507549926937E-2</v>
      </c>
      <c r="Y54" s="130">
        <f>'Pratt &amp; Whitney_Annual'!Y46</f>
        <v>7.1232645482550538E-2</v>
      </c>
      <c r="Z54" s="130">
        <f>'Pratt &amp; Whitney_Annual'!Z46</f>
        <v>8.1272714316254546E-2</v>
      </c>
      <c r="AA54" s="186">
        <f>'Pratt &amp; Whitney_Annual'!AA46</f>
        <v>8.278648681492283E-2</v>
      </c>
      <c r="AB54" s="186">
        <f>'Pratt &amp; Whitney_Annual'!AB46</f>
        <v>8.5999999999999993E-2</v>
      </c>
    </row>
    <row r="55" spans="1:28">
      <c r="A55" s="1" t="s">
        <v>160</v>
      </c>
      <c r="B55" s="147"/>
      <c r="C55" s="147"/>
      <c r="D55" s="147"/>
      <c r="E55" s="147"/>
      <c r="F55" s="147"/>
      <c r="G55" s="147"/>
      <c r="H55" s="147"/>
      <c r="I55" s="147"/>
      <c r="J55" s="147"/>
      <c r="K55" s="147"/>
      <c r="L55" s="221">
        <v>0</v>
      </c>
      <c r="M55" s="221">
        <v>0</v>
      </c>
      <c r="N55" s="221">
        <v>0</v>
      </c>
      <c r="O55" s="221">
        <v>0</v>
      </c>
      <c r="P55" s="221">
        <v>0</v>
      </c>
      <c r="Q55" s="221">
        <v>0</v>
      </c>
      <c r="R55" s="221">
        <v>0</v>
      </c>
      <c r="S55" s="221">
        <v>0</v>
      </c>
      <c r="T55" s="221">
        <v>0</v>
      </c>
      <c r="U55" s="221" t="s">
        <v>371</v>
      </c>
      <c r="V55" s="221">
        <v>1</v>
      </c>
      <c r="W55" s="221">
        <v>1</v>
      </c>
      <c r="X55" s="221">
        <v>1</v>
      </c>
      <c r="Y55" s="221">
        <v>1</v>
      </c>
      <c r="Z55" s="221">
        <v>0</v>
      </c>
      <c r="AA55" s="221">
        <v>0</v>
      </c>
      <c r="AB55" s="221">
        <v>0</v>
      </c>
    </row>
    <row r="56" spans="1:28">
      <c r="A56" s="1"/>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c r="AA56" s="38"/>
      <c r="AB56" s="38"/>
    </row>
    <row r="57" spans="1:28">
      <c r="A57" s="4" t="s">
        <v>296</v>
      </c>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c r="AA57" s="38"/>
      <c r="AB57" s="38"/>
    </row>
    <row r="58" spans="1:28">
      <c r="A58" s="1" t="s">
        <v>142</v>
      </c>
      <c r="B58" s="131"/>
      <c r="C58" s="131"/>
      <c r="D58" s="131"/>
      <c r="E58" s="131"/>
      <c r="F58" s="131"/>
      <c r="G58" s="131"/>
      <c r="H58" s="131"/>
      <c r="I58" s="131"/>
      <c r="J58" s="131"/>
      <c r="K58" s="131"/>
      <c r="L58" s="131"/>
      <c r="M58" s="131"/>
      <c r="N58" s="131">
        <v>13158</v>
      </c>
      <c r="O58" s="131">
        <v>12416</v>
      </c>
      <c r="P58" s="131">
        <v>11961</v>
      </c>
      <c r="Q58" s="131">
        <v>11907</v>
      </c>
      <c r="R58" s="131">
        <v>12351</v>
      </c>
      <c r="S58" s="131">
        <v>12607</v>
      </c>
      <c r="T58" s="131">
        <v>13470</v>
      </c>
      <c r="U58" s="131">
        <v>14445</v>
      </c>
      <c r="V58" s="131">
        <v>10841</v>
      </c>
      <c r="W58" s="131">
        <v>15180</v>
      </c>
      <c r="X58" s="131">
        <v>14312</v>
      </c>
      <c r="Y58" s="131">
        <v>14312</v>
      </c>
      <c r="Z58" s="131">
        <v>15375.940000000002</v>
      </c>
      <c r="AA58" s="169">
        <v>16421.784</v>
      </c>
      <c r="AB58" s="169">
        <v>17838.524250000002</v>
      </c>
    </row>
    <row r="59" spans="1:28">
      <c r="A59" s="1" t="s">
        <v>143</v>
      </c>
      <c r="B59" s="130"/>
      <c r="C59" s="130"/>
      <c r="D59" s="130"/>
      <c r="E59" s="130"/>
      <c r="F59" s="130"/>
      <c r="G59" s="130"/>
      <c r="H59" s="130"/>
      <c r="I59" s="130"/>
      <c r="J59" s="130"/>
      <c r="K59" s="130"/>
      <c r="L59" s="130"/>
      <c r="M59" s="130"/>
      <c r="N59" s="130" t="s">
        <v>371</v>
      </c>
      <c r="O59" s="130">
        <v>-5.6391548867609109E-2</v>
      </c>
      <c r="P59" s="130">
        <v>-3.6646262886597891E-2</v>
      </c>
      <c r="Q59" s="130">
        <v>-4.5146726862302922E-3</v>
      </c>
      <c r="R59" s="130">
        <v>3.7288989669941985E-2</v>
      </c>
      <c r="S59" s="130">
        <v>2.07270666342807E-2</v>
      </c>
      <c r="T59" s="130">
        <v>6.8454033473467124E-2</v>
      </c>
      <c r="U59" s="130">
        <v>7.2383073496659289E-2</v>
      </c>
      <c r="V59" s="130">
        <v>-0.2494980962270682</v>
      </c>
      <c r="W59" s="130">
        <v>0.40023983027396004</v>
      </c>
      <c r="X59" s="130">
        <v>-5.7180500658761568E-2</v>
      </c>
      <c r="Y59" s="130">
        <v>0</v>
      </c>
      <c r="Z59" s="130">
        <v>7.4339016210173359E-2</v>
      </c>
      <c r="AA59" s="186">
        <v>6.8018215471704391E-2</v>
      </c>
      <c r="AB59" s="186">
        <v>8.6272006135265311E-2</v>
      </c>
    </row>
    <row r="60" spans="1:28">
      <c r="A60" s="1" t="s">
        <v>230</v>
      </c>
      <c r="B60" s="131"/>
      <c r="C60" s="131"/>
      <c r="D60" s="131"/>
      <c r="E60" s="131"/>
      <c r="F60" s="131"/>
      <c r="G60" s="131"/>
      <c r="H60" s="131"/>
      <c r="I60" s="131"/>
      <c r="J60" s="131"/>
      <c r="K60" s="131"/>
      <c r="L60" s="131"/>
      <c r="M60" s="131"/>
      <c r="N60" s="131">
        <v>1524</v>
      </c>
      <c r="O60" s="131">
        <v>1430</v>
      </c>
      <c r="P60" s="131">
        <v>1341</v>
      </c>
      <c r="Q60" s="131">
        <v>1294</v>
      </c>
      <c r="R60" s="131">
        <v>1275</v>
      </c>
      <c r="S60" s="131">
        <v>1317</v>
      </c>
      <c r="T60" s="131">
        <v>1422</v>
      </c>
      <c r="U60" s="131">
        <v>1637</v>
      </c>
      <c r="V60" s="131">
        <v>1439</v>
      </c>
      <c r="W60" s="131">
        <v>1594</v>
      </c>
      <c r="X60" s="131">
        <v>1342</v>
      </c>
      <c r="Y60" s="131">
        <v>1416.8880000000008</v>
      </c>
      <c r="Z60" s="131">
        <v>1614.4737000000005</v>
      </c>
      <c r="AA60" s="169">
        <v>1806.39624</v>
      </c>
      <c r="AB60" s="169">
        <v>1962.2376675000003</v>
      </c>
    </row>
    <row r="61" spans="1:28">
      <c r="A61" s="1" t="s">
        <v>231</v>
      </c>
      <c r="B61" s="130"/>
      <c r="C61" s="130"/>
      <c r="D61" s="130"/>
      <c r="E61" s="130"/>
      <c r="F61" s="130"/>
      <c r="G61" s="130"/>
      <c r="H61" s="130"/>
      <c r="I61" s="130"/>
      <c r="J61" s="130"/>
      <c r="K61" s="130"/>
      <c r="L61" s="130"/>
      <c r="M61" s="130"/>
      <c r="N61" s="130">
        <v>0.11582307341541268</v>
      </c>
      <c r="O61" s="130">
        <v>0.11517396907216494</v>
      </c>
      <c r="P61" s="130">
        <v>0.11211437170805116</v>
      </c>
      <c r="Q61" s="130">
        <v>0.10867556899302931</v>
      </c>
      <c r="R61" s="130">
        <v>0.10323050765120233</v>
      </c>
      <c r="S61" s="130">
        <v>0.10446577298326326</v>
      </c>
      <c r="T61" s="130">
        <v>0.10556792873051225</v>
      </c>
      <c r="U61" s="130">
        <v>0.1133264105226722</v>
      </c>
      <c r="V61" s="130">
        <v>9.619626980413129E-2</v>
      </c>
      <c r="W61" s="130">
        <v>0.10500658761528327</v>
      </c>
      <c r="X61" s="130">
        <v>9.3767467859139184E-2</v>
      </c>
      <c r="Y61" s="130">
        <v>9.900000000000006E-2</v>
      </c>
      <c r="Z61" s="130">
        <v>0.10500000000000001</v>
      </c>
      <c r="AA61" s="186">
        <v>0.11</v>
      </c>
      <c r="AB61" s="186">
        <v>0.11</v>
      </c>
    </row>
    <row r="62" spans="1:28">
      <c r="A62" s="1" t="s">
        <v>160</v>
      </c>
      <c r="B62" s="147"/>
      <c r="C62" s="147"/>
      <c r="D62" s="147"/>
      <c r="E62" s="147"/>
      <c r="F62" s="147"/>
      <c r="G62" s="147"/>
      <c r="H62" s="147"/>
      <c r="I62" s="147"/>
      <c r="J62" s="147"/>
      <c r="K62" s="147"/>
      <c r="L62" s="221"/>
      <c r="M62" s="221"/>
      <c r="N62" s="221">
        <v>0</v>
      </c>
      <c r="O62" s="221">
        <v>0</v>
      </c>
      <c r="P62" s="221">
        <v>0</v>
      </c>
      <c r="Q62" s="221">
        <v>0</v>
      </c>
      <c r="R62" s="221">
        <v>0</v>
      </c>
      <c r="S62" s="221">
        <v>0</v>
      </c>
      <c r="T62" s="221">
        <v>0</v>
      </c>
      <c r="U62" s="221" t="s">
        <v>371</v>
      </c>
      <c r="V62" s="221">
        <v>1</v>
      </c>
      <c r="W62" s="221">
        <v>1</v>
      </c>
      <c r="X62" s="221">
        <v>1</v>
      </c>
      <c r="Y62" s="221">
        <v>1</v>
      </c>
      <c r="Z62" s="221">
        <v>0</v>
      </c>
      <c r="AA62" s="221">
        <v>0</v>
      </c>
      <c r="AB62" s="221">
        <v>0</v>
      </c>
    </row>
    <row r="63" spans="1:28">
      <c r="A63" s="1"/>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c r="AA63" s="38"/>
      <c r="AB63" s="38"/>
    </row>
    <row r="64" spans="1:28">
      <c r="A64" s="4" t="s">
        <v>297</v>
      </c>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c r="AA64" s="38"/>
      <c r="AB64" s="38"/>
    </row>
    <row r="65" spans="1:28">
      <c r="A65" s="1" t="s">
        <v>142</v>
      </c>
      <c r="B65" s="131"/>
      <c r="C65" s="131"/>
      <c r="D65" s="131"/>
      <c r="E65" s="131"/>
      <c r="F65" s="131"/>
      <c r="G65" s="131"/>
      <c r="H65" s="131"/>
      <c r="I65" s="131"/>
      <c r="J65" s="131"/>
      <c r="K65" s="131"/>
      <c r="L65" s="131"/>
      <c r="M65" s="131"/>
      <c r="N65" s="131">
        <v>13131</v>
      </c>
      <c r="O65" s="131">
        <v>13088</v>
      </c>
      <c r="P65" s="131">
        <v>12394</v>
      </c>
      <c r="Q65" s="131">
        <v>12403</v>
      </c>
      <c r="R65" s="131">
        <v>12625</v>
      </c>
      <c r="S65" s="131">
        <v>13591</v>
      </c>
      <c r="T65" s="131">
        <v>14478</v>
      </c>
      <c r="U65" s="131">
        <v>15494</v>
      </c>
      <c r="V65" s="131">
        <v>11606</v>
      </c>
      <c r="W65" s="131">
        <v>15539</v>
      </c>
      <c r="X65" s="131">
        <v>14863</v>
      </c>
      <c r="Y65" s="131">
        <v>15452.780000000002</v>
      </c>
      <c r="Z65" s="131">
        <v>16547.773999999998</v>
      </c>
      <c r="AA65" s="169">
        <v>17500.665703999999</v>
      </c>
      <c r="AB65" s="169">
        <v>18822.99615504</v>
      </c>
    </row>
    <row r="66" spans="1:28">
      <c r="A66" s="1" t="s">
        <v>143</v>
      </c>
      <c r="B66" s="130"/>
      <c r="C66" s="130"/>
      <c r="D66" s="130"/>
      <c r="E66" s="130"/>
      <c r="F66" s="130"/>
      <c r="G66" s="130"/>
      <c r="H66" s="130"/>
      <c r="I66" s="130"/>
      <c r="J66" s="130"/>
      <c r="K66" s="130"/>
      <c r="L66" s="130"/>
      <c r="M66" s="130"/>
      <c r="N66" s="130" t="s">
        <v>371</v>
      </c>
      <c r="O66" s="130">
        <v>-3.2746934734597666E-3</v>
      </c>
      <c r="P66" s="130">
        <v>-5.3025672371638133E-2</v>
      </c>
      <c r="Q66" s="130">
        <v>7.261578182991002E-4</v>
      </c>
      <c r="R66" s="130">
        <v>1.7898895428525297E-2</v>
      </c>
      <c r="S66" s="130">
        <v>7.6514851485148583E-2</v>
      </c>
      <c r="T66" s="130">
        <v>6.5263777499816156E-2</v>
      </c>
      <c r="U66" s="130">
        <v>7.0175438596491224E-2</v>
      </c>
      <c r="V66" s="130">
        <v>-0.25093584613398734</v>
      </c>
      <c r="W66" s="130">
        <v>0.33887644321902455</v>
      </c>
      <c r="X66" s="130">
        <v>-4.3503442949996751E-2</v>
      </c>
      <c r="Y66" s="130">
        <v>3.968108726367503E-2</v>
      </c>
      <c r="Z66" s="130">
        <v>7.0860647728110626E-2</v>
      </c>
      <c r="AA66" s="186">
        <v>5.7584283179115348E-2</v>
      </c>
      <c r="AB66" s="186">
        <v>7.5558865782903606E-2</v>
      </c>
    </row>
    <row r="67" spans="1:28">
      <c r="A67" s="1" t="s">
        <v>230</v>
      </c>
      <c r="B67" s="131"/>
      <c r="C67" s="131"/>
      <c r="D67" s="131"/>
      <c r="E67" s="131"/>
      <c r="F67" s="131"/>
      <c r="G67" s="131"/>
      <c r="H67" s="131"/>
      <c r="I67" s="131"/>
      <c r="J67" s="131"/>
      <c r="K67" s="131"/>
      <c r="L67" s="131"/>
      <c r="M67" s="131"/>
      <c r="N67" s="131">
        <v>1908</v>
      </c>
      <c r="O67" s="131">
        <v>1945</v>
      </c>
      <c r="P67" s="131">
        <v>1774</v>
      </c>
      <c r="Q67" s="131">
        <v>1732</v>
      </c>
      <c r="R67" s="131">
        <v>1734</v>
      </c>
      <c r="S67" s="131">
        <v>1945</v>
      </c>
      <c r="T67" s="131">
        <v>1996</v>
      </c>
      <c r="U67" s="131">
        <v>2040</v>
      </c>
      <c r="V67" s="131">
        <v>1960</v>
      </c>
      <c r="W67" s="131">
        <v>2004</v>
      </c>
      <c r="X67" s="131">
        <v>1569</v>
      </c>
      <c r="Y67" s="131">
        <v>1746.1641400000008</v>
      </c>
      <c r="Z67" s="131">
        <v>1902.9940100000003</v>
      </c>
      <c r="AA67" s="169">
        <v>2100.0798844799997</v>
      </c>
      <c r="AB67" s="169">
        <v>2352.87451938</v>
      </c>
    </row>
    <row r="68" spans="1:28">
      <c r="A68" s="1" t="s">
        <v>231</v>
      </c>
      <c r="B68" s="130"/>
      <c r="C68" s="130"/>
      <c r="D68" s="130"/>
      <c r="E68" s="130"/>
      <c r="F68" s="130"/>
      <c r="G68" s="130"/>
      <c r="H68" s="130"/>
      <c r="I68" s="130"/>
      <c r="J68" s="130"/>
      <c r="K68" s="130"/>
      <c r="L68" s="130"/>
      <c r="M68" s="130"/>
      <c r="N68" s="130">
        <v>0.14530500342700481</v>
      </c>
      <c r="O68" s="130">
        <v>0.148609413202934</v>
      </c>
      <c r="P68" s="130">
        <v>0.14313377440697111</v>
      </c>
      <c r="Q68" s="130">
        <v>0.13964363460453116</v>
      </c>
      <c r="R68" s="130">
        <v>0.13734653465346536</v>
      </c>
      <c r="S68" s="130">
        <v>0.14310941063939372</v>
      </c>
      <c r="T68" s="130">
        <v>0.13786434590413041</v>
      </c>
      <c r="U68" s="130">
        <v>0.13166386988511683</v>
      </c>
      <c r="V68" s="130">
        <v>0.12760416666666666</v>
      </c>
      <c r="W68" s="130">
        <v>0.12896582791685438</v>
      </c>
      <c r="X68" s="130">
        <v>0.10556415259368902</v>
      </c>
      <c r="Y68" s="130">
        <v>0.11300000000000003</v>
      </c>
      <c r="Z68" s="130">
        <v>0.11500000000000003</v>
      </c>
      <c r="AA68" s="186">
        <v>0.12</v>
      </c>
      <c r="AB68" s="186">
        <v>0.125</v>
      </c>
    </row>
    <row r="69" spans="1:28">
      <c r="A69" s="1" t="s">
        <v>160</v>
      </c>
      <c r="B69" s="147"/>
      <c r="C69" s="147"/>
      <c r="D69" s="147"/>
      <c r="E69" s="147"/>
      <c r="F69" s="147"/>
      <c r="G69" s="147"/>
      <c r="H69" s="147"/>
      <c r="I69" s="147"/>
      <c r="J69" s="147"/>
      <c r="K69" s="147"/>
      <c r="L69" s="221"/>
      <c r="M69" s="221"/>
      <c r="N69" s="221">
        <v>0</v>
      </c>
      <c r="O69" s="221">
        <v>0</v>
      </c>
      <c r="P69" s="221">
        <v>0</v>
      </c>
      <c r="Q69" s="221">
        <v>0</v>
      </c>
      <c r="R69" s="221">
        <v>0</v>
      </c>
      <c r="S69" s="221">
        <v>0</v>
      </c>
      <c r="T69" s="221">
        <v>0</v>
      </c>
      <c r="U69" s="221" t="s">
        <v>371</v>
      </c>
      <c r="V69" s="221">
        <v>1</v>
      </c>
      <c r="W69" s="221">
        <v>1</v>
      </c>
      <c r="X69" s="221">
        <v>1</v>
      </c>
      <c r="Y69" s="221">
        <v>1</v>
      </c>
      <c r="Z69" s="221">
        <v>0</v>
      </c>
      <c r="AA69" s="221">
        <v>0</v>
      </c>
      <c r="AB69" s="221">
        <v>0</v>
      </c>
    </row>
    <row r="70" spans="1:28">
      <c r="A70" s="1"/>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c r="AA70" s="38"/>
      <c r="AB70" s="38"/>
    </row>
    <row r="71" spans="1:28">
      <c r="A71" s="1"/>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38"/>
      <c r="AB71" s="38"/>
    </row>
    <row r="72" spans="1:28">
      <c r="A72" s="1"/>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38"/>
      <c r="AB72" s="38"/>
    </row>
    <row r="73" spans="1:28">
      <c r="A73" s="1"/>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c r="AA73" s="38"/>
      <c r="AB73" s="38"/>
    </row>
    <row r="74" spans="1:28">
      <c r="A74" s="1"/>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38"/>
      <c r="AB74" s="38"/>
    </row>
    <row r="75" spans="1:28">
      <c r="A75" s="1"/>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c r="AA75" s="38"/>
      <c r="AB75" s="38"/>
    </row>
    <row r="76" spans="1:28">
      <c r="A76" s="1"/>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c r="AA76" s="38"/>
      <c r="AB76" s="38"/>
    </row>
    <row r="77" spans="1:28">
      <c r="A77" s="1"/>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c r="AA77" s="38"/>
      <c r="AB77" s="38"/>
    </row>
    <row r="78" spans="1:28">
      <c r="A78" s="1"/>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c r="AA78" s="38"/>
      <c r="AB78" s="38"/>
    </row>
    <row r="79" spans="1:28">
      <c r="A79" s="1"/>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c r="AA79" s="38"/>
      <c r="AB79" s="38"/>
    </row>
    <row r="80" spans="1:28">
      <c r="A80" s="1"/>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c r="AA80" s="38"/>
      <c r="AB80" s="38"/>
    </row>
    <row r="81" spans="1:28">
      <c r="A81" s="1"/>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c r="AA81" s="38"/>
      <c r="AB81" s="38"/>
    </row>
    <row r="82" spans="1:28">
      <c r="A82" s="1"/>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c r="AA82" s="38"/>
      <c r="AB82" s="38"/>
    </row>
    <row r="83" spans="1:28">
      <c r="A83" s="1"/>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c r="AA83" s="38"/>
      <c r="AB83" s="38"/>
    </row>
    <row r="84" spans="1:28">
      <c r="A84" s="1"/>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c r="AA84" s="38"/>
      <c r="AB84" s="38"/>
    </row>
    <row r="85" spans="1:28">
      <c r="A85" s="1"/>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c r="AA85" s="38"/>
      <c r="AB85" s="38"/>
    </row>
    <row r="86" spans="1:28">
      <c r="A86" s="1"/>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c r="AA86" s="38"/>
      <c r="AB86" s="38"/>
    </row>
    <row r="87" spans="1:28">
      <c r="A87" s="1"/>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c r="AA87" s="38"/>
      <c r="AB87" s="38"/>
    </row>
    <row r="88" spans="1:28">
      <c r="A88" s="1"/>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c r="AA88" s="38"/>
      <c r="AB88" s="38"/>
    </row>
    <row r="89" spans="1:28">
      <c r="A89" s="1"/>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c r="AA89" s="38"/>
      <c r="AB89" s="38"/>
    </row>
    <row r="90" spans="1:28">
      <c r="A90" s="1"/>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c r="AA90" s="38"/>
      <c r="AB90" s="38"/>
    </row>
    <row r="91" spans="1:28">
      <c r="A91" s="1"/>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c r="AA91" s="38"/>
      <c r="AB91" s="38"/>
    </row>
    <row r="92" spans="1:28">
      <c r="A92" s="1"/>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c r="AA92" s="38"/>
      <c r="AB92" s="38"/>
    </row>
    <row r="93" spans="1:28">
      <c r="A93" s="1"/>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c r="AA93" s="38"/>
      <c r="AB93" s="38"/>
    </row>
    <row r="94" spans="1:28">
      <c r="A94" s="1"/>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c r="AA94" s="38"/>
      <c r="AB94" s="38"/>
    </row>
    <row r="95" spans="1:28">
      <c r="A95" s="1"/>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c r="AA95" s="38"/>
      <c r="AB95" s="38"/>
    </row>
    <row r="96" spans="1:28">
      <c r="A96" s="1"/>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c r="AA96" s="38"/>
      <c r="AB96" s="38"/>
    </row>
    <row r="97" spans="1:28">
      <c r="A97" s="1"/>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c r="AA97" s="38"/>
      <c r="AB97" s="38"/>
    </row>
    <row r="98" spans="1:28">
      <c r="A98" s="1"/>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c r="AA98" s="38"/>
      <c r="AB98" s="38"/>
    </row>
    <row r="99" spans="1:28">
      <c r="A99" s="1"/>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c r="AA99" s="38"/>
      <c r="AB99" s="38"/>
    </row>
    <row r="100" spans="1:28">
      <c r="A100" s="1"/>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c r="AA100" s="38"/>
      <c r="AB100" s="38"/>
    </row>
    <row r="101" spans="1:28">
      <c r="A101" s="1"/>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c r="AA101" s="38"/>
      <c r="AB101" s="38"/>
    </row>
    <row r="102" spans="1:28">
      <c r="A102" s="1"/>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c r="AA102" s="38"/>
      <c r="AB102" s="38"/>
    </row>
    <row r="103" spans="1:28">
      <c r="A103" s="1"/>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c r="AA103" s="38"/>
      <c r="AB103" s="38"/>
    </row>
    <row r="104" spans="1:28">
      <c r="A104" s="1"/>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c r="AA104" s="38"/>
      <c r="AB104" s="38"/>
    </row>
    <row r="105" spans="1:28">
      <c r="A105" s="1"/>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c r="AA105" s="38"/>
      <c r="AB105" s="38"/>
    </row>
    <row r="106" spans="1:28">
      <c r="A106" s="1"/>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c r="AA106" s="38"/>
      <c r="AB106" s="38"/>
    </row>
    <row r="107" spans="1:28">
      <c r="A107" s="1"/>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c r="AA107" s="38"/>
      <c r="AB107" s="38"/>
    </row>
    <row r="108" spans="1:28">
      <c r="A108" s="1"/>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c r="AA108" s="38"/>
      <c r="AB108" s="38"/>
    </row>
    <row r="109" spans="1:28">
      <c r="A109" s="1"/>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c r="AA109" s="38"/>
      <c r="AB109" s="38"/>
    </row>
    <row r="110" spans="1:28">
      <c r="A110" s="1"/>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c r="AA110" s="38"/>
      <c r="AB110" s="38"/>
    </row>
    <row r="111" spans="1:28">
      <c r="A111" s="1"/>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c r="AA111" s="38"/>
      <c r="AB111" s="38"/>
    </row>
    <row r="112" spans="1:28">
      <c r="A112" s="1"/>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c r="AA112" s="38"/>
      <c r="AB112" s="38"/>
    </row>
    <row r="113" spans="1:28">
      <c r="A113" s="1"/>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c r="AA113" s="38"/>
      <c r="AB113" s="38"/>
    </row>
    <row r="114" spans="1:28">
      <c r="A114" s="1"/>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c r="AA114" s="38"/>
      <c r="AB114" s="38"/>
    </row>
    <row r="115" spans="1:28">
      <c r="A115" s="1"/>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c r="AA115" s="38"/>
      <c r="AB115" s="38"/>
    </row>
    <row r="116" spans="1:28">
      <c r="A116" s="1"/>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c r="AA116" s="38"/>
      <c r="AB116" s="38"/>
    </row>
    <row r="117" spans="1:28">
      <c r="A117" s="1"/>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c r="AA117" s="38"/>
      <c r="AB117" s="38"/>
    </row>
    <row r="118" spans="1:28">
      <c r="A118" s="1"/>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c r="AA118" s="38"/>
      <c r="AB118" s="38"/>
    </row>
    <row r="119" spans="1:28">
      <c r="A119" s="1"/>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38"/>
      <c r="AB119" s="38"/>
    </row>
    <row r="120" spans="1:28">
      <c r="A120" s="1"/>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38"/>
      <c r="AB120" s="38"/>
    </row>
    <row r="121" spans="1:28">
      <c r="A121" s="1"/>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38"/>
      <c r="AB121" s="38"/>
    </row>
    <row r="122" spans="1:28">
      <c r="A122" s="1"/>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c r="AA122" s="38"/>
      <c r="AB122" s="38"/>
    </row>
    <row r="123" spans="1:28">
      <c r="A123" s="1"/>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38"/>
      <c r="AB123" s="38"/>
    </row>
    <row r="124" spans="1:28">
      <c r="A124" s="1"/>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c r="AA124" s="38"/>
      <c r="AB124" s="38"/>
    </row>
    <row r="125" spans="1:28">
      <c r="A125" s="1"/>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c r="AA125" s="38"/>
      <c r="AB125" s="38"/>
    </row>
    <row r="126" spans="1:28">
      <c r="A126" s="1"/>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c r="AA126" s="38"/>
      <c r="AB126" s="38"/>
    </row>
    <row r="127" spans="1:28">
      <c r="A127" s="1"/>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c r="AA127" s="38"/>
      <c r="AB127" s="38"/>
    </row>
    <row r="128" spans="1:28">
      <c r="A128" s="1"/>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c r="AA128" s="38"/>
      <c r="AB128" s="38"/>
    </row>
    <row r="129" spans="1:28">
      <c r="A129" s="1"/>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c r="AA129" s="38"/>
      <c r="AB129" s="38"/>
    </row>
    <row r="130" spans="1:28">
      <c r="A130" s="1"/>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c r="AA130" s="38"/>
      <c r="AB130" s="38"/>
    </row>
    <row r="131" spans="1:28">
      <c r="A131" s="1"/>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c r="AA131" s="38"/>
      <c r="AB131" s="38"/>
    </row>
    <row r="132" spans="1:28">
      <c r="A132" s="1"/>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c r="AA132" s="38"/>
      <c r="AB132" s="38"/>
    </row>
    <row r="133" spans="1:28">
      <c r="A133" s="1"/>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c r="AA133" s="38"/>
      <c r="AB133" s="38"/>
    </row>
    <row r="134" spans="1:28">
      <c r="A134" s="1"/>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c r="AA134" s="38"/>
      <c r="AB134" s="38"/>
    </row>
    <row r="135" spans="1:28">
      <c r="A135" s="1"/>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c r="AA135" s="38"/>
      <c r="AB135" s="38"/>
    </row>
    <row r="136" spans="1:28">
      <c r="A136" s="1"/>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c r="AA136" s="38"/>
      <c r="AB136" s="38"/>
    </row>
    <row r="137" spans="1:28">
      <c r="A137" s="1"/>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c r="AA137" s="38"/>
      <c r="AB137" s="38"/>
    </row>
    <row r="138" spans="1:28">
      <c r="A138" s="1"/>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c r="AA138" s="38"/>
      <c r="AB138" s="38"/>
    </row>
    <row r="139" spans="1:28">
      <c r="A139" s="1"/>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c r="AA139" s="38"/>
      <c r="AB139" s="38"/>
    </row>
    <row r="140" spans="1:28">
      <c r="A140" s="1"/>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c r="AA140" s="38"/>
      <c r="AB140" s="3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tabColor theme="4" tint="0.39997558519241921"/>
  </sheetPr>
  <dimension ref="A1:AT144"/>
  <sheetViews>
    <sheetView showGridLines="0" zoomScale="90" zoomScaleNormal="90" workbookViewId="0">
      <pane xSplit="1" ySplit="2" topLeftCell="V9" activePane="bottomRight" state="frozen"/>
      <selection activeCell="V84" sqref="V84"/>
      <selection pane="topRight" activeCell="V84" sqref="V84"/>
      <selection pane="bottomLeft" activeCell="V84" sqref="V84"/>
      <selection pane="bottomRight" activeCell="AF51" sqref="AF51"/>
    </sheetView>
  </sheetViews>
  <sheetFormatPr defaultRowHeight="15" outlineLevelRow="1" outlineLevelCol="1"/>
  <cols>
    <col min="1" max="1" width="52.140625" customWidth="1"/>
    <col min="2" max="11" width="12.140625" style="25" hidden="1" customWidth="1"/>
    <col min="12" max="33" width="12.140625" style="25" customWidth="1"/>
    <col min="34" max="34" width="22.140625" style="315" customWidth="1"/>
    <col min="35" max="35" width="10.42578125" customWidth="1"/>
    <col min="36" max="36" width="13.5703125" customWidth="1"/>
    <col min="37" max="40" width="9.140625" customWidth="1"/>
    <col min="41" max="41" width="52.28515625" customWidth="1" outlineLevel="1"/>
    <col min="42" max="46" width="9.140625" customWidth="1" outlineLevel="1"/>
  </cols>
  <sheetData>
    <row r="1" spans="1:38">
      <c r="A1" s="14" t="s">
        <v>21</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row>
    <row r="2" spans="1:38">
      <c r="B2" s="153" t="s">
        <v>204</v>
      </c>
      <c r="C2" s="153" t="s">
        <v>203</v>
      </c>
      <c r="D2" s="153" t="s">
        <v>202</v>
      </c>
      <c r="E2" s="153" t="s">
        <v>201</v>
      </c>
      <c r="F2" s="153" t="s">
        <v>200</v>
      </c>
      <c r="G2" s="153" t="s">
        <v>199</v>
      </c>
      <c r="H2" s="153" t="s">
        <v>198</v>
      </c>
      <c r="I2" s="153" t="s">
        <v>197</v>
      </c>
      <c r="J2" s="153" t="s">
        <v>196</v>
      </c>
      <c r="K2" s="153" t="s">
        <v>195</v>
      </c>
      <c r="L2" s="153" t="s">
        <v>194</v>
      </c>
      <c r="M2" s="153" t="s">
        <v>193</v>
      </c>
      <c r="N2" s="153" t="s">
        <v>192</v>
      </c>
      <c r="O2" s="153" t="s">
        <v>191</v>
      </c>
      <c r="P2" s="153" t="s">
        <v>190</v>
      </c>
      <c r="Q2" s="153" t="s">
        <v>189</v>
      </c>
      <c r="R2" s="153" t="s">
        <v>184</v>
      </c>
      <c r="S2" s="153" t="s">
        <v>179</v>
      </c>
      <c r="T2" s="153" t="s">
        <v>174</v>
      </c>
      <c r="U2" s="153" t="s">
        <v>169</v>
      </c>
      <c r="V2" s="153" t="s">
        <v>400</v>
      </c>
      <c r="W2" s="153" t="s">
        <v>422</v>
      </c>
      <c r="X2" s="153" t="s">
        <v>437</v>
      </c>
      <c r="Y2" s="153" t="s">
        <v>458</v>
      </c>
      <c r="Z2" s="153" t="s">
        <v>489</v>
      </c>
      <c r="AA2" s="10" t="s">
        <v>508</v>
      </c>
      <c r="AB2" s="10" t="s">
        <v>419</v>
      </c>
      <c r="AC2" s="10" t="s">
        <v>435</v>
      </c>
      <c r="AD2" s="10" t="s">
        <v>456</v>
      </c>
      <c r="AE2" s="10" t="s">
        <v>486</v>
      </c>
      <c r="AF2" s="10" t="s">
        <v>506</v>
      </c>
      <c r="AG2" s="533"/>
      <c r="AH2" s="314"/>
    </row>
    <row r="3" spans="1:38">
      <c r="A3" s="1" t="str">
        <f>ProForma_IS_Qtr!A3</f>
        <v>Collins Aerospace Systems</v>
      </c>
      <c r="B3" s="127">
        <v>0</v>
      </c>
      <c r="C3" s="127">
        <v>0</v>
      </c>
      <c r="D3" s="127">
        <v>0</v>
      </c>
      <c r="E3" s="127">
        <v>0</v>
      </c>
      <c r="F3" s="127">
        <v>0</v>
      </c>
      <c r="G3" s="127">
        <v>0</v>
      </c>
      <c r="H3" s="127">
        <v>0</v>
      </c>
      <c r="I3" s="127">
        <v>0</v>
      </c>
      <c r="J3" s="127">
        <v>0</v>
      </c>
      <c r="K3" s="127">
        <v>0</v>
      </c>
      <c r="L3" s="127">
        <v>0</v>
      </c>
      <c r="M3" s="127">
        <v>4760</v>
      </c>
      <c r="N3" s="127">
        <v>8334</v>
      </c>
      <c r="O3" s="127">
        <v>13347</v>
      </c>
      <c r="P3" s="127">
        <v>14215</v>
      </c>
      <c r="Q3" s="127">
        <f>+ProForma_IS_Qtr!F3</f>
        <v>14304</v>
      </c>
      <c r="R3" s="127">
        <f>+ProForma_IS_Qtr!K3</f>
        <v>14465</v>
      </c>
      <c r="S3" s="127">
        <f>+ProForma_IS_Qtr!P3</f>
        <v>14691</v>
      </c>
      <c r="T3" s="127">
        <f>+ProForma_IS_Qtr!U3</f>
        <v>16634</v>
      </c>
      <c r="U3" s="127">
        <f>+ProForma_IS_Qtr!Z3</f>
        <v>26028</v>
      </c>
      <c r="V3" s="127">
        <f>+ProForma_IS_Qtr!AE3</f>
        <v>19424</v>
      </c>
      <c r="W3" s="127">
        <f>+ProForma_IS_Qtr!AJ3</f>
        <v>18449</v>
      </c>
      <c r="X3" s="127">
        <f>+ProForma_IS_Qtr!AO3</f>
        <v>20597</v>
      </c>
      <c r="Y3" s="127">
        <f>+ProForma_IS_Qtr!AT3</f>
        <v>26198</v>
      </c>
      <c r="Z3" s="127">
        <f>+ProForma_IS_Qtr!AY3</f>
        <v>28284</v>
      </c>
      <c r="AA3" s="127">
        <f>+ProForma_IS_Qtr!BD3</f>
        <v>30196</v>
      </c>
      <c r="AB3" s="127">
        <f>+ProForma_IS_Qtr!BI3</f>
        <v>32158.739999999998</v>
      </c>
      <c r="AC3" s="127">
        <f>'Recast Collins Aerospace_Annual'!AC16</f>
        <v>34731.439200000001</v>
      </c>
      <c r="AD3" s="127">
        <f>'Recast Collins Aerospace_Annual'!AD16</f>
        <v>36815.325552000002</v>
      </c>
      <c r="AE3" s="127">
        <f>'Recast Collins Aerospace_Annual'!AE16</f>
        <v>38656.091829600002</v>
      </c>
      <c r="AF3" s="127">
        <f>'Recast Collins Aerospace_Annual'!AF16</f>
        <v>40588.896421080004</v>
      </c>
      <c r="AG3" s="127"/>
      <c r="AH3" s="318"/>
      <c r="AI3" s="318"/>
      <c r="AJ3" s="318"/>
      <c r="AK3" s="318"/>
      <c r="AL3" s="318"/>
    </row>
    <row r="4" spans="1:38">
      <c r="A4" s="1" t="str">
        <f>ProForma_IS_Qtr!A4</f>
        <v>Pratt &amp; Whitney</v>
      </c>
      <c r="B4" s="127">
        <f>'Pratt &amp; Whitney_Annual'!B26</f>
        <v>0</v>
      </c>
      <c r="C4" s="127">
        <f>'Pratt &amp; Whitney_Annual'!C26</f>
        <v>0</v>
      </c>
      <c r="D4" s="127">
        <f>'Pratt &amp; Whitney_Annual'!D26</f>
        <v>0</v>
      </c>
      <c r="E4" s="127">
        <f>'Pratt &amp; Whitney_Annual'!E26</f>
        <v>0</v>
      </c>
      <c r="F4" s="127">
        <f>'Pratt &amp; Whitney_Annual'!F26</f>
        <v>0</v>
      </c>
      <c r="G4" s="127">
        <f>'Pratt &amp; Whitney_Annual'!G26</f>
        <v>0</v>
      </c>
      <c r="H4" s="127">
        <f>'Pratt &amp; Whitney_Annual'!H26</f>
        <v>0</v>
      </c>
      <c r="I4" s="127">
        <f>'Pratt &amp; Whitney_Annual'!I26</f>
        <v>0</v>
      </c>
      <c r="J4" s="127">
        <f>'Pratt &amp; Whitney_Annual'!J26</f>
        <v>0</v>
      </c>
      <c r="K4" s="127">
        <f>'Pratt &amp; Whitney_Annual'!K26</f>
        <v>0</v>
      </c>
      <c r="L4" s="127">
        <f>'Pratt &amp; Whitney_Annual'!L26</f>
        <v>12935</v>
      </c>
      <c r="M4" s="127">
        <f>'Pratt &amp; Whitney_Annual'!M26</f>
        <v>12711</v>
      </c>
      <c r="N4" s="127">
        <f>'Pratt &amp; Whitney_Annual'!N26</f>
        <v>13964</v>
      </c>
      <c r="O4" s="127">
        <f>'Pratt &amp; Whitney_Annual'!O26</f>
        <v>14501</v>
      </c>
      <c r="P4" s="127">
        <f>'Pratt &amp; Whitney_Annual'!P26</f>
        <v>14508</v>
      </c>
      <c r="Q4" s="127">
        <f>+ProForma_IS_Qtr!F4</f>
        <v>14224</v>
      </c>
      <c r="R4" s="127">
        <f>+ProForma_IS_Qtr!K4</f>
        <v>15078</v>
      </c>
      <c r="S4" s="127">
        <f>+ProForma_IS_Qtr!P4</f>
        <v>16545</v>
      </c>
      <c r="T4" s="127">
        <f>+ProForma_IS_Qtr!U4</f>
        <v>19397</v>
      </c>
      <c r="U4" s="127">
        <f>+ProForma_IS_Qtr!Z4</f>
        <v>20902</v>
      </c>
      <c r="V4" s="127">
        <f>+ProForma_IS_Qtr!AE4</f>
        <v>17224</v>
      </c>
      <c r="W4" s="127">
        <f>+ProForma_IS_Qtr!AJ4</f>
        <v>18150</v>
      </c>
      <c r="X4" s="127">
        <f>+ProForma_IS_Qtr!AO4</f>
        <v>20530</v>
      </c>
      <c r="Y4" s="127">
        <f>+ProForma_IS_Qtr!AT4</f>
        <v>23697</v>
      </c>
      <c r="Z4" s="127">
        <f>+ProForma_IS_Qtr!AY4</f>
        <v>28066</v>
      </c>
      <c r="AA4" s="127">
        <f>+ProForma_IS_Qtr!BD4</f>
        <v>32916</v>
      </c>
      <c r="AB4" s="127">
        <f>+ProForma_IS_Qtr!BI4</f>
        <v>35647.712</v>
      </c>
      <c r="AC4" s="38">
        <f>'Pratt &amp; Whitney_Annual'!AC26</f>
        <v>38718.910032756903</v>
      </c>
      <c r="AD4" s="38">
        <f>'Pratt &amp; Whitney_Annual'!AD26</f>
        <v>40622.702981773735</v>
      </c>
      <c r="AE4" s="38">
        <f>'Pratt &amp; Whitney_Annual'!AE26</f>
        <v>42627.196111696278</v>
      </c>
      <c r="AF4" s="38">
        <f>'Pratt &amp; Whitney_Annual'!AF26</f>
        <v>44812.230257143266</v>
      </c>
      <c r="AG4" s="127"/>
      <c r="AH4" s="318"/>
      <c r="AI4" s="318"/>
      <c r="AJ4" s="318"/>
      <c r="AK4" s="318"/>
      <c r="AL4" s="318"/>
    </row>
    <row r="5" spans="1:38">
      <c r="A5" s="1" t="str">
        <f>ProForma_IS_Qtr!A5</f>
        <v>Raytheon Intelligence &amp; Space (RIS)</v>
      </c>
      <c r="B5" s="127">
        <v>0</v>
      </c>
      <c r="C5" s="127">
        <v>0</v>
      </c>
      <c r="D5" s="127">
        <v>0</v>
      </c>
      <c r="E5" s="127">
        <v>0</v>
      </c>
      <c r="F5" s="127">
        <v>0</v>
      </c>
      <c r="G5" s="127">
        <v>0</v>
      </c>
      <c r="H5" s="127">
        <v>0</v>
      </c>
      <c r="I5" s="127">
        <v>0</v>
      </c>
      <c r="J5" s="127">
        <v>0</v>
      </c>
      <c r="K5" s="127">
        <v>0</v>
      </c>
      <c r="L5" s="127">
        <v>0</v>
      </c>
      <c r="M5" s="127">
        <v>0</v>
      </c>
      <c r="N5" s="127">
        <v>13158</v>
      </c>
      <c r="O5" s="127">
        <v>12416</v>
      </c>
      <c r="P5" s="127">
        <v>11961</v>
      </c>
      <c r="Q5" s="127">
        <f>+ProForma_IS_Qtr!F5</f>
        <v>11907</v>
      </c>
      <c r="R5" s="127">
        <f>+ProForma_IS_Qtr!K5</f>
        <v>12351</v>
      </c>
      <c r="S5" s="127">
        <f>+ProForma_IS_Qtr!P5</f>
        <v>12607</v>
      </c>
      <c r="T5" s="127">
        <f>+ProForma_IS_Qtr!U5</f>
        <v>13470</v>
      </c>
      <c r="U5" s="127">
        <f>+ProForma_IS_Qtr!Z5</f>
        <v>14445</v>
      </c>
      <c r="V5" s="127">
        <f>+ProForma_IS_Qtr!AE5</f>
        <v>14959</v>
      </c>
      <c r="W5" s="127">
        <f>+ProForma_IS_Qtr!AJ5</f>
        <v>15180</v>
      </c>
      <c r="X5" s="127">
        <f>+ProForma_IS_Qtr!AO5</f>
        <v>14312</v>
      </c>
      <c r="Y5" s="127">
        <f>+ProForma_IS_Qtr!AT5</f>
        <v>0</v>
      </c>
      <c r="Z5" s="127">
        <f>+ProForma_IS_Qtr!AY5</f>
        <v>0</v>
      </c>
      <c r="AA5" s="127">
        <f>+ProForma_IS_Qtr!BD5</f>
        <v>0</v>
      </c>
      <c r="AB5" s="127">
        <f>+ProForma_IS_Qtr!BI5</f>
        <v>0</v>
      </c>
      <c r="AC5" s="38"/>
      <c r="AD5" s="38"/>
      <c r="AE5" s="38"/>
      <c r="AF5" s="38"/>
      <c r="AG5" s="127"/>
      <c r="AH5" s="318">
        <f>75%*AA7</f>
        <v>21032.25</v>
      </c>
      <c r="AI5" s="386">
        <f>AH5/AA9</f>
        <v>0.23737627394106295</v>
      </c>
      <c r="AJ5" s="318"/>
      <c r="AK5" s="318"/>
      <c r="AL5" s="318"/>
    </row>
    <row r="6" spans="1:38">
      <c r="A6" s="1" t="str">
        <f>ProForma_IS_Qtr!A6</f>
        <v>Raytheon Missiles &amp; Defense (RMD)</v>
      </c>
      <c r="B6" s="127">
        <v>0</v>
      </c>
      <c r="C6" s="127">
        <v>0</v>
      </c>
      <c r="D6" s="127">
        <v>0</v>
      </c>
      <c r="E6" s="127">
        <v>0</v>
      </c>
      <c r="F6" s="127">
        <v>0</v>
      </c>
      <c r="G6" s="127">
        <v>0</v>
      </c>
      <c r="H6" s="127">
        <v>0</v>
      </c>
      <c r="I6" s="127">
        <v>0</v>
      </c>
      <c r="J6" s="127">
        <v>0</v>
      </c>
      <c r="K6" s="127">
        <v>0</v>
      </c>
      <c r="L6" s="127">
        <v>0</v>
      </c>
      <c r="M6" s="127">
        <v>0</v>
      </c>
      <c r="N6" s="127">
        <v>13131</v>
      </c>
      <c r="O6" s="127">
        <v>13088</v>
      </c>
      <c r="P6" s="127">
        <v>12394</v>
      </c>
      <c r="Q6" s="127">
        <f>+ProForma_IS_Qtr!F6</f>
        <v>12403</v>
      </c>
      <c r="R6" s="127">
        <f>+ProForma_IS_Qtr!K6</f>
        <v>12625</v>
      </c>
      <c r="S6" s="127">
        <f>+ProForma_IS_Qtr!P6</f>
        <v>13591</v>
      </c>
      <c r="T6" s="127">
        <f>+ProForma_IS_Qtr!U6</f>
        <v>14478</v>
      </c>
      <c r="U6" s="127">
        <f>+ProForma_IS_Qtr!Z6</f>
        <v>15494</v>
      </c>
      <c r="V6" s="127">
        <f>+ProForma_IS_Qtr!AE6</f>
        <v>15360</v>
      </c>
      <c r="W6" s="127">
        <f>+ProForma_IS_Qtr!AJ6</f>
        <v>15539</v>
      </c>
      <c r="X6" s="127">
        <f>+ProForma_IS_Qtr!AO6</f>
        <v>14863</v>
      </c>
      <c r="Y6" s="127">
        <f>+ProForma_IS_Qtr!AT6</f>
        <v>0</v>
      </c>
      <c r="Z6" s="127">
        <f>+ProForma_IS_Qtr!AY6</f>
        <v>0</v>
      </c>
      <c r="AA6" s="127">
        <f>+ProForma_IS_Qtr!BD6</f>
        <v>0</v>
      </c>
      <c r="AB6" s="127">
        <f>+ProForma_IS_Qtr!BI6</f>
        <v>0</v>
      </c>
      <c r="AC6" s="38"/>
      <c r="AD6" s="38"/>
      <c r="AE6" s="38"/>
      <c r="AF6" s="38"/>
      <c r="AG6" s="127"/>
      <c r="AH6" s="318">
        <f>75%*AB7</f>
        <v>23240.63625</v>
      </c>
      <c r="AI6" s="386">
        <f>AH6/AB9</f>
        <v>0.24210517573463761</v>
      </c>
      <c r="AJ6" s="318"/>
      <c r="AK6" s="318"/>
      <c r="AL6" s="318"/>
    </row>
    <row r="7" spans="1:38">
      <c r="A7" s="1" t="s">
        <v>451</v>
      </c>
      <c r="B7" s="127"/>
      <c r="C7" s="127"/>
      <c r="D7" s="127"/>
      <c r="E7" s="127"/>
      <c r="F7" s="127"/>
      <c r="G7" s="127"/>
      <c r="H7" s="127"/>
      <c r="I7" s="127"/>
      <c r="J7" s="127"/>
      <c r="K7" s="127"/>
      <c r="L7" s="127"/>
      <c r="M7" s="127"/>
      <c r="N7" s="127"/>
      <c r="O7" s="127"/>
      <c r="P7" s="127"/>
      <c r="Q7" s="127"/>
      <c r="R7" s="127"/>
      <c r="S7" s="127"/>
      <c r="T7" s="127"/>
      <c r="U7" s="127"/>
      <c r="V7" s="127"/>
      <c r="W7" s="127"/>
      <c r="X7" s="127"/>
      <c r="Y7" s="127">
        <f>+ProForma_IS_Qtr!AT7</f>
        <v>26350</v>
      </c>
      <c r="Z7" s="127">
        <f>+ProForma_IS_Qtr!AY7</f>
        <v>26783</v>
      </c>
      <c r="AA7" s="127">
        <f>+ProForma_IS_Qtr!BD7</f>
        <v>28043</v>
      </c>
      <c r="AB7" s="127">
        <f>+ProForma_IS_Qtr!BI7</f>
        <v>30987.514999999999</v>
      </c>
      <c r="AC7" s="127">
        <f>'Recast Raytheon_Annual'!AC15</f>
        <v>32676.334567499998</v>
      </c>
      <c r="AD7" s="127">
        <f>'Recast Raytheon_Annual'!AD15</f>
        <v>34636.91464155</v>
      </c>
      <c r="AE7" s="127">
        <f>'Recast Raytheon_Annual'!AE15</f>
        <v>36715.129520043003</v>
      </c>
      <c r="AF7" s="127">
        <f>'Recast Raytheon_Annual'!AF15</f>
        <v>38918.037291245586</v>
      </c>
      <c r="AG7" s="127"/>
      <c r="AH7" s="318"/>
      <c r="AI7" s="318"/>
      <c r="AJ7" s="318"/>
      <c r="AK7" s="318"/>
      <c r="AL7" s="318"/>
    </row>
    <row r="8" spans="1:38">
      <c r="A8" s="1" t="str">
        <f>ProForma_IS_Qtr!A8</f>
        <v>Corporate, Eliminations, and Other</v>
      </c>
      <c r="B8" s="158"/>
      <c r="C8" s="158"/>
      <c r="D8" s="158"/>
      <c r="E8" s="158"/>
      <c r="F8" s="158"/>
      <c r="G8" s="158"/>
      <c r="H8" s="158"/>
      <c r="I8" s="158"/>
      <c r="J8" s="158"/>
      <c r="K8" s="158"/>
      <c r="L8" s="158" t="s">
        <v>371</v>
      </c>
      <c r="M8" s="158" t="s">
        <v>371</v>
      </c>
      <c r="N8" s="158" t="s">
        <v>371</v>
      </c>
      <c r="O8" s="158" t="s">
        <v>371</v>
      </c>
      <c r="P8" s="158" t="s">
        <v>371</v>
      </c>
      <c r="Q8" s="127" t="str">
        <f>+ProForma_IS_Qtr!F8</f>
        <v>NM</v>
      </c>
      <c r="R8" s="127" t="str">
        <f>+ProForma_IS_Qtr!K8</f>
        <v>NM</v>
      </c>
      <c r="S8" s="127" t="str">
        <f>+ProForma_IS_Qtr!P8</f>
        <v>NM</v>
      </c>
      <c r="T8" s="127" t="str">
        <f>+ProForma_IS_Qtr!U8</f>
        <v>NM</v>
      </c>
      <c r="U8" s="127">
        <f>+ProForma_IS_Qtr!Z8</f>
        <v>-2632</v>
      </c>
      <c r="V8" s="127">
        <f>+ProForma_IS_Qtr!AE8</f>
        <v>-2302</v>
      </c>
      <c r="W8" s="127">
        <f>+ProForma_IS_Qtr!AJ8</f>
        <v>-2930</v>
      </c>
      <c r="X8" s="127">
        <f>+ProForma_IS_Qtr!AO8</f>
        <v>-3228</v>
      </c>
      <c r="Y8" s="127">
        <f>+ProForma_IS_Qtr!AT8</f>
        <v>-1940</v>
      </c>
      <c r="Z8" s="127">
        <f>+ProForma_IS_Qtr!AY8</f>
        <v>-2325</v>
      </c>
      <c r="AA8" s="127">
        <f>+ProForma_IS_Qtr!BD8</f>
        <v>-2552</v>
      </c>
      <c r="AB8" s="127">
        <f>+ProForma_IS_Qtr!BI8</f>
        <v>-2800</v>
      </c>
      <c r="AC8" s="158">
        <f t="shared" ref="AC8:AF8" si="0">AB8*1.05</f>
        <v>-2940</v>
      </c>
      <c r="AD8" s="158">
        <f t="shared" si="0"/>
        <v>-3087</v>
      </c>
      <c r="AE8" s="158">
        <f t="shared" si="0"/>
        <v>-3241.3500000000004</v>
      </c>
      <c r="AF8" s="158">
        <f t="shared" si="0"/>
        <v>-3403.4175000000005</v>
      </c>
      <c r="AG8" s="158"/>
      <c r="AH8" s="318"/>
      <c r="AI8" s="318"/>
      <c r="AJ8" s="318"/>
      <c r="AK8" s="318"/>
      <c r="AL8" s="318"/>
    </row>
    <row r="9" spans="1:38">
      <c r="A9" s="8" t="str">
        <f>ProForma_IS_Qtr!A9</f>
        <v>Total Net Sales</v>
      </c>
      <c r="B9" s="154">
        <f t="shared" ref="B9:W9" si="1">SUM(B3:B8)</f>
        <v>0</v>
      </c>
      <c r="C9" s="154">
        <f t="shared" si="1"/>
        <v>0</v>
      </c>
      <c r="D9" s="154">
        <f t="shared" si="1"/>
        <v>0</v>
      </c>
      <c r="E9" s="154">
        <f t="shared" si="1"/>
        <v>0</v>
      </c>
      <c r="F9" s="154">
        <f t="shared" si="1"/>
        <v>0</v>
      </c>
      <c r="G9" s="154">
        <f t="shared" si="1"/>
        <v>0</v>
      </c>
      <c r="H9" s="154">
        <f t="shared" si="1"/>
        <v>0</v>
      </c>
      <c r="I9" s="154">
        <f t="shared" si="1"/>
        <v>0</v>
      </c>
      <c r="J9" s="154">
        <f t="shared" si="1"/>
        <v>0</v>
      </c>
      <c r="K9" s="154">
        <f t="shared" si="1"/>
        <v>0</v>
      </c>
      <c r="L9" s="154">
        <f t="shared" si="1"/>
        <v>12935</v>
      </c>
      <c r="M9" s="154">
        <f t="shared" si="1"/>
        <v>17471</v>
      </c>
      <c r="N9" s="154">
        <f t="shared" si="1"/>
        <v>48587</v>
      </c>
      <c r="O9" s="154">
        <f t="shared" si="1"/>
        <v>53352</v>
      </c>
      <c r="P9" s="154">
        <f t="shared" si="1"/>
        <v>53078</v>
      </c>
      <c r="Q9" s="154">
        <f t="shared" si="1"/>
        <v>52838</v>
      </c>
      <c r="R9" s="154">
        <f t="shared" si="1"/>
        <v>54519</v>
      </c>
      <c r="S9" s="154">
        <f t="shared" si="1"/>
        <v>57434</v>
      </c>
      <c r="T9" s="154">
        <f t="shared" si="1"/>
        <v>63979</v>
      </c>
      <c r="U9" s="154">
        <f t="shared" si="1"/>
        <v>74237</v>
      </c>
      <c r="V9" s="154">
        <f t="shared" si="1"/>
        <v>64665</v>
      </c>
      <c r="W9" s="154">
        <f t="shared" si="1"/>
        <v>64388</v>
      </c>
      <c r="X9" s="154">
        <f t="shared" ref="X9:Y9" si="2">SUM(X3:X8)</f>
        <v>67074</v>
      </c>
      <c r="Y9" s="154">
        <f t="shared" si="2"/>
        <v>74305</v>
      </c>
      <c r="Z9" s="154">
        <f t="shared" ref="Z9:AA9" si="3">SUM(Z3:Z8)</f>
        <v>80808</v>
      </c>
      <c r="AA9" s="154">
        <f t="shared" si="3"/>
        <v>88603</v>
      </c>
      <c r="AB9" s="154">
        <f t="shared" ref="AB9" si="4">SUM(AB3:AB8)</f>
        <v>95993.96699999999</v>
      </c>
      <c r="AC9" s="24">
        <f t="shared" ref="AC9" si="5">SUM(AC3:AC8)</f>
        <v>103186.68380025691</v>
      </c>
      <c r="AD9" s="24">
        <f t="shared" ref="AD9" si="6">SUM(AD3:AD8)</f>
        <v>108987.94317532373</v>
      </c>
      <c r="AE9" s="24">
        <f t="shared" ref="AE9:AF9" si="7">SUM(AE3:AE8)</f>
        <v>114757.06746133928</v>
      </c>
      <c r="AF9" s="24">
        <f t="shared" si="7"/>
        <v>120915.74646946885</v>
      </c>
      <c r="AG9" s="126"/>
      <c r="AH9" s="318"/>
      <c r="AI9" s="335"/>
      <c r="AJ9" s="318"/>
      <c r="AK9" s="318"/>
      <c r="AL9" s="318"/>
    </row>
    <row r="10" spans="1:38">
      <c r="A10" s="1" t="str">
        <f>ProForma_IS_Qtr!A10</f>
        <v>YoY</v>
      </c>
      <c r="B10" s="92"/>
      <c r="C10" s="92" t="str">
        <f t="shared" ref="C10:K10" si="8">IFERROR(C9/B9-1,"NM")</f>
        <v>NM</v>
      </c>
      <c r="D10" s="92" t="str">
        <f t="shared" si="8"/>
        <v>NM</v>
      </c>
      <c r="E10" s="92" t="str">
        <f t="shared" si="8"/>
        <v>NM</v>
      </c>
      <c r="F10" s="92" t="str">
        <f t="shared" si="8"/>
        <v>NM</v>
      </c>
      <c r="G10" s="92" t="str">
        <f t="shared" si="8"/>
        <v>NM</v>
      </c>
      <c r="H10" s="92" t="str">
        <f t="shared" si="8"/>
        <v>NM</v>
      </c>
      <c r="I10" s="92" t="str">
        <f t="shared" si="8"/>
        <v>NM</v>
      </c>
      <c r="J10" s="92" t="str">
        <f t="shared" si="8"/>
        <v>NM</v>
      </c>
      <c r="K10" s="92" t="str">
        <f t="shared" si="8"/>
        <v>NM</v>
      </c>
      <c r="L10" s="92" t="str">
        <f>IFERROR(L9/K9-1,"NM")</f>
        <v>NM</v>
      </c>
      <c r="M10" s="92">
        <f>M9/L9-1</f>
        <v>0.3506764592191729</v>
      </c>
      <c r="N10" s="92">
        <f>N9/M9-1</f>
        <v>1.7810085284185222</v>
      </c>
      <c r="O10" s="92">
        <f>O9/N9-1</f>
        <v>9.8071500607158191E-2</v>
      </c>
      <c r="P10" s="92">
        <f>P9/O9-1</f>
        <v>-5.1357025041235405E-3</v>
      </c>
      <c r="Q10" s="130">
        <f>+ProForma_IS_Qtr!F10</f>
        <v>-4.5216473868646689E-3</v>
      </c>
      <c r="R10" s="130">
        <f>+ProForma_IS_Qtr!K10</f>
        <v>3.1814224611075304E-2</v>
      </c>
      <c r="S10" s="130">
        <f>+ProForma_IS_Qtr!P10</f>
        <v>5.3467598451915954E-2</v>
      </c>
      <c r="T10" s="130">
        <f>+ProForma_IS_Qtr!U10</f>
        <v>0.11395688964724737</v>
      </c>
      <c r="U10" s="130">
        <f>+ProForma_IS_Qtr!Z10</f>
        <v>0.16033385954766399</v>
      </c>
      <c r="V10" s="130">
        <f>+ProForma_IS_Qtr!AE10</f>
        <v>-0.12893839998922374</v>
      </c>
      <c r="W10" s="130">
        <f>+ProForma_IS_Qtr!AJ10</f>
        <v>-4.283615557101994E-3</v>
      </c>
      <c r="X10" s="130">
        <f>+ProForma_IS_Qtr!AO10</f>
        <v>4.1715847673479578E-2</v>
      </c>
      <c r="Y10" s="130">
        <f>+ProForma_IS_Qtr!AT10</f>
        <v>0.10780630348570241</v>
      </c>
      <c r="Z10" s="130">
        <f>+ProForma_IS_Qtr!AY10</f>
        <v>8.7517663683466695E-2</v>
      </c>
      <c r="AA10" s="130">
        <f>+ProForma_IS_Qtr!BD10</f>
        <v>9.6463221463221505E-2</v>
      </c>
      <c r="AB10" s="130">
        <f>+ProForma_IS_Qtr!BI10</f>
        <v>8.3416667607191464E-2</v>
      </c>
      <c r="AC10" s="115">
        <f>AC9/AB9-1</f>
        <v>7.4928842145433272E-2</v>
      </c>
      <c r="AD10" s="115">
        <f>AD9/AC9-1</f>
        <v>5.6221007996502426E-2</v>
      </c>
      <c r="AE10" s="115">
        <f>AE9/AD9-1</f>
        <v>5.2933600891385213E-2</v>
      </c>
      <c r="AF10" s="115">
        <f>AF9/AE9-1</f>
        <v>5.3667099938784935E-2</v>
      </c>
      <c r="AG10" s="252"/>
    </row>
    <row r="11" spans="1:38">
      <c r="B11" s="155"/>
      <c r="C11" s="155"/>
      <c r="D11" s="155"/>
      <c r="E11" s="155"/>
      <c r="F11" s="155"/>
      <c r="G11" s="155"/>
      <c r="H11" s="155"/>
      <c r="I11" s="155"/>
      <c r="J11" s="155"/>
      <c r="K11" s="155"/>
      <c r="L11" s="155"/>
      <c r="M11" s="155"/>
      <c r="N11" s="155"/>
      <c r="O11" s="155"/>
      <c r="P11" s="155"/>
      <c r="Q11" s="155"/>
      <c r="R11" s="155"/>
      <c r="S11" s="155"/>
      <c r="T11" s="155"/>
      <c r="U11" s="155"/>
      <c r="V11" s="155"/>
      <c r="W11" s="155"/>
      <c r="X11" s="155"/>
      <c r="Y11" s="155"/>
      <c r="Z11" s="155"/>
      <c r="AA11" s="155"/>
      <c r="AB11" s="155"/>
      <c r="AC11" s="26"/>
      <c r="AD11" s="26"/>
      <c r="AE11" s="26"/>
      <c r="AF11" s="26"/>
      <c r="AG11" s="155"/>
    </row>
    <row r="12" spans="1:38">
      <c r="A12" s="1" t="str">
        <f>ProForma_IS_Qtr!A12</f>
        <v>Collins Aerospace Systems</v>
      </c>
      <c r="B12" s="127">
        <v>0</v>
      </c>
      <c r="C12" s="127">
        <v>0</v>
      </c>
      <c r="D12" s="127">
        <v>0</v>
      </c>
      <c r="E12" s="127">
        <v>0</v>
      </c>
      <c r="F12" s="127">
        <v>0</v>
      </c>
      <c r="G12" s="127">
        <v>0</v>
      </c>
      <c r="H12" s="127">
        <v>0</v>
      </c>
      <c r="I12" s="127">
        <v>0</v>
      </c>
      <c r="J12" s="127">
        <v>0</v>
      </c>
      <c r="K12" s="127">
        <v>0</v>
      </c>
      <c r="L12" s="127">
        <v>0</v>
      </c>
      <c r="M12" s="127">
        <v>770</v>
      </c>
      <c r="N12" s="127">
        <v>1059</v>
      </c>
      <c r="O12" s="127">
        <v>2110</v>
      </c>
      <c r="P12" s="127">
        <v>2437</v>
      </c>
      <c r="Q12" s="127">
        <f>+ProForma_IS_Qtr!F12</f>
        <v>2355</v>
      </c>
      <c r="R12" s="127">
        <f>+ProForma_IS_Qtr!K12</f>
        <v>2347</v>
      </c>
      <c r="S12" s="127">
        <f>+ProForma_IS_Qtr!P12</f>
        <v>2268</v>
      </c>
      <c r="T12" s="127">
        <f>+ProForma_IS_Qtr!U12</f>
        <v>2613</v>
      </c>
      <c r="U12" s="127">
        <f>+ProForma_IS_Qtr!Z12</f>
        <v>4849</v>
      </c>
      <c r="V12" s="127">
        <f>+ProForma_IS_Qtr!AE12</f>
        <v>1470</v>
      </c>
      <c r="W12" s="127">
        <f>+ProForma_IS_Qtr!AJ12</f>
        <v>1799</v>
      </c>
      <c r="X12" s="127">
        <f>+ProForma_IS_Qtr!AO12</f>
        <v>2574</v>
      </c>
      <c r="Y12" s="127">
        <f>+ProForma_IS_Qtr!AT12</f>
        <v>3896</v>
      </c>
      <c r="Z12" s="127">
        <f>+ProForma_IS_Qtr!AY12</f>
        <v>4496</v>
      </c>
      <c r="AA12" s="127">
        <f>+ProForma_IS_Qtr!BD12</f>
        <v>4893</v>
      </c>
      <c r="AB12" s="127">
        <f>+ProForma_IS_Qtr!BI12</f>
        <v>5499.1445400000002</v>
      </c>
      <c r="AC12" s="127">
        <f>'Recast Collins Aerospace_Annual'!AC29</f>
        <v>6164.8304579999995</v>
      </c>
      <c r="AD12" s="127">
        <f>'Recast Collins Aerospace_Annual'!AD29</f>
        <v>6810.8352271200001</v>
      </c>
      <c r="AE12" s="127">
        <f>'Recast Collins Aerospace_Annual'!AE29</f>
        <v>7344.6574476240003</v>
      </c>
      <c r="AF12" s="127">
        <f>'Recast Collins Aerospace_Annual'!AF29</f>
        <v>7914.8348021106012</v>
      </c>
      <c r="AG12" s="127"/>
      <c r="AH12" s="483"/>
      <c r="AI12" s="483"/>
      <c r="AJ12" s="318"/>
      <c r="AK12" s="318"/>
      <c r="AL12" s="318"/>
    </row>
    <row r="13" spans="1:38">
      <c r="A13" s="1" t="str">
        <f>ProForma_IS_Qtr!A13</f>
        <v>Pratt &amp; Whitney</v>
      </c>
      <c r="B13" s="127">
        <f>'Pratt &amp; Whitney_Annual'!B43</f>
        <v>0</v>
      </c>
      <c r="C13" s="127">
        <f>'Pratt &amp; Whitney_Annual'!C43</f>
        <v>0</v>
      </c>
      <c r="D13" s="127">
        <f>'Pratt &amp; Whitney_Annual'!D43</f>
        <v>0</v>
      </c>
      <c r="E13" s="127">
        <f>'Pratt &amp; Whitney_Annual'!E43</f>
        <v>0</v>
      </c>
      <c r="F13" s="127">
        <f>'Pratt &amp; Whitney_Annual'!F43</f>
        <v>0</v>
      </c>
      <c r="G13" s="127">
        <f>'Pratt &amp; Whitney_Annual'!G43</f>
        <v>0</v>
      </c>
      <c r="H13" s="127">
        <f>'Pratt &amp; Whitney_Annual'!H43</f>
        <v>0</v>
      </c>
      <c r="I13" s="127">
        <f>'Pratt &amp; Whitney_Annual'!I43</f>
        <v>0</v>
      </c>
      <c r="J13" s="127">
        <f>'Pratt &amp; Whitney_Annual'!J43</f>
        <v>0</v>
      </c>
      <c r="K13" s="127">
        <f>'Pratt &amp; Whitney_Annual'!K43</f>
        <v>0</v>
      </c>
      <c r="L13" s="127">
        <f>'Pratt &amp; Whitney_Annual'!L43</f>
        <v>2125</v>
      </c>
      <c r="M13" s="127">
        <f>'Pratt &amp; Whitney_Annual'!M43</f>
        <v>1878</v>
      </c>
      <c r="N13" s="127">
        <f>'Pratt &amp; Whitney_Annual'!N43</f>
        <v>1685</v>
      </c>
      <c r="O13" s="127">
        <f>'Pratt &amp; Whitney_Annual'!O43</f>
        <v>1862</v>
      </c>
      <c r="P13" s="127">
        <f>'Pratt &amp; Whitney_Annual'!P43</f>
        <v>2063</v>
      </c>
      <c r="Q13" s="127">
        <f>+ProForma_IS_Qtr!F13</f>
        <v>1913</v>
      </c>
      <c r="R13" s="127">
        <f>+ProForma_IS_Qtr!K13</f>
        <v>1751</v>
      </c>
      <c r="S13" s="127">
        <f>+ProForma_IS_Qtr!P13</f>
        <v>1501</v>
      </c>
      <c r="T13" s="127">
        <f>+ProForma_IS_Qtr!U13</f>
        <v>1562</v>
      </c>
      <c r="U13" s="127">
        <f>+ProForma_IS_Qtr!Z13</f>
        <v>1934</v>
      </c>
      <c r="V13" s="127">
        <f>+ProForma_IS_Qtr!AE13</f>
        <v>426</v>
      </c>
      <c r="W13" s="127">
        <f>+ProForma_IS_Qtr!AJ13</f>
        <v>487</v>
      </c>
      <c r="X13" s="127">
        <f>+ProForma_IS_Qtr!AO13</f>
        <v>1250</v>
      </c>
      <c r="Y13" s="127">
        <f>+ProForma_IS_Qtr!AT13</f>
        <v>1688</v>
      </c>
      <c r="Z13" s="127">
        <f>+ProForma_IS_Qtr!AY13</f>
        <v>2281</v>
      </c>
      <c r="AA13" s="127">
        <f>+ProForma_IS_Qtr!BD13</f>
        <v>2725</v>
      </c>
      <c r="AB13" s="127">
        <f>+ProForma_IS_Qtr!BI13</f>
        <v>3065.7032319999998</v>
      </c>
      <c r="AC13" s="38">
        <f>'Pratt &amp; Whitney_Annual'!AC43</f>
        <v>3562.1397230136349</v>
      </c>
      <c r="AD13" s="38">
        <f>'Pratt &amp; Whitney_Annual'!AD43</f>
        <v>3859.156783268505</v>
      </c>
      <c r="AE13" s="38">
        <f>'Pratt &amp; Whitney_Annual'!AE43</f>
        <v>4262.7196111696276</v>
      </c>
      <c r="AF13" s="38">
        <f>'Pratt &amp; Whitney_Annual'!AF43</f>
        <v>4481.2230257143265</v>
      </c>
      <c r="AG13" s="127"/>
      <c r="AH13" s="483"/>
      <c r="AI13" s="483"/>
      <c r="AJ13" s="318"/>
      <c r="AK13" s="318"/>
      <c r="AL13" s="318"/>
    </row>
    <row r="14" spans="1:38">
      <c r="A14" s="1" t="str">
        <f>ProForma_IS_Qtr!A14</f>
        <v>Raytheon Intelligence &amp; Space (RIS)</v>
      </c>
      <c r="B14" s="127">
        <v>0</v>
      </c>
      <c r="C14" s="127">
        <v>0</v>
      </c>
      <c r="D14" s="127">
        <v>0</v>
      </c>
      <c r="E14" s="127">
        <v>0</v>
      </c>
      <c r="F14" s="127">
        <v>0</v>
      </c>
      <c r="G14" s="127">
        <v>0</v>
      </c>
      <c r="H14" s="127">
        <v>0</v>
      </c>
      <c r="I14" s="127">
        <v>0</v>
      </c>
      <c r="J14" s="127">
        <v>0</v>
      </c>
      <c r="K14" s="127">
        <v>0</v>
      </c>
      <c r="L14" s="127">
        <v>0</v>
      </c>
      <c r="M14" s="127">
        <v>0</v>
      </c>
      <c r="N14" s="127">
        <v>1524</v>
      </c>
      <c r="O14" s="127">
        <v>1430</v>
      </c>
      <c r="P14" s="127">
        <v>1341</v>
      </c>
      <c r="Q14" s="127">
        <f>+ProForma_IS_Qtr!F14</f>
        <v>1294</v>
      </c>
      <c r="R14" s="127">
        <f>+ProForma_IS_Qtr!K14</f>
        <v>1275</v>
      </c>
      <c r="S14" s="127">
        <f>+ProForma_IS_Qtr!P14</f>
        <v>1317</v>
      </c>
      <c r="T14" s="127">
        <f>+ProForma_IS_Qtr!U14</f>
        <v>1422</v>
      </c>
      <c r="U14" s="127">
        <f>+ProForma_IS_Qtr!Z14</f>
        <v>1637</v>
      </c>
      <c r="V14" s="127">
        <f>+ProForma_IS_Qtr!AE14</f>
        <v>1439</v>
      </c>
      <c r="W14" s="127">
        <f>+ProForma_IS_Qtr!AJ14</f>
        <v>1594</v>
      </c>
      <c r="X14" s="127">
        <f>+ProForma_IS_Qtr!AO14</f>
        <v>1342</v>
      </c>
      <c r="Y14" s="127"/>
      <c r="Z14" s="127"/>
      <c r="AA14" s="127"/>
      <c r="AB14" s="127"/>
      <c r="AC14" s="38"/>
      <c r="AD14" s="38"/>
      <c r="AE14" s="38"/>
      <c r="AF14" s="38"/>
      <c r="AG14" s="127"/>
      <c r="AH14" s="483"/>
      <c r="AI14" s="483"/>
      <c r="AJ14" s="318"/>
      <c r="AK14" s="318"/>
      <c r="AL14" s="318"/>
    </row>
    <row r="15" spans="1:38">
      <c r="A15" s="1" t="str">
        <f>ProForma_IS_Qtr!A15</f>
        <v>Raytheon Missiles &amp; Defense (RMD)</v>
      </c>
      <c r="B15" s="127">
        <v>0</v>
      </c>
      <c r="C15" s="127">
        <v>0</v>
      </c>
      <c r="D15" s="127">
        <v>0</v>
      </c>
      <c r="E15" s="127">
        <v>0</v>
      </c>
      <c r="F15" s="127">
        <v>0</v>
      </c>
      <c r="G15" s="127">
        <v>0</v>
      </c>
      <c r="H15" s="127">
        <v>0</v>
      </c>
      <c r="I15" s="127">
        <v>0</v>
      </c>
      <c r="J15" s="127">
        <v>0</v>
      </c>
      <c r="K15" s="127">
        <v>0</v>
      </c>
      <c r="L15" s="127">
        <v>0</v>
      </c>
      <c r="M15" s="127">
        <v>0</v>
      </c>
      <c r="N15" s="127">
        <v>1908</v>
      </c>
      <c r="O15" s="127">
        <v>1945</v>
      </c>
      <c r="P15" s="127">
        <v>1774</v>
      </c>
      <c r="Q15" s="127">
        <f>+ProForma_IS_Qtr!F15</f>
        <v>1732</v>
      </c>
      <c r="R15" s="127">
        <f>+ProForma_IS_Qtr!K15</f>
        <v>1734</v>
      </c>
      <c r="S15" s="127">
        <f>+ProForma_IS_Qtr!P15</f>
        <v>1945</v>
      </c>
      <c r="T15" s="127">
        <f>+ProForma_IS_Qtr!U15</f>
        <v>1996</v>
      </c>
      <c r="U15" s="127">
        <f>+ProForma_IS_Qtr!Z15</f>
        <v>2040</v>
      </c>
      <c r="V15" s="127">
        <f>+ProForma_IS_Qtr!AE15</f>
        <v>1960</v>
      </c>
      <c r="W15" s="127">
        <f>+ProForma_IS_Qtr!AJ15</f>
        <v>2004</v>
      </c>
      <c r="X15" s="127">
        <f>+ProForma_IS_Qtr!AO15</f>
        <v>1569</v>
      </c>
      <c r="Y15" s="127"/>
      <c r="Z15" s="127"/>
      <c r="AA15" s="127"/>
      <c r="AB15" s="127"/>
      <c r="AC15" s="38"/>
      <c r="AD15" s="38"/>
      <c r="AE15" s="38"/>
      <c r="AF15" s="38"/>
      <c r="AG15" s="127"/>
      <c r="AH15" s="483"/>
      <c r="AI15" s="483"/>
      <c r="AJ15" s="318"/>
      <c r="AK15" s="318"/>
      <c r="AL15" s="318"/>
    </row>
    <row r="16" spans="1:38">
      <c r="A16" s="1" t="s">
        <v>451</v>
      </c>
      <c r="B16" s="127"/>
      <c r="C16" s="127"/>
      <c r="D16" s="127"/>
      <c r="E16" s="127"/>
      <c r="F16" s="127"/>
      <c r="G16" s="127"/>
      <c r="H16" s="127"/>
      <c r="I16" s="127"/>
      <c r="J16" s="127"/>
      <c r="K16" s="127"/>
      <c r="L16" s="127"/>
      <c r="M16" s="127"/>
      <c r="N16" s="127"/>
      <c r="O16" s="127"/>
      <c r="P16" s="127"/>
      <c r="Q16" s="127"/>
      <c r="R16" s="127"/>
      <c r="S16" s="127"/>
      <c r="T16" s="127"/>
      <c r="U16" s="127"/>
      <c r="V16" s="127"/>
      <c r="W16" s="127"/>
      <c r="X16" s="127"/>
      <c r="Y16" s="127">
        <f>+ProForma_IS_Qtr!AT16</f>
        <v>2434</v>
      </c>
      <c r="Z16" s="127">
        <f>+ProForma_IS_Qtr!AY16</f>
        <v>2728</v>
      </c>
      <c r="AA16" s="127">
        <f>+ProForma_IS_Qtr!BD16</f>
        <v>3231</v>
      </c>
      <c r="AB16" s="127">
        <f>+ProForma_IS_Qtr!BI16</f>
        <v>3873.4393749999999</v>
      </c>
      <c r="AC16" s="127">
        <f>'Recast Raytheon_Annual'!AC28</f>
        <v>4084.5418209374998</v>
      </c>
      <c r="AD16" s="127">
        <f>'Recast Raytheon_Annual'!AD28</f>
        <v>4329.61433019375</v>
      </c>
      <c r="AE16" s="127">
        <f>'Recast Raytheon_Annual'!AE28</f>
        <v>4589.3911900053754</v>
      </c>
      <c r="AF16" s="127">
        <f>'Recast Raytheon_Annual'!AF28</f>
        <v>4864.7546614056982</v>
      </c>
      <c r="AG16" s="127"/>
      <c r="AH16" s="483"/>
      <c r="AI16" s="483"/>
      <c r="AJ16" s="318"/>
      <c r="AK16" s="318"/>
      <c r="AL16" s="318"/>
    </row>
    <row r="17" spans="1:39" hidden="1" outlineLevel="1">
      <c r="A17" s="1" t="str">
        <f>ProForma_IS_Qtr!A17</f>
        <v>Corporate and Others</v>
      </c>
      <c r="B17" s="158"/>
      <c r="C17" s="158"/>
      <c r="D17" s="158"/>
      <c r="E17" s="158"/>
      <c r="F17" s="158"/>
      <c r="G17" s="158"/>
      <c r="H17" s="158"/>
      <c r="I17" s="158"/>
      <c r="J17" s="158"/>
      <c r="K17" s="158"/>
      <c r="L17" s="158" t="s">
        <v>371</v>
      </c>
      <c r="M17" s="158" t="s">
        <v>371</v>
      </c>
      <c r="N17" s="158" t="s">
        <v>371</v>
      </c>
      <c r="O17" s="158" t="s">
        <v>371</v>
      </c>
      <c r="P17" s="158" t="s">
        <v>371</v>
      </c>
      <c r="Q17" s="127" t="str">
        <f>+ProForma_IS_Qtr!F17</f>
        <v>NM</v>
      </c>
      <c r="R17" s="127" t="str">
        <f>+ProForma_IS_Qtr!K17</f>
        <v>NM</v>
      </c>
      <c r="S17" s="127" t="str">
        <f>+ProForma_IS_Qtr!P17</f>
        <v>NM</v>
      </c>
      <c r="T17" s="127" t="str">
        <f>+ProForma_IS_Qtr!U17</f>
        <v>NM</v>
      </c>
      <c r="U17" s="127">
        <f>+ProForma_IS_Qtr!Z17</f>
        <v>0</v>
      </c>
      <c r="V17" s="127">
        <f>+ProForma_IS_Qtr!AE17</f>
        <v>0</v>
      </c>
      <c r="W17" s="127">
        <f>+ProForma_IS_Qtr!AJ17</f>
        <v>0</v>
      </c>
      <c r="X17" s="127">
        <f>+ProForma_IS_Qtr!AO17</f>
        <v>0</v>
      </c>
      <c r="Y17" s="127">
        <f>+ProForma_IS_Qtr!AT17</f>
        <v>0</v>
      </c>
      <c r="Z17" s="127">
        <f>+ProForma_IS_Qtr!AY17</f>
        <v>0</v>
      </c>
      <c r="AA17" s="127">
        <f>+ProForma_IS_Qtr!BD17</f>
        <v>0</v>
      </c>
      <c r="AB17" s="127">
        <f>+ProForma_IS_Qtr!BI17</f>
        <v>0</v>
      </c>
      <c r="AC17" s="43">
        <f>AB17</f>
        <v>0</v>
      </c>
      <c r="AD17" s="43">
        <f>AC17</f>
        <v>0</v>
      </c>
      <c r="AE17" s="43">
        <f>AD17</f>
        <v>0</v>
      </c>
      <c r="AF17" s="43">
        <f>AE17</f>
        <v>0</v>
      </c>
      <c r="AG17" s="158"/>
      <c r="AH17" s="318"/>
      <c r="AI17" s="318"/>
      <c r="AJ17" s="318"/>
      <c r="AK17" s="318"/>
      <c r="AL17" s="318"/>
    </row>
    <row r="18" spans="1:39" collapsed="1">
      <c r="A18" s="4" t="str">
        <f>ProForma_IS_Qtr!A18</f>
        <v>Business Segment Operating Profit</v>
      </c>
      <c r="B18" s="126">
        <f t="shared" ref="B18:W18" si="9">SUM(B12:B17)</f>
        <v>0</v>
      </c>
      <c r="C18" s="126">
        <f t="shared" si="9"/>
        <v>0</v>
      </c>
      <c r="D18" s="126">
        <f t="shared" si="9"/>
        <v>0</v>
      </c>
      <c r="E18" s="126">
        <f t="shared" si="9"/>
        <v>0</v>
      </c>
      <c r="F18" s="126">
        <f t="shared" si="9"/>
        <v>0</v>
      </c>
      <c r="G18" s="126">
        <f t="shared" si="9"/>
        <v>0</v>
      </c>
      <c r="H18" s="126">
        <f t="shared" si="9"/>
        <v>0</v>
      </c>
      <c r="I18" s="126">
        <f t="shared" si="9"/>
        <v>0</v>
      </c>
      <c r="J18" s="126">
        <f t="shared" si="9"/>
        <v>0</v>
      </c>
      <c r="K18" s="126">
        <f t="shared" si="9"/>
        <v>0</v>
      </c>
      <c r="L18" s="126">
        <f t="shared" si="9"/>
        <v>2125</v>
      </c>
      <c r="M18" s="126">
        <f t="shared" si="9"/>
        <v>2648</v>
      </c>
      <c r="N18" s="126">
        <f t="shared" si="9"/>
        <v>6176</v>
      </c>
      <c r="O18" s="126">
        <f t="shared" si="9"/>
        <v>7347</v>
      </c>
      <c r="P18" s="126">
        <f t="shared" si="9"/>
        <v>7615</v>
      </c>
      <c r="Q18" s="126">
        <f t="shared" si="9"/>
        <v>7294</v>
      </c>
      <c r="R18" s="126">
        <f t="shared" si="9"/>
        <v>7107</v>
      </c>
      <c r="S18" s="126">
        <f t="shared" si="9"/>
        <v>7031</v>
      </c>
      <c r="T18" s="126">
        <f t="shared" si="9"/>
        <v>7593</v>
      </c>
      <c r="U18" s="126">
        <f t="shared" si="9"/>
        <v>10460</v>
      </c>
      <c r="V18" s="126">
        <f t="shared" si="9"/>
        <v>5295</v>
      </c>
      <c r="W18" s="126">
        <f t="shared" si="9"/>
        <v>5884</v>
      </c>
      <c r="X18" s="126">
        <f t="shared" ref="X18:Y18" si="10">SUM(X12:X17)</f>
        <v>6735</v>
      </c>
      <c r="Y18" s="126">
        <f t="shared" si="10"/>
        <v>8018</v>
      </c>
      <c r="Z18" s="126">
        <f t="shared" ref="Z18:AA18" si="11">SUM(Z12:Z17)</f>
        <v>9505</v>
      </c>
      <c r="AA18" s="126">
        <f t="shared" si="11"/>
        <v>10849</v>
      </c>
      <c r="AB18" s="126">
        <f t="shared" ref="AB18" si="12">SUM(AB12:AB17)</f>
        <v>12438.287147000001</v>
      </c>
      <c r="AC18" s="81">
        <f t="shared" ref="AC18" si="13">SUM(AC12:AC17)</f>
        <v>13811.512001951134</v>
      </c>
      <c r="AD18" s="81">
        <f t="shared" ref="AD18" si="14">SUM(AD12:AD17)</f>
        <v>14999.606340582255</v>
      </c>
      <c r="AE18" s="81">
        <f t="shared" ref="AE18:AF18" si="15">SUM(AE12:AE17)</f>
        <v>16196.768248799002</v>
      </c>
      <c r="AF18" s="81">
        <f t="shared" si="15"/>
        <v>17260.812489230626</v>
      </c>
      <c r="AG18" s="126"/>
      <c r="AH18" s="316"/>
      <c r="AL18" s="81"/>
      <c r="AM18" s="424"/>
    </row>
    <row r="19" spans="1:39">
      <c r="A19" s="13"/>
      <c r="B19" s="156"/>
      <c r="C19" s="156"/>
      <c r="D19" s="156"/>
      <c r="E19" s="156"/>
      <c r="F19" s="156"/>
      <c r="G19" s="156"/>
      <c r="H19" s="156"/>
      <c r="I19" s="156"/>
      <c r="J19" s="156"/>
      <c r="K19" s="156"/>
      <c r="L19" s="156"/>
      <c r="M19" s="156"/>
      <c r="N19" s="156"/>
      <c r="O19" s="156"/>
      <c r="P19" s="156"/>
      <c r="Q19" s="156"/>
      <c r="R19" s="156"/>
      <c r="S19" s="156"/>
      <c r="T19" s="156"/>
      <c r="U19" s="156"/>
      <c r="V19" s="494"/>
      <c r="W19" s="156"/>
      <c r="X19" s="156"/>
      <c r="Y19" s="156"/>
      <c r="Z19" s="156"/>
      <c r="AA19" s="156"/>
      <c r="AB19" s="156"/>
      <c r="AC19" s="40"/>
      <c r="AD19" s="40"/>
      <c r="AE19" s="40"/>
      <c r="AF19" s="40"/>
      <c r="AG19" s="156"/>
      <c r="AH19" s="442"/>
      <c r="AJ19" s="497"/>
    </row>
    <row r="20" spans="1:39">
      <c r="A20" s="1" t="str">
        <f>ProForma_IS_Qtr!A20</f>
        <v>FAS Pension Service Cost</v>
      </c>
      <c r="B20" s="158"/>
      <c r="C20" s="158"/>
      <c r="D20" s="158"/>
      <c r="E20" s="158"/>
      <c r="F20" s="158"/>
      <c r="G20" s="158"/>
      <c r="H20" s="158"/>
      <c r="I20" s="158"/>
      <c r="J20" s="158"/>
      <c r="K20" s="158"/>
      <c r="L20" s="158"/>
      <c r="M20" s="158"/>
      <c r="N20" s="158"/>
      <c r="O20" s="158"/>
      <c r="P20" s="158"/>
      <c r="Q20" s="127"/>
      <c r="R20" s="127"/>
      <c r="S20" s="127"/>
      <c r="T20" s="127"/>
      <c r="U20" s="127" t="str">
        <f>ProForma_IS_Qtr!Z20</f>
        <v>ND</v>
      </c>
      <c r="V20" s="127">
        <f>ProForma_IS_Qtr!AE20</f>
        <v>-472</v>
      </c>
      <c r="W20" s="127">
        <f>ProForma_IS_Qtr!AJ20</f>
        <v>-405</v>
      </c>
      <c r="X20" s="127">
        <f>ProForma_IS_Qtr!AO20</f>
        <v>-365</v>
      </c>
      <c r="Y20" s="127">
        <f>ProForma_IS_Qtr!AT20</f>
        <v>-145.00000000000003</v>
      </c>
      <c r="Z20" s="127">
        <f>ProForma_IS_Qtr!AY20</f>
        <v>-138</v>
      </c>
      <c r="AA20" s="127">
        <f>ProForma_IS_Qtr!BD20</f>
        <v>-120</v>
      </c>
      <c r="AB20" s="127">
        <f>ProForma_IS_Qtr!BI20</f>
        <v>-150</v>
      </c>
      <c r="AC20" s="43">
        <f t="shared" ref="AC20:AF20" si="16">AB20</f>
        <v>-150</v>
      </c>
      <c r="AD20" s="43">
        <f t="shared" si="16"/>
        <v>-150</v>
      </c>
      <c r="AE20" s="43">
        <f t="shared" si="16"/>
        <v>-150</v>
      </c>
      <c r="AF20" s="43">
        <f t="shared" si="16"/>
        <v>-150</v>
      </c>
      <c r="AG20" s="158"/>
      <c r="AH20" s="386"/>
      <c r="AI20" s="386"/>
      <c r="AJ20" s="386"/>
      <c r="AK20" s="386"/>
      <c r="AL20" s="386"/>
    </row>
    <row r="21" spans="1:39">
      <c r="A21" s="1" t="str">
        <f>ProForma_IS_Qtr!A21</f>
        <v>CAS Pension Cost</v>
      </c>
      <c r="B21" s="158"/>
      <c r="C21" s="158"/>
      <c r="D21" s="158"/>
      <c r="E21" s="158"/>
      <c r="F21" s="158"/>
      <c r="G21" s="158"/>
      <c r="H21" s="158"/>
      <c r="I21" s="158"/>
      <c r="J21" s="158"/>
      <c r="K21" s="158"/>
      <c r="L21" s="158"/>
      <c r="M21" s="158"/>
      <c r="N21" s="158"/>
      <c r="O21" s="158"/>
      <c r="P21" s="158"/>
      <c r="Q21" s="127"/>
      <c r="R21" s="127"/>
      <c r="S21" s="127"/>
      <c r="T21" s="127"/>
      <c r="U21" s="127" t="str">
        <f>ProForma_IS_Qtr!Z21</f>
        <v>ND</v>
      </c>
      <c r="V21" s="127">
        <f>ProForma_IS_Qtr!AE21</f>
        <v>1982</v>
      </c>
      <c r="W21" s="127">
        <f>ProForma_IS_Qtr!AJ21</f>
        <v>2201</v>
      </c>
      <c r="X21" s="127">
        <f>ProForma_IS_Qtr!AO21</f>
        <v>1885</v>
      </c>
      <c r="Y21" s="127">
        <f>ProForma_IS_Qtr!AT21</f>
        <v>1272</v>
      </c>
      <c r="Z21" s="127">
        <f>ProForma_IS_Qtr!AY21</f>
        <v>971</v>
      </c>
      <c r="AA21" s="127">
        <f>ProForma_IS_Qtr!BD21</f>
        <v>873</v>
      </c>
      <c r="AB21" s="127">
        <f>ProForma_IS_Qtr!BI21</f>
        <v>800</v>
      </c>
      <c r="AC21" s="43">
        <v>750</v>
      </c>
      <c r="AD21" s="43">
        <v>700</v>
      </c>
      <c r="AE21" s="43">
        <v>600</v>
      </c>
      <c r="AF21" s="43">
        <v>600</v>
      </c>
      <c r="AG21" s="158"/>
      <c r="AH21" s="386"/>
      <c r="AI21" s="432"/>
      <c r="AJ21" s="432"/>
      <c r="AK21" s="432"/>
      <c r="AL21" s="432"/>
      <c r="AM21" s="432"/>
    </row>
    <row r="22" spans="1:39">
      <c r="A22" s="4" t="str">
        <f>ProForma_IS_Qtr!A22</f>
        <v>FAS/CAS Operating Adjustment</v>
      </c>
      <c r="B22" s="126"/>
      <c r="C22" s="126"/>
      <c r="D22" s="126"/>
      <c r="E22" s="126"/>
      <c r="F22" s="126"/>
      <c r="G22" s="126"/>
      <c r="H22" s="126"/>
      <c r="I22" s="126"/>
      <c r="J22" s="126"/>
      <c r="K22" s="126"/>
      <c r="L22" s="126"/>
      <c r="M22" s="126"/>
      <c r="N22" s="126"/>
      <c r="O22" s="126"/>
      <c r="P22" s="126"/>
      <c r="Q22" s="129"/>
      <c r="R22" s="129"/>
      <c r="S22" s="129"/>
      <c r="T22" s="129"/>
      <c r="U22" s="129">
        <f>ProForma_IS_Qtr!Z22</f>
        <v>1414</v>
      </c>
      <c r="V22" s="129">
        <f>ProForma_IS_Qtr!AE22</f>
        <v>1510</v>
      </c>
      <c r="W22" s="129">
        <f>ProForma_IS_Qtr!AJ22</f>
        <v>1796</v>
      </c>
      <c r="X22" s="129">
        <f>ProForma_IS_Qtr!AO22</f>
        <v>1520</v>
      </c>
      <c r="Y22" s="129">
        <f>ProForma_IS_Qtr!AT22</f>
        <v>1127</v>
      </c>
      <c r="Z22" s="129">
        <f>ProForma_IS_Qtr!AY22</f>
        <v>833</v>
      </c>
      <c r="AA22" s="129">
        <f>ProForma_IS_Qtr!BD22</f>
        <v>753</v>
      </c>
      <c r="AB22" s="129">
        <f>ProForma_IS_Qtr!BI22</f>
        <v>650</v>
      </c>
      <c r="AC22" s="81">
        <f>SUM(AC20:AC21)</f>
        <v>600</v>
      </c>
      <c r="AD22" s="81">
        <f>SUM(AD20:AD21)</f>
        <v>550</v>
      </c>
      <c r="AE22" s="81">
        <f>SUM(AE20:AE21)</f>
        <v>450</v>
      </c>
      <c r="AF22" s="81">
        <f>SUM(AF20:AF21)</f>
        <v>450</v>
      </c>
      <c r="AG22" s="126"/>
      <c r="AH22"/>
    </row>
    <row r="23" spans="1:39">
      <c r="A23" s="1" t="str">
        <f>ProForma_IS_Qtr!A23</f>
        <v>Corporate, Eliminations, and Other</v>
      </c>
      <c r="B23" s="192"/>
      <c r="C23" s="175"/>
      <c r="D23" s="175"/>
      <c r="E23" s="175"/>
      <c r="F23" s="175"/>
      <c r="G23" s="175"/>
      <c r="H23" s="175"/>
      <c r="I23" s="175"/>
      <c r="J23" s="175"/>
      <c r="K23" s="175"/>
      <c r="L23" s="175"/>
      <c r="M23" s="175"/>
      <c r="N23" s="175"/>
      <c r="O23" s="192"/>
      <c r="P23" s="175"/>
      <c r="Q23" s="157"/>
      <c r="R23" s="157"/>
      <c r="S23" s="157"/>
      <c r="T23" s="157"/>
      <c r="U23" s="157">
        <f>ProForma_IS_Qtr!Z23</f>
        <v>-307</v>
      </c>
      <c r="V23" s="157">
        <f>ProForma_IS_Qtr!AE23</f>
        <v>-387</v>
      </c>
      <c r="W23" s="157">
        <f>ProForma_IS_Qtr!AJ23</f>
        <v>-133</v>
      </c>
      <c r="X23" s="157">
        <f>ProForma_IS_Qtr!AO23</f>
        <v>-180</v>
      </c>
      <c r="Y23" s="157">
        <f>ProForma_IS_Qtr!AT23</f>
        <v>-81</v>
      </c>
      <c r="Z23" s="157">
        <f>ProForma_IS_Qtr!AY23</f>
        <v>-48</v>
      </c>
      <c r="AA23" s="157">
        <f>ProForma_IS_Qtr!BD23</f>
        <v>13</v>
      </c>
      <c r="AB23" s="157">
        <f>ProForma_IS_Qtr!BI23</f>
        <v>50</v>
      </c>
      <c r="AC23" s="158">
        <f t="shared" ref="AC23:AF23" si="17">AB23*(1.02)</f>
        <v>51</v>
      </c>
      <c r="AD23" s="158">
        <f t="shared" si="17"/>
        <v>52.02</v>
      </c>
      <c r="AE23" s="158">
        <f t="shared" si="17"/>
        <v>53.060400000000001</v>
      </c>
      <c r="AF23" s="158">
        <f t="shared" si="17"/>
        <v>54.121608000000002</v>
      </c>
      <c r="AG23" s="158"/>
    </row>
    <row r="24" spans="1:39">
      <c r="A24" s="1" t="str">
        <f>ProForma_IS_Qtr!A24</f>
        <v>Corporate Expenses and Other Unallocated Items</v>
      </c>
      <c r="B24" s="192"/>
      <c r="C24" s="175"/>
      <c r="D24" s="175"/>
      <c r="E24" s="175"/>
      <c r="F24" s="175"/>
      <c r="G24" s="175"/>
      <c r="H24" s="175"/>
      <c r="I24" s="175"/>
      <c r="J24" s="175"/>
      <c r="K24" s="175"/>
      <c r="L24" s="175"/>
      <c r="M24" s="175"/>
      <c r="N24" s="175"/>
      <c r="O24" s="175"/>
      <c r="P24" s="175"/>
      <c r="Q24" s="157"/>
      <c r="R24" s="157"/>
      <c r="S24" s="157"/>
      <c r="T24" s="157"/>
      <c r="U24" s="157">
        <f>ProForma_IS_Qtr!Z24</f>
        <v>-260</v>
      </c>
      <c r="V24" s="157">
        <f>ProForma_IS_Qtr!AE24</f>
        <v>0</v>
      </c>
      <c r="W24" s="157">
        <f>ProForma_IS_Qtr!AJ24</f>
        <v>-284</v>
      </c>
      <c r="X24" s="157">
        <f>ProForma_IS_Qtr!AO24</f>
        <v>-252</v>
      </c>
      <c r="Y24" s="157">
        <f>ProForma_IS_Qtr!AT24</f>
        <v>-169</v>
      </c>
      <c r="Z24" s="157">
        <f>ProForma_IS_Qtr!AY24</f>
        <v>-107</v>
      </c>
      <c r="AA24" s="157">
        <f>ProForma_IS_Qtr!BD24</f>
        <v>-226</v>
      </c>
      <c r="AB24" s="157">
        <f>ProForma_IS_Qtr!BI24</f>
        <v>-225</v>
      </c>
      <c r="AC24" s="158">
        <f t="shared" ref="AC24:AF24" si="18">AB24*1.02</f>
        <v>-229.5</v>
      </c>
      <c r="AD24" s="158">
        <f t="shared" si="18"/>
        <v>-234.09</v>
      </c>
      <c r="AE24" s="158">
        <f t="shared" si="18"/>
        <v>-238.77180000000001</v>
      </c>
      <c r="AF24" s="158">
        <f t="shared" si="18"/>
        <v>-243.54723600000003</v>
      </c>
      <c r="AG24" s="158"/>
    </row>
    <row r="25" spans="1:39">
      <c r="A25" s="1" t="str">
        <f>ProForma_IS_Qtr!A25</f>
        <v>Acquisition Accounting Adjustments</v>
      </c>
      <c r="B25" s="192"/>
      <c r="C25" s="175"/>
      <c r="D25" s="175"/>
      <c r="E25" s="175"/>
      <c r="F25" s="175"/>
      <c r="G25" s="175"/>
      <c r="H25" s="175"/>
      <c r="I25" s="175"/>
      <c r="J25" s="175"/>
      <c r="K25" s="175"/>
      <c r="L25" s="175"/>
      <c r="M25" s="175"/>
      <c r="N25" s="175"/>
      <c r="O25" s="175"/>
      <c r="P25" s="175"/>
      <c r="Q25" s="157"/>
      <c r="R25" s="157"/>
      <c r="S25" s="157"/>
      <c r="T25" s="157"/>
      <c r="U25" s="157">
        <f>ProForma_IS_Qtr!Z25</f>
        <v>0</v>
      </c>
      <c r="V25" s="157">
        <f>ProForma_IS_Qtr!AE25</f>
        <v>0</v>
      </c>
      <c r="W25" s="157">
        <f>ProForma_IS_Qtr!AJ25</f>
        <v>0</v>
      </c>
      <c r="X25" s="157">
        <f>ProForma_IS_Qtr!AO25</f>
        <v>0</v>
      </c>
      <c r="Y25" s="157">
        <f>ProForma_IS_Qtr!AT25</f>
        <v>0</v>
      </c>
      <c r="Z25" s="157">
        <f>ProForma_IS_Qtr!AY25</f>
        <v>0</v>
      </c>
      <c r="AA25" s="157">
        <f>ProForma_IS_Qtr!BD25</f>
        <v>0</v>
      </c>
      <c r="AB25" s="157">
        <f>ProForma_IS_Qtr!BI25</f>
        <v>0</v>
      </c>
      <c r="AC25" s="43">
        <f t="shared" ref="AC25:AF25" si="19">AB25</f>
        <v>0</v>
      </c>
      <c r="AD25" s="43">
        <f t="shared" si="19"/>
        <v>0</v>
      </c>
      <c r="AE25" s="43">
        <f t="shared" si="19"/>
        <v>0</v>
      </c>
      <c r="AF25" s="43">
        <f t="shared" si="19"/>
        <v>0</v>
      </c>
      <c r="AG25" s="158"/>
    </row>
    <row r="26" spans="1:39">
      <c r="A26" s="4" t="str">
        <f>ProForma_IS_Qtr!A26</f>
        <v>Total Unallocated Items</v>
      </c>
      <c r="B26" s="126"/>
      <c r="C26" s="126"/>
      <c r="D26" s="126"/>
      <c r="E26" s="126"/>
      <c r="F26" s="126"/>
      <c r="G26" s="126"/>
      <c r="H26" s="126"/>
      <c r="I26" s="126"/>
      <c r="J26" s="126"/>
      <c r="K26" s="126"/>
      <c r="L26" s="126"/>
      <c r="M26" s="126"/>
      <c r="N26" s="126"/>
      <c r="O26" s="126"/>
      <c r="P26" s="126"/>
      <c r="Q26" s="126"/>
      <c r="R26" s="126"/>
      <c r="S26" s="126"/>
      <c r="T26" s="126"/>
      <c r="U26" s="126">
        <f>SUM(U22:U25)</f>
        <v>847</v>
      </c>
      <c r="V26" s="126">
        <f t="shared" ref="V26:W26" si="20">SUM(V22:V25)</f>
        <v>1123</v>
      </c>
      <c r="W26" s="126">
        <f t="shared" si="20"/>
        <v>1379</v>
      </c>
      <c r="X26" s="126">
        <f t="shared" ref="X26:Y26" si="21">SUM(X22:X25)</f>
        <v>1088</v>
      </c>
      <c r="Y26" s="126">
        <f t="shared" si="21"/>
        <v>877</v>
      </c>
      <c r="Z26" s="126">
        <f t="shared" ref="Z26:AA26" si="22">SUM(Z22:Z25)</f>
        <v>678</v>
      </c>
      <c r="AA26" s="126">
        <f t="shared" si="22"/>
        <v>540</v>
      </c>
      <c r="AB26" s="126">
        <f t="shared" ref="AB26" si="23">SUM(AB22:AB25)</f>
        <v>475</v>
      </c>
      <c r="AC26" s="81">
        <f t="shared" ref="AC26" si="24">SUM(AC22:AC25)</f>
        <v>421.5</v>
      </c>
      <c r="AD26" s="81">
        <f t="shared" ref="AD26" si="25">SUM(AD22:AD25)</f>
        <v>367.92999999999995</v>
      </c>
      <c r="AE26" s="81">
        <f t="shared" ref="AE26:AF26" si="26">SUM(AE22:AE25)</f>
        <v>264.28859999999997</v>
      </c>
      <c r="AF26" s="81">
        <f t="shared" si="26"/>
        <v>260.57437199999993</v>
      </c>
      <c r="AG26" s="126"/>
      <c r="AH26"/>
    </row>
    <row r="27" spans="1:39">
      <c r="A27" s="13"/>
      <c r="B27" s="156"/>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40"/>
      <c r="AD27" s="40"/>
      <c r="AE27" s="40"/>
      <c r="AF27" s="40"/>
      <c r="AG27" s="156"/>
    </row>
    <row r="28" spans="1:39">
      <c r="A28" s="8" t="str">
        <f>ProForma_IS_Qtr!A28</f>
        <v>Operating Profit</v>
      </c>
      <c r="B28" s="154"/>
      <c r="C28" s="154"/>
      <c r="D28" s="154"/>
      <c r="E28" s="154"/>
      <c r="F28" s="154"/>
      <c r="G28" s="154"/>
      <c r="H28" s="154"/>
      <c r="I28" s="154"/>
      <c r="J28" s="154"/>
      <c r="K28" s="154"/>
      <c r="L28" s="154"/>
      <c r="M28" s="154"/>
      <c r="N28" s="154"/>
      <c r="O28" s="154"/>
      <c r="P28" s="154"/>
      <c r="Q28" s="154"/>
      <c r="R28" s="154"/>
      <c r="S28" s="154"/>
      <c r="T28" s="154"/>
      <c r="U28" s="154">
        <f t="shared" ref="U28:W28" si="27">U18+U26</f>
        <v>11307</v>
      </c>
      <c r="V28" s="154">
        <f t="shared" si="27"/>
        <v>6418</v>
      </c>
      <c r="W28" s="154">
        <f t="shared" si="27"/>
        <v>7263</v>
      </c>
      <c r="X28" s="154">
        <f t="shared" ref="X28:Y28" si="28">X18+X26</f>
        <v>7823</v>
      </c>
      <c r="Y28" s="154">
        <f t="shared" si="28"/>
        <v>8895</v>
      </c>
      <c r="Z28" s="154">
        <f t="shared" ref="Z28:AA28" si="29">Z18+Z26</f>
        <v>10183</v>
      </c>
      <c r="AA28" s="154">
        <f t="shared" si="29"/>
        <v>11389</v>
      </c>
      <c r="AB28" s="154">
        <f t="shared" ref="AB28" si="30">AB18+AB26</f>
        <v>12913.287147000001</v>
      </c>
      <c r="AC28" s="24">
        <f t="shared" ref="AC28" si="31">AC18+AC26</f>
        <v>14233.012001951134</v>
      </c>
      <c r="AD28" s="24">
        <f t="shared" ref="AD28" si="32">AD18+AD26</f>
        <v>15367.536340582255</v>
      </c>
      <c r="AE28" s="24">
        <f t="shared" ref="AE28:AF28" si="33">AE18+AE26</f>
        <v>16461.056848799002</v>
      </c>
      <c r="AF28" s="24">
        <f t="shared" si="33"/>
        <v>17521.386861230625</v>
      </c>
      <c r="AG28" s="126"/>
    </row>
    <row r="29" spans="1:39">
      <c r="A29" s="1" t="str">
        <f>ProForma_IS_Qtr!A29</f>
        <v>Operating Margin</v>
      </c>
      <c r="B29" s="92"/>
      <c r="C29" s="92"/>
      <c r="D29" s="92"/>
      <c r="E29" s="92"/>
      <c r="F29" s="92"/>
      <c r="G29" s="92"/>
      <c r="H29" s="92"/>
      <c r="I29" s="92"/>
      <c r="J29" s="92"/>
      <c r="K29" s="92"/>
      <c r="L29" s="92"/>
      <c r="M29" s="92"/>
      <c r="N29" s="92"/>
      <c r="O29" s="92"/>
      <c r="P29" s="92"/>
      <c r="Q29" s="130"/>
      <c r="R29" s="130"/>
      <c r="S29" s="130"/>
      <c r="T29" s="130"/>
      <c r="U29" s="130">
        <f>+ProForma_IS_Qtr!Z29</f>
        <v>0.15230949526516427</v>
      </c>
      <c r="V29" s="130">
        <f>+ProForma_IS_Qtr!AE29</f>
        <v>9.9249980669604887E-2</v>
      </c>
      <c r="W29" s="130">
        <f>+ProForma_IS_Qtr!AJ29</f>
        <v>0.11280052183636702</v>
      </c>
      <c r="X29" s="130">
        <f>+ProForma_IS_Qtr!AO29</f>
        <v>0.11663237618153084</v>
      </c>
      <c r="Y29" s="130">
        <f>+ProForma_IS_Qtr!AT29</f>
        <v>0.11970930623780365</v>
      </c>
      <c r="Z29" s="130">
        <f>+ProForma_IS_Qtr!AY29</f>
        <v>0.12601475101475101</v>
      </c>
      <c r="AA29" s="130">
        <f>+ProForma_IS_Qtr!BD29</f>
        <v>0.12853966569980702</v>
      </c>
      <c r="AB29" s="130">
        <f>+ProForma_IS_Qtr!BI29</f>
        <v>0.13452186163949242</v>
      </c>
      <c r="AC29" s="115">
        <f>AC28/AC9</f>
        <v>0.13793458106961373</v>
      </c>
      <c r="AD29" s="115">
        <f>AD28/AD9</f>
        <v>0.14100216861475429</v>
      </c>
      <c r="AE29" s="115">
        <f>AE28/AE9</f>
        <v>0.14344264116320851</v>
      </c>
      <c r="AF29" s="115">
        <f>AF28/AF9</f>
        <v>0.14490574943979495</v>
      </c>
      <c r="AG29" s="252"/>
    </row>
    <row r="30" spans="1:39">
      <c r="B30" s="155"/>
      <c r="C30" s="155"/>
      <c r="D30" s="155"/>
      <c r="E30" s="155"/>
      <c r="F30" s="155"/>
      <c r="G30" s="155"/>
      <c r="H30" s="155"/>
      <c r="I30" s="155"/>
      <c r="J30" s="155"/>
      <c r="K30" s="155"/>
      <c r="L30" s="155"/>
      <c r="M30" s="155"/>
      <c r="N30" s="155"/>
      <c r="O30" s="155"/>
      <c r="P30" s="155"/>
      <c r="Q30" s="155"/>
      <c r="R30" s="155"/>
      <c r="S30" s="155"/>
      <c r="T30" s="155"/>
      <c r="U30" s="155"/>
      <c r="V30" s="155"/>
      <c r="W30" s="155"/>
      <c r="X30" s="155"/>
      <c r="Y30" s="155"/>
      <c r="Z30" s="155"/>
      <c r="AA30" s="155"/>
      <c r="AB30" s="155"/>
      <c r="AC30" s="26"/>
      <c r="AD30" s="26"/>
      <c r="AE30" s="26"/>
      <c r="AF30" s="26"/>
      <c r="AG30" s="155"/>
    </row>
    <row r="31" spans="1:39" ht="15.75" customHeight="1">
      <c r="A31" s="1" t="str">
        <f>ProForma_IS_Qtr!A31</f>
        <v>Interest Expense, Net</v>
      </c>
      <c r="B31" s="158"/>
      <c r="C31" s="158"/>
      <c r="D31" s="158"/>
      <c r="E31" s="158"/>
      <c r="F31" s="158"/>
      <c r="G31" s="158"/>
      <c r="H31" s="158"/>
      <c r="I31" s="158"/>
      <c r="J31" s="158"/>
      <c r="K31" s="158"/>
      <c r="L31" s="158"/>
      <c r="M31" s="158"/>
      <c r="N31" s="158"/>
      <c r="O31" s="158"/>
      <c r="P31" s="158"/>
      <c r="Q31" s="127"/>
      <c r="R31" s="127"/>
      <c r="S31" s="127"/>
      <c r="T31" s="127"/>
      <c r="U31" s="127">
        <f>+ProForma_IS_Qtr!Z31</f>
        <v>-1792</v>
      </c>
      <c r="V31" s="127">
        <f>+ProForma_IS_Qtr!AE31</f>
        <v>-1292</v>
      </c>
      <c r="W31" s="127">
        <f>+ProForma_IS_Qtr!AJ31</f>
        <v>-1322</v>
      </c>
      <c r="X31" s="127">
        <f>+ProForma_IS_Qtr!AO31</f>
        <v>-1276</v>
      </c>
      <c r="Y31" s="127">
        <f>+ProForma_IS_Qtr!AT31</f>
        <v>-1516</v>
      </c>
      <c r="Z31" s="127">
        <f>+ProForma_IS_Qtr!AY31</f>
        <v>-1949.7341772151899</v>
      </c>
      <c r="AA31" s="127">
        <f>+ProForma_IS_Qtr!BD31</f>
        <v>-1768.0506329113923</v>
      </c>
      <c r="AB31" s="127">
        <f>+ProForma_IS_Qtr!BI31</f>
        <v>-1624.5801875</v>
      </c>
      <c r="AC31" s="38">
        <f>-Debt_Annual!AC199</f>
        <v>-1609.4639999999999</v>
      </c>
      <c r="AD31" s="38">
        <f>-Debt_Annual!AD199</f>
        <v>-1572.2452499999999</v>
      </c>
      <c r="AE31" s="38">
        <f>-Debt_Annual!AE199</f>
        <v>-1535.2452499999999</v>
      </c>
      <c r="AF31" s="38">
        <f>-Debt_Annual!AF199</f>
        <v>-1535.2452499999999</v>
      </c>
      <c r="AG31" s="127"/>
    </row>
    <row r="32" spans="1:39">
      <c r="A32" s="1" t="str">
        <f>ProForma_IS_Qtr!A32</f>
        <v>Non-Service Pension (Benefit)</v>
      </c>
      <c r="B32" s="158"/>
      <c r="C32" s="158"/>
      <c r="D32" s="158"/>
      <c r="E32" s="158"/>
      <c r="F32" s="158"/>
      <c r="G32" s="158"/>
      <c r="H32" s="158"/>
      <c r="I32" s="158"/>
      <c r="J32" s="158"/>
      <c r="K32" s="158"/>
      <c r="L32" s="158"/>
      <c r="M32" s="158"/>
      <c r="N32" s="158"/>
      <c r="O32" s="158"/>
      <c r="P32" s="158"/>
      <c r="Q32" s="127"/>
      <c r="R32" s="127"/>
      <c r="S32" s="127"/>
      <c r="T32" s="127"/>
      <c r="U32" s="127">
        <f>ProForma_IS_Qtr!$Z$32</f>
        <v>-72</v>
      </c>
      <c r="V32" s="127">
        <f>ProForma_IS_Qtr!AE$32</f>
        <v>-1044</v>
      </c>
      <c r="W32" s="127">
        <f>ProForma_IS_Qtr!AJ$32</f>
        <v>-1961</v>
      </c>
      <c r="X32" s="127">
        <f>ProForma_IS_Qtr!AO$32</f>
        <v>-1896</v>
      </c>
      <c r="Y32" s="127">
        <f>ProForma_IS_Qtr!AT$32</f>
        <v>-1782</v>
      </c>
      <c r="Z32" s="127">
        <f>ProForma_IS_Qtr!AY$32</f>
        <v>-1538.8607594936709</v>
      </c>
      <c r="AA32" s="127">
        <f>ProForma_IS_Qtr!BD$32</f>
        <v>-1182</v>
      </c>
      <c r="AB32" s="127">
        <f>ProForma_IS_Qtr!BI$32</f>
        <v>-1400</v>
      </c>
      <c r="AC32" s="43">
        <f>AB32</f>
        <v>-1400</v>
      </c>
      <c r="AD32" s="43">
        <v>-1225</v>
      </c>
      <c r="AE32" s="43">
        <v>-1110</v>
      </c>
      <c r="AF32" s="43">
        <v>-1110</v>
      </c>
      <c r="AG32" s="158"/>
      <c r="AH32" s="334"/>
    </row>
    <row r="33" spans="1:40">
      <c r="A33" s="1" t="str">
        <f>ProForma_IS_Qtr!A33</f>
        <v>Other Non-Operating Expense, Net</v>
      </c>
      <c r="B33" s="158"/>
      <c r="C33" s="158"/>
      <c r="D33" s="158"/>
      <c r="E33" s="158"/>
      <c r="F33" s="158"/>
      <c r="G33" s="158"/>
      <c r="H33" s="158"/>
      <c r="I33" s="158"/>
      <c r="J33" s="158"/>
      <c r="K33" s="158"/>
      <c r="L33" s="158"/>
      <c r="M33" s="158"/>
      <c r="N33" s="158"/>
      <c r="O33" s="158"/>
      <c r="P33" s="158"/>
      <c r="Q33" s="127"/>
      <c r="R33" s="127"/>
      <c r="S33" s="127"/>
      <c r="T33" s="127"/>
      <c r="U33" s="127">
        <f>+ProForma_IS_Qtr!Z33</f>
        <v>38</v>
      </c>
      <c r="V33" s="127">
        <f>+ProForma_IS_Qtr!AE33</f>
        <v>0</v>
      </c>
      <c r="W33" s="127">
        <f>+ProForma_IS_Qtr!AJ33</f>
        <v>0</v>
      </c>
      <c r="X33" s="127">
        <f>+ProForma_IS_Qtr!AO33</f>
        <v>0</v>
      </c>
      <c r="Y33" s="127">
        <f>+ProForma_IS_Qtr!AT33</f>
        <v>0</v>
      </c>
      <c r="Z33" s="127">
        <f>+ProForma_IS_Qtr!AY33</f>
        <v>0</v>
      </c>
      <c r="AA33" s="127">
        <f>+ProForma_IS_Qtr!BD33</f>
        <v>0</v>
      </c>
      <c r="AB33" s="127">
        <f>+ProForma_IS_Qtr!BI33</f>
        <v>0</v>
      </c>
      <c r="AC33" s="43">
        <v>0</v>
      </c>
      <c r="AD33" s="43">
        <v>0</v>
      </c>
      <c r="AE33" s="43">
        <v>0</v>
      </c>
      <c r="AF33" s="43">
        <v>0</v>
      </c>
      <c r="AG33" s="158"/>
      <c r="AI33" s="380"/>
      <c r="AJ33" s="380"/>
      <c r="AK33" s="380"/>
      <c r="AL33" s="348"/>
      <c r="AM33" s="348"/>
    </row>
    <row r="34" spans="1:40">
      <c r="A34" s="8" t="str">
        <f>ProForma_IS_Qtr!A34</f>
        <v>Pre-Tax Income</v>
      </c>
      <c r="B34" s="154"/>
      <c r="C34" s="154"/>
      <c r="D34" s="154"/>
      <c r="E34" s="154"/>
      <c r="F34" s="154"/>
      <c r="G34" s="154"/>
      <c r="H34" s="154"/>
      <c r="I34" s="154"/>
      <c r="J34" s="154"/>
      <c r="K34" s="154"/>
      <c r="L34" s="154"/>
      <c r="M34" s="154"/>
      <c r="N34" s="154"/>
      <c r="O34" s="154"/>
      <c r="P34" s="154"/>
      <c r="Q34" s="154"/>
      <c r="R34" s="154"/>
      <c r="S34" s="154"/>
      <c r="T34" s="154"/>
      <c r="U34" s="154">
        <f t="shared" ref="U34:W34" si="34">U28+U31-U32+U33</f>
        <v>9625</v>
      </c>
      <c r="V34" s="154">
        <f t="shared" si="34"/>
        <v>6170</v>
      </c>
      <c r="W34" s="154">
        <f t="shared" si="34"/>
        <v>7902</v>
      </c>
      <c r="X34" s="154">
        <f t="shared" ref="X34:Y34" si="35">X28+X31-X32+X33</f>
        <v>8443</v>
      </c>
      <c r="Y34" s="154">
        <f t="shared" si="35"/>
        <v>9161</v>
      </c>
      <c r="Z34" s="154">
        <f t="shared" ref="Z34:AA34" si="36">Z28+Z31-Z32+Z33</f>
        <v>9772.1265822784808</v>
      </c>
      <c r="AA34" s="154">
        <f t="shared" si="36"/>
        <v>10802.949367088608</v>
      </c>
      <c r="AB34" s="154">
        <f t="shared" ref="AB34" si="37">AB28+AB31-AB32+AB33</f>
        <v>12688.706959500001</v>
      </c>
      <c r="AC34" s="24">
        <f t="shared" ref="AC34" si="38">AC28+AC31-AC32+AC33</f>
        <v>14023.548001951134</v>
      </c>
      <c r="AD34" s="24">
        <f t="shared" ref="AD34" si="39">AD28+AD31-AD32+AD33</f>
        <v>15020.291090582255</v>
      </c>
      <c r="AE34" s="24">
        <f t="shared" ref="AE34:AF34" si="40">AE28+AE31-AE32+AE33</f>
        <v>16035.811598799002</v>
      </c>
      <c r="AF34" s="24">
        <f t="shared" si="40"/>
        <v>17096.141611230625</v>
      </c>
      <c r="AG34" s="126"/>
      <c r="AI34" s="348"/>
      <c r="AJ34" s="348"/>
      <c r="AK34" s="348"/>
      <c r="AL34" s="348"/>
      <c r="AM34" s="348"/>
    </row>
    <row r="35" spans="1:40">
      <c r="A35" s="1" t="str">
        <f>ProForma_IS_Qtr!A35</f>
        <v>YoY</v>
      </c>
      <c r="B35" s="92"/>
      <c r="C35" s="92"/>
      <c r="D35" s="92"/>
      <c r="E35" s="92"/>
      <c r="F35" s="92"/>
      <c r="G35" s="92"/>
      <c r="H35" s="92"/>
      <c r="I35" s="92"/>
      <c r="J35" s="92"/>
      <c r="K35" s="92"/>
      <c r="L35" s="92"/>
      <c r="M35" s="92"/>
      <c r="N35" s="92"/>
      <c r="O35" s="92"/>
      <c r="P35" s="92"/>
      <c r="Q35" s="130"/>
      <c r="R35" s="130"/>
      <c r="S35" s="130"/>
      <c r="T35" s="130"/>
      <c r="U35" s="130" t="str">
        <f>+ProForma_IS_Qtr!Z35</f>
        <v>NM</v>
      </c>
      <c r="V35" s="130">
        <f>+ProForma_IS_Qtr!AE35</f>
        <v>-0.35896103896103893</v>
      </c>
      <c r="W35" s="130">
        <f>+ProForma_IS_Qtr!AJ35</f>
        <v>0.28071312803889792</v>
      </c>
      <c r="X35" s="130">
        <f>+ProForma_IS_Qtr!AO35</f>
        <v>6.8463680080992129E-2</v>
      </c>
      <c r="Y35" s="130">
        <f>+ProForma_IS_Qtr!AT35</f>
        <v>8.5040862252753868E-2</v>
      </c>
      <c r="Z35" s="130">
        <f>+ProForma_IS_Qtr!AY35</f>
        <v>6.6709593087924901E-2</v>
      </c>
      <c r="AA35" s="130">
        <f>+ProForma_IS_Qtr!BD35</f>
        <v>0.10548602457519318</v>
      </c>
      <c r="AB35" s="130">
        <f>+ProForma_IS_Qtr!BI35</f>
        <v>0.17455951410421222</v>
      </c>
      <c r="AC35" s="115">
        <f>AC34/AB34-1</f>
        <v>0.10519913862867969</v>
      </c>
      <c r="AD35" s="115">
        <f>AD34/AC34-1</f>
        <v>7.1076384413733429E-2</v>
      </c>
      <c r="AE35" s="115">
        <f>AE34/AD34-1</f>
        <v>6.7609908629099769E-2</v>
      </c>
      <c r="AF35" s="115">
        <f>AF34/AE34-1</f>
        <v>6.6122628461850796E-2</v>
      </c>
      <c r="AG35" s="252"/>
      <c r="AI35" s="348"/>
      <c r="AJ35" s="348"/>
      <c r="AK35" s="348"/>
      <c r="AL35" s="348"/>
      <c r="AM35" s="348"/>
      <c r="AN35" s="380"/>
    </row>
    <row r="36" spans="1:40">
      <c r="A36" s="2"/>
      <c r="B36" s="159"/>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47"/>
      <c r="AD36" s="47"/>
      <c r="AE36" s="47"/>
      <c r="AF36" s="47"/>
      <c r="AG36" s="159"/>
    </row>
    <row r="37" spans="1:40">
      <c r="A37" s="13" t="str">
        <f>ProForma_IS_Qtr!A37</f>
        <v xml:space="preserve"> Income Tax (Expense) Benefit</v>
      </c>
      <c r="B37" s="177"/>
      <c r="C37" s="177"/>
      <c r="D37" s="177"/>
      <c r="E37" s="177"/>
      <c r="F37" s="177"/>
      <c r="G37" s="177"/>
      <c r="H37" s="177"/>
      <c r="I37" s="177"/>
      <c r="J37" s="177"/>
      <c r="K37" s="177"/>
      <c r="L37" s="177"/>
      <c r="M37" s="177"/>
      <c r="N37" s="177"/>
      <c r="O37" s="177"/>
      <c r="P37" s="177"/>
      <c r="Q37" s="128"/>
      <c r="R37" s="128"/>
      <c r="S37" s="128"/>
      <c r="T37" s="128"/>
      <c r="U37" s="128">
        <f>+ProForma_IS_Qtr!Z37</f>
        <v>-1701</v>
      </c>
      <c r="V37" s="128">
        <f>+ProForma_IS_Qtr!AE37</f>
        <v>-1080</v>
      </c>
      <c r="W37" s="128">
        <f>+ProForma_IS_Qtr!AJ37</f>
        <v>-1225</v>
      </c>
      <c r="X37" s="128">
        <f>+ProForma_IS_Qtr!AO37</f>
        <v>-1218.28</v>
      </c>
      <c r="Y37" s="128">
        <f>+ProForma_IS_Qtr!AT37</f>
        <v>-1690</v>
      </c>
      <c r="Z37" s="128">
        <f>+ProForma_IS_Qtr!AY37</f>
        <v>-1837</v>
      </c>
      <c r="AA37" s="128">
        <f>+ProForma_IS_Qtr!BD37</f>
        <v>-1935</v>
      </c>
      <c r="AB37" s="128">
        <f>+ProForma_IS_Qtr!BI37</f>
        <v>-2347.4107875075001</v>
      </c>
      <c r="AC37" s="40">
        <f>IF(AC34&lt;0,0,-AC34*AC38)</f>
        <v>-2959.8325766055391</v>
      </c>
      <c r="AD37" s="40">
        <f>IF(AD34&lt;0,0,-AD34*AD38)</f>
        <v>-3223.6998173602478</v>
      </c>
      <c r="AE37" s="40">
        <f>IF(AE34&lt;0,0,-AE34*AE38)</f>
        <v>-3447.6994937417853</v>
      </c>
      <c r="AF37" s="40">
        <f>IF(AF34&lt;0,0,-AF34*AF38)</f>
        <v>-3667.1223756089689</v>
      </c>
      <c r="AG37" s="156"/>
      <c r="AH37" s="318"/>
    </row>
    <row r="38" spans="1:40">
      <c r="A38" s="1" t="str">
        <f>ProForma_IS_Qtr!A38</f>
        <v>Tax Rate</v>
      </c>
      <c r="B38" s="92"/>
      <c r="C38" s="92"/>
      <c r="D38" s="92"/>
      <c r="E38" s="92"/>
      <c r="F38" s="92"/>
      <c r="G38" s="92"/>
      <c r="H38" s="92"/>
      <c r="I38" s="92"/>
      <c r="J38" s="92"/>
      <c r="K38" s="92"/>
      <c r="L38" s="92"/>
      <c r="M38" s="92"/>
      <c r="N38" s="92"/>
      <c r="O38" s="92"/>
      <c r="P38" s="92"/>
      <c r="Q38" s="130"/>
      <c r="R38" s="130"/>
      <c r="S38" s="130"/>
      <c r="T38" s="130"/>
      <c r="U38" s="426">
        <f>+ProForma_IS_Qtr!Z38</f>
        <v>0.17672727272727273</v>
      </c>
      <c r="V38" s="426">
        <f>+ProForma_IS_Qtr!AE38</f>
        <v>0.17504051863857376</v>
      </c>
      <c r="W38" s="426">
        <f>+ProForma_IS_Qtr!AJ38</f>
        <v>0.15502404454568464</v>
      </c>
      <c r="X38" s="426">
        <f>+ProForma_IS_Qtr!AO38</f>
        <v>0.14429468198507639</v>
      </c>
      <c r="Y38" s="426">
        <f>+ProForma_IS_Qtr!AT38</f>
        <v>0.18447767710948587</v>
      </c>
      <c r="Z38" s="426">
        <f>+ProForma_IS_Qtr!AY38</f>
        <v>0.18798364762603012</v>
      </c>
      <c r="AA38" s="426">
        <f>+ProForma_IS_Qtr!BD38</f>
        <v>0.17911775148136994</v>
      </c>
      <c r="AB38" s="426">
        <f>+ProForma_IS_Qtr!BI38</f>
        <v>0.185</v>
      </c>
      <c r="AC38" s="427">
        <v>0.21106160696235571</v>
      </c>
      <c r="AD38" s="427">
        <v>0.21462299218565162</v>
      </c>
      <c r="AE38" s="427">
        <v>0.215</v>
      </c>
      <c r="AF38" s="427">
        <v>0.2145</v>
      </c>
      <c r="AG38" s="534"/>
      <c r="AH38" s="316"/>
    </row>
    <row r="39" spans="1:40">
      <c r="A39" s="1"/>
      <c r="B39" s="92"/>
      <c r="C39" s="92"/>
      <c r="D39" s="92"/>
      <c r="E39" s="92"/>
      <c r="F39" s="92"/>
      <c r="G39" s="92"/>
      <c r="H39" s="92"/>
      <c r="I39" s="92"/>
      <c r="J39" s="92"/>
      <c r="K39" s="92"/>
      <c r="L39" s="92"/>
      <c r="M39" s="92"/>
      <c r="N39" s="92"/>
      <c r="O39" s="92"/>
      <c r="P39" s="92"/>
      <c r="Q39" s="130"/>
      <c r="R39" s="130"/>
      <c r="S39" s="130"/>
      <c r="T39" s="130"/>
      <c r="U39" s="130"/>
      <c r="V39" s="130"/>
      <c r="W39" s="130"/>
      <c r="X39" s="130"/>
      <c r="Y39" s="130"/>
      <c r="Z39" s="130"/>
      <c r="AA39" s="130"/>
      <c r="AB39" s="130"/>
      <c r="AC39" s="230"/>
      <c r="AD39" s="230"/>
      <c r="AE39" s="230"/>
      <c r="AF39" s="230"/>
      <c r="AG39" s="377"/>
    </row>
    <row r="40" spans="1:40">
      <c r="A40" s="8" t="str">
        <f>ProForma_IS_Qtr!A40</f>
        <v>Net Income (loss) from Continuing Operations</v>
      </c>
      <c r="B40" s="154"/>
      <c r="C40" s="154"/>
      <c r="D40" s="154"/>
      <c r="E40" s="154"/>
      <c r="F40" s="154"/>
      <c r="G40" s="154"/>
      <c r="H40" s="154"/>
      <c r="I40" s="154"/>
      <c r="J40" s="154"/>
      <c r="K40" s="154"/>
      <c r="L40" s="154"/>
      <c r="M40" s="154"/>
      <c r="N40" s="154"/>
      <c r="O40" s="154"/>
      <c r="P40" s="154"/>
      <c r="Q40" s="154"/>
      <c r="R40" s="154"/>
      <c r="S40" s="154"/>
      <c r="T40" s="154"/>
      <c r="U40" s="154">
        <f t="shared" ref="U40:W40" si="41">U34+U37</f>
        <v>7924</v>
      </c>
      <c r="V40" s="154">
        <f t="shared" si="41"/>
        <v>5090</v>
      </c>
      <c r="W40" s="154">
        <f t="shared" si="41"/>
        <v>6677</v>
      </c>
      <c r="X40" s="154">
        <f t="shared" ref="X40:Y40" si="42">X34+X37</f>
        <v>7224.72</v>
      </c>
      <c r="Y40" s="154">
        <f t="shared" si="42"/>
        <v>7471</v>
      </c>
      <c r="Z40" s="154">
        <f t="shared" ref="Z40:AA40" si="43">Z34+Z37</f>
        <v>7935.1265822784808</v>
      </c>
      <c r="AA40" s="154">
        <f t="shared" si="43"/>
        <v>8867.9493670886077</v>
      </c>
      <c r="AB40" s="154">
        <f t="shared" ref="AB40" si="44">AB34+AB37</f>
        <v>10341.296171992501</v>
      </c>
      <c r="AC40" s="24">
        <f t="shared" ref="AC40" si="45">AC34+AC37</f>
        <v>11063.715425345596</v>
      </c>
      <c r="AD40" s="24">
        <f t="shared" ref="AD40" si="46">AD34+AD37</f>
        <v>11796.591273222008</v>
      </c>
      <c r="AE40" s="24">
        <f t="shared" ref="AE40:AF40" si="47">AE34+AE37</f>
        <v>12588.112105057216</v>
      </c>
      <c r="AF40" s="24">
        <f t="shared" si="47"/>
        <v>13429.019235621656</v>
      </c>
      <c r="AG40" s="126"/>
    </row>
    <row r="41" spans="1:40">
      <c r="A41" s="1" t="str">
        <f>ProForma_IS_Qtr!A41</f>
        <v>YoY</v>
      </c>
      <c r="B41" s="92"/>
      <c r="C41" s="92"/>
      <c r="D41" s="92"/>
      <c r="E41" s="92"/>
      <c r="F41" s="92"/>
      <c r="G41" s="92"/>
      <c r="H41" s="92"/>
      <c r="I41" s="92"/>
      <c r="J41" s="92"/>
      <c r="K41" s="92"/>
      <c r="L41" s="92"/>
      <c r="M41" s="92"/>
      <c r="N41" s="92"/>
      <c r="O41" s="92"/>
      <c r="P41" s="92"/>
      <c r="Q41" s="130"/>
      <c r="R41" s="130"/>
      <c r="S41" s="130"/>
      <c r="T41" s="130"/>
      <c r="U41" s="130" t="str">
        <f>+ProForma_IS_Qtr!Z41</f>
        <v>NM</v>
      </c>
      <c r="V41" s="130">
        <f>+ProForma_IS_Qtr!AE41</f>
        <v>-0.35764765270065624</v>
      </c>
      <c r="W41" s="130">
        <f>+ProForma_IS_Qtr!AJ41</f>
        <v>0.31178781925343801</v>
      </c>
      <c r="X41" s="130">
        <f>+ProForma_IS_Qtr!AO41</f>
        <v>8.2030852179122427E-2</v>
      </c>
      <c r="Y41" s="130">
        <f>+ProForma_IS_Qtr!AT41</f>
        <v>3.4088518309359994E-2</v>
      </c>
      <c r="Z41" s="130">
        <f>+ProForma_IS_Qtr!AY41</f>
        <v>6.2123756160953114E-2</v>
      </c>
      <c r="AA41" s="130">
        <f>+ProForma_IS_Qtr!BD41</f>
        <v>0.11755613160518452</v>
      </c>
      <c r="AB41" s="130">
        <f>+ProForma_IS_Qtr!BI41</f>
        <v>0.16614289774498348</v>
      </c>
      <c r="AC41" s="115">
        <f>AC40/AB40-1</f>
        <v>6.9857708486256831E-2</v>
      </c>
      <c r="AD41" s="115">
        <f>AD40/AC40-1</f>
        <v>6.6241386342736686E-2</v>
      </c>
      <c r="AE41" s="115">
        <f>AE40/AD40-1</f>
        <v>6.7097419373335576E-2</v>
      </c>
      <c r="AF41" s="115">
        <f>AF40/AE40-1</f>
        <v>6.6801687460871007E-2</v>
      </c>
      <c r="AG41" s="252"/>
    </row>
    <row r="42" spans="1:40">
      <c r="A42" s="1"/>
      <c r="B42" s="92"/>
      <c r="C42" s="92"/>
      <c r="D42" s="92"/>
      <c r="E42" s="92"/>
      <c r="F42" s="92"/>
      <c r="G42" s="92"/>
      <c r="H42" s="92"/>
      <c r="I42" s="92"/>
      <c r="J42" s="92"/>
      <c r="K42" s="92"/>
      <c r="L42" s="92"/>
      <c r="M42" s="92"/>
      <c r="N42" s="92"/>
      <c r="O42" s="92"/>
      <c r="P42" s="92"/>
      <c r="Q42" s="130"/>
      <c r="R42" s="130"/>
      <c r="S42" s="130"/>
      <c r="T42" s="130"/>
      <c r="U42" s="130"/>
      <c r="V42" s="130"/>
      <c r="W42" s="130"/>
      <c r="X42" s="130"/>
      <c r="Y42" s="130"/>
      <c r="Z42" s="130"/>
      <c r="AA42" s="130"/>
      <c r="AB42" s="130"/>
      <c r="AC42" s="230"/>
      <c r="AD42" s="230"/>
      <c r="AE42" s="230"/>
      <c r="AF42" s="230"/>
      <c r="AG42" s="377"/>
    </row>
    <row r="43" spans="1:40">
      <c r="A43" s="1" t="str">
        <f>ProForma_IS_Qtr!A43</f>
        <v>Noncontrolling Interest in Subsidiaries' Earnings from Continuing Operations</v>
      </c>
      <c r="B43" s="254"/>
      <c r="C43" s="92"/>
      <c r="D43" s="92"/>
      <c r="E43" s="92"/>
      <c r="F43" s="92"/>
      <c r="G43" s="92"/>
      <c r="H43" s="92"/>
      <c r="I43" s="92"/>
      <c r="J43" s="92"/>
      <c r="K43" s="92"/>
      <c r="L43" s="92"/>
      <c r="M43" s="92"/>
      <c r="N43" s="92"/>
      <c r="O43" s="92"/>
      <c r="P43" s="92"/>
      <c r="Q43" s="128"/>
      <c r="R43" s="128"/>
      <c r="S43" s="128"/>
      <c r="T43" s="128"/>
      <c r="U43" s="128">
        <f>+ProForma_IS_Qtr!Z43</f>
        <v>-200</v>
      </c>
      <c r="V43" s="128">
        <f>+ProForma_IS_Qtr!AE43</f>
        <v>-183</v>
      </c>
      <c r="W43" s="128">
        <f>+ProForma_IS_Qtr!AJ43</f>
        <v>-232</v>
      </c>
      <c r="X43" s="128">
        <f>+ProForma_IS_Qtr!AO43</f>
        <v>-127</v>
      </c>
      <c r="Y43" s="128">
        <f>+ProForma_IS_Qtr!AT43</f>
        <v>-202</v>
      </c>
      <c r="Z43" s="128">
        <f>+ProForma_IS_Qtr!AY43</f>
        <v>-230</v>
      </c>
      <c r="AA43" s="128">
        <f>+ProForma_IS_Qtr!BD43</f>
        <v>-337</v>
      </c>
      <c r="AB43" s="128">
        <f>+ProForma_IS_Qtr!BI43</f>
        <v>-438.1</v>
      </c>
      <c r="AC43" s="158">
        <f>AB43*1.025</f>
        <v>-449.05250000000001</v>
      </c>
      <c r="AD43" s="158">
        <f t="shared" ref="AD43:AF43" si="48">AC43*1.03</f>
        <v>-462.52407500000004</v>
      </c>
      <c r="AE43" s="158">
        <f t="shared" si="48"/>
        <v>-476.39979725000006</v>
      </c>
      <c r="AF43" s="158">
        <f t="shared" si="48"/>
        <v>-490.69179116750007</v>
      </c>
      <c r="AG43" s="158"/>
    </row>
    <row r="44" spans="1:40">
      <c r="A44" s="8" t="str">
        <f>ProForma_IS_Qtr!A44</f>
        <v>Net Earnings from Continuing Operations Attributable to Common Shareowners</v>
      </c>
      <c r="B44" s="154"/>
      <c r="C44" s="154"/>
      <c r="D44" s="154"/>
      <c r="E44" s="154"/>
      <c r="F44" s="154"/>
      <c r="G44" s="154"/>
      <c r="H44" s="154"/>
      <c r="I44" s="154"/>
      <c r="J44" s="154"/>
      <c r="K44" s="154"/>
      <c r="L44" s="154"/>
      <c r="M44" s="154"/>
      <c r="N44" s="154"/>
      <c r="O44" s="154"/>
      <c r="P44" s="154"/>
      <c r="Q44" s="154"/>
      <c r="R44" s="154"/>
      <c r="S44" s="154"/>
      <c r="T44" s="154"/>
      <c r="U44" s="154">
        <f t="shared" ref="U44:W44" si="49">U40+U43</f>
        <v>7724</v>
      </c>
      <c r="V44" s="154">
        <f t="shared" si="49"/>
        <v>4907</v>
      </c>
      <c r="W44" s="154">
        <f t="shared" si="49"/>
        <v>6445</v>
      </c>
      <c r="X44" s="154">
        <f t="shared" ref="X44:Y44" si="50">X40+X43</f>
        <v>7097.72</v>
      </c>
      <c r="Y44" s="154">
        <f t="shared" si="50"/>
        <v>7269</v>
      </c>
      <c r="Z44" s="154">
        <f t="shared" ref="Z44:AA44" si="51">Z40+Z43</f>
        <v>7705.1265822784808</v>
      </c>
      <c r="AA44" s="154">
        <f t="shared" si="51"/>
        <v>8530.9493670886077</v>
      </c>
      <c r="AB44" s="154">
        <f t="shared" ref="AB44" si="52">AB40+AB43</f>
        <v>9903.1961719925002</v>
      </c>
      <c r="AC44" s="24">
        <f t="shared" ref="AC44" si="53">AC40+AC43</f>
        <v>10614.662925345596</v>
      </c>
      <c r="AD44" s="24">
        <f t="shared" ref="AD44" si="54">AD40+AD43</f>
        <v>11334.067198222008</v>
      </c>
      <c r="AE44" s="24">
        <f t="shared" ref="AE44:AF44" si="55">AE40+AE43</f>
        <v>12111.712307807216</v>
      </c>
      <c r="AF44" s="24">
        <f t="shared" si="55"/>
        <v>12938.327444454155</v>
      </c>
      <c r="AG44" s="126"/>
      <c r="AH44" s="319"/>
      <c r="AI44" s="319"/>
      <c r="AJ44" s="319"/>
      <c r="AK44" s="319"/>
      <c r="AL44" s="319"/>
    </row>
    <row r="45" spans="1:40">
      <c r="A45" s="1" t="str">
        <f>ProForma_IS_Qtr!A45</f>
        <v>YoY</v>
      </c>
      <c r="B45" s="92"/>
      <c r="C45" s="92"/>
      <c r="D45" s="92"/>
      <c r="E45" s="92"/>
      <c r="F45" s="92"/>
      <c r="G45" s="92"/>
      <c r="H45" s="92"/>
      <c r="I45" s="92"/>
      <c r="J45" s="92"/>
      <c r="K45" s="92"/>
      <c r="L45" s="92"/>
      <c r="M45" s="92"/>
      <c r="N45" s="92"/>
      <c r="O45" s="92"/>
      <c r="P45" s="92"/>
      <c r="Q45" s="130"/>
      <c r="R45" s="130"/>
      <c r="S45" s="130"/>
      <c r="T45" s="130"/>
      <c r="U45" s="130" t="str">
        <f>+ProForma_IS_Qtr!Z45</f>
        <v>NM</v>
      </c>
      <c r="V45" s="130">
        <f>+ProForma_IS_Qtr!AE45</f>
        <v>-0.36470740548938374</v>
      </c>
      <c r="W45" s="130">
        <f>+ProForma_IS_Qtr!AJ45</f>
        <v>0.31342979417159156</v>
      </c>
      <c r="X45" s="130">
        <f>+ProForma_IS_Qtr!AO45</f>
        <v>0.10127540729247486</v>
      </c>
      <c r="Y45" s="130">
        <f>+ProForma_IS_Qtr!AT45</f>
        <v>2.4131692994370013E-2</v>
      </c>
      <c r="Z45" s="130">
        <f>+ProForma_IS_Qtr!AY45</f>
        <v>5.999815411727627E-2</v>
      </c>
      <c r="AA45" s="130">
        <f>+ProForma_IS_Qtr!BD45</f>
        <v>0.10717835404670573</v>
      </c>
      <c r="AB45" s="130">
        <f>+ProForma_IS_Qtr!BI45</f>
        <v>0.16085511070993563</v>
      </c>
      <c r="AC45" s="115">
        <f>AC44/AB44-1</f>
        <v>7.1842134700432769E-2</v>
      </c>
      <c r="AD45" s="115">
        <f>AD44/AC44-1</f>
        <v>6.7774575409137672E-2</v>
      </c>
      <c r="AE45" s="115">
        <f>AE44/AD44-1</f>
        <v>6.8611302190549672E-2</v>
      </c>
      <c r="AF45" s="115">
        <f>AF44/AE44-1</f>
        <v>6.824923806306904E-2</v>
      </c>
      <c r="AG45" s="252"/>
    </row>
    <row r="46" spans="1:40">
      <c r="A46" s="12"/>
      <c r="B46" s="155"/>
      <c r="C46" s="155"/>
      <c r="D46" s="155"/>
      <c r="E46" s="155"/>
      <c r="F46" s="155"/>
      <c r="G46" s="155"/>
      <c r="H46" s="155"/>
      <c r="I46" s="155"/>
      <c r="J46" s="155"/>
      <c r="K46" s="155"/>
      <c r="L46" s="155"/>
      <c r="M46" s="178"/>
      <c r="N46" s="155"/>
      <c r="O46" s="155"/>
      <c r="P46" s="155"/>
      <c r="Q46" s="155"/>
      <c r="R46" s="155"/>
      <c r="S46" s="155"/>
      <c r="T46" s="155"/>
      <c r="U46" s="155"/>
      <c r="V46" s="155"/>
      <c r="W46" s="155"/>
      <c r="X46" s="155"/>
      <c r="Y46" s="155"/>
      <c r="Z46" s="155"/>
      <c r="AA46" s="155"/>
      <c r="AB46" s="155"/>
      <c r="AC46" s="26"/>
      <c r="AD46" s="26"/>
      <c r="AE46" s="26"/>
      <c r="AF46" s="26"/>
      <c r="AG46" s="155"/>
    </row>
    <row r="47" spans="1:40">
      <c r="A47" s="1" t="str">
        <f>ProForma_IS_Qtr!A47</f>
        <v>Non-Recurring Charges</v>
      </c>
      <c r="B47" s="158"/>
      <c r="C47" s="158"/>
      <c r="D47" s="158"/>
      <c r="E47" s="158"/>
      <c r="F47" s="158"/>
      <c r="G47" s="158"/>
      <c r="H47" s="158"/>
      <c r="I47" s="158"/>
      <c r="J47" s="158"/>
      <c r="K47" s="158"/>
      <c r="L47" s="158"/>
      <c r="M47" s="158"/>
      <c r="N47" s="158"/>
      <c r="O47" s="158"/>
      <c r="P47" s="158"/>
      <c r="Q47" s="127"/>
      <c r="R47" s="127"/>
      <c r="S47" s="127"/>
      <c r="T47" s="127"/>
      <c r="U47" s="127">
        <f>+ProForma_IS_Qtr!Z47</f>
        <v>-2115</v>
      </c>
      <c r="V47" s="127">
        <f>+ProForma_IS_Qtr!AE47</f>
        <v>-7196</v>
      </c>
      <c r="W47" s="127">
        <f>+ProForma_IS_Qtr!AJ47</f>
        <v>-2548</v>
      </c>
      <c r="X47" s="127">
        <f>+ProForma_IS_Qtr!AO47</f>
        <v>-1882</v>
      </c>
      <c r="Y47" s="127">
        <f>+ProForma_IS_Qtr!AT47</f>
        <v>-4069</v>
      </c>
      <c r="Z47" s="127">
        <f>+ProForma_IS_Qtr!AY47</f>
        <v>-2931</v>
      </c>
      <c r="AA47" s="127">
        <f>+ProForma_IS_Qtr!BD47</f>
        <v>-1799</v>
      </c>
      <c r="AB47" s="127">
        <f>+ProForma_IS_Qtr!BI47</f>
        <v>-1582.5700000000002</v>
      </c>
      <c r="AC47" s="236">
        <f>-('Recast Collins Aerospace_Annual'!AC26+'Recast Collins Aerospace_Annual'!AC27+'Pratt &amp; Whitney_Annual'!AC40+'Pratt &amp; Whitney_Annual'!AC41+Cash_Flow_Annual!AC66)*(1-0.21)</f>
        <v>-1509.69</v>
      </c>
      <c r="AD47" s="236">
        <f>-('Recast Collins Aerospace_Annual'!AD26+'Recast Collins Aerospace_Annual'!AD27+'Pratt &amp; Whitney_Annual'!AD40+'Pratt &amp; Whitney_Annual'!AD41+Cash_Flow_Annual!AD66)*(1-0.21)</f>
        <v>-1416.47</v>
      </c>
      <c r="AE47" s="236">
        <f>-('Recast Collins Aerospace_Annual'!AE26+'Recast Collins Aerospace_Annual'!AE27+'Pratt &amp; Whitney_Annual'!AE40+'Pratt &amp; Whitney_Annual'!AE41+Cash_Flow_Annual!AE66)*(1-0.21)</f>
        <v>-1290.8600000000001</v>
      </c>
      <c r="AF47" s="236">
        <f>-('Recast Collins Aerospace_Annual'!AF26+'Recast Collins Aerospace_Annual'!AF27+'Pratt &amp; Whitney_Annual'!AF40+'Pratt &amp; Whitney_Annual'!AF41+Cash_Flow_Annual!AF66)*(1-0.21)</f>
        <v>-1265.5800000000002</v>
      </c>
      <c r="AG47" s="236"/>
    </row>
    <row r="48" spans="1:40">
      <c r="A48" s="1" t="str">
        <f>ProForma_IS_Qtr!A48</f>
        <v>Discontinued Operations</v>
      </c>
      <c r="B48" s="158"/>
      <c r="C48" s="158"/>
      <c r="D48" s="158"/>
      <c r="E48" s="158"/>
      <c r="F48" s="158"/>
      <c r="G48" s="158"/>
      <c r="H48" s="158"/>
      <c r="I48" s="158"/>
      <c r="J48" s="158"/>
      <c r="K48" s="158"/>
      <c r="L48" s="158"/>
      <c r="M48" s="158"/>
      <c r="N48" s="158"/>
      <c r="O48" s="158"/>
      <c r="P48" s="158"/>
      <c r="Q48" s="127"/>
      <c r="R48" s="127"/>
      <c r="S48" s="127"/>
      <c r="T48" s="127"/>
      <c r="U48" s="127">
        <f>+ProForma_IS_Qtr!Z48</f>
        <v>2028</v>
      </c>
      <c r="V48" s="127">
        <f>+ProForma_IS_Qtr!AE48</f>
        <v>-410</v>
      </c>
      <c r="W48" s="127">
        <f>+ProForma_IS_Qtr!AJ48</f>
        <v>-33</v>
      </c>
      <c r="X48" s="127">
        <f>+ProForma_IS_Qtr!AO48</f>
        <v>-19</v>
      </c>
      <c r="Y48" s="127">
        <f>+ProForma_IS_Qtr!AT48</f>
        <v>0</v>
      </c>
      <c r="Z48" s="127">
        <f>+ProForma_IS_Qtr!AY48</f>
        <v>0</v>
      </c>
      <c r="AA48" s="127">
        <f>+ProForma_IS_Qtr!BD48</f>
        <v>0</v>
      </c>
      <c r="AB48" s="127">
        <f>+ProForma_IS_Qtr!BI48</f>
        <v>0</v>
      </c>
      <c r="AC48" s="43">
        <v>0</v>
      </c>
      <c r="AD48" s="43">
        <v>0</v>
      </c>
      <c r="AE48" s="43">
        <v>0</v>
      </c>
      <c r="AF48" s="43">
        <v>0</v>
      </c>
      <c r="AG48" s="158"/>
    </row>
    <row r="49" spans="1:39">
      <c r="A49" s="8" t="str">
        <f>ProForma_IS_Qtr!A49</f>
        <v>GAAP Net Earnings</v>
      </c>
      <c r="B49" s="154"/>
      <c r="C49" s="154"/>
      <c r="D49" s="154"/>
      <c r="E49" s="154"/>
      <c r="F49" s="154"/>
      <c r="G49" s="154"/>
      <c r="H49" s="154"/>
      <c r="I49" s="154"/>
      <c r="J49" s="154"/>
      <c r="K49" s="154"/>
      <c r="L49" s="154"/>
      <c r="M49" s="154"/>
      <c r="N49" s="154"/>
      <c r="O49" s="154"/>
      <c r="P49" s="154"/>
      <c r="Q49" s="154"/>
      <c r="R49" s="154"/>
      <c r="S49" s="154"/>
      <c r="T49" s="154"/>
      <c r="U49" s="154">
        <f t="shared" ref="U49:W49" si="56">U44+U47+U48</f>
        <v>7637</v>
      </c>
      <c r="V49" s="154">
        <f t="shared" si="56"/>
        <v>-2699</v>
      </c>
      <c r="W49" s="154">
        <f t="shared" si="56"/>
        <v>3864</v>
      </c>
      <c r="X49" s="154">
        <f t="shared" ref="X49:Y49" si="57">X44+X47+X48</f>
        <v>5196.72</v>
      </c>
      <c r="Y49" s="154">
        <f t="shared" si="57"/>
        <v>3200</v>
      </c>
      <c r="Z49" s="154">
        <f t="shared" ref="Z49:AA49" si="58">Z44+Z47+Z48</f>
        <v>4774.1265822784808</v>
      </c>
      <c r="AA49" s="154">
        <f t="shared" si="58"/>
        <v>6731.9493670886077</v>
      </c>
      <c r="AB49" s="154">
        <f t="shared" ref="AB49" si="59">AB44+AB47+AB48</f>
        <v>8320.6261719925005</v>
      </c>
      <c r="AC49" s="24">
        <f t="shared" ref="AC49" si="60">AC44+AC47+AC48</f>
        <v>9104.9729253455953</v>
      </c>
      <c r="AD49" s="24">
        <f t="shared" ref="AD49" si="61">AD44+AD47+AD48</f>
        <v>9917.597198222009</v>
      </c>
      <c r="AE49" s="24">
        <f t="shared" ref="AE49:AF49" si="62">AE44+AE47+AE48</f>
        <v>10820.852307807216</v>
      </c>
      <c r="AF49" s="24">
        <f t="shared" si="62"/>
        <v>11672.747444454155</v>
      </c>
      <c r="AG49" s="126"/>
    </row>
    <row r="50" spans="1:39">
      <c r="A50" s="1" t="str">
        <f>ProForma_IS_Qtr!A50</f>
        <v>YoY</v>
      </c>
      <c r="B50" s="92"/>
      <c r="C50" s="92"/>
      <c r="D50" s="92"/>
      <c r="E50" s="92"/>
      <c r="F50" s="92"/>
      <c r="G50" s="92"/>
      <c r="H50" s="92"/>
      <c r="I50" s="92"/>
      <c r="J50" s="92"/>
      <c r="K50" s="92"/>
      <c r="L50" s="92"/>
      <c r="M50" s="92"/>
      <c r="N50" s="92"/>
      <c r="O50" s="92"/>
      <c r="P50" s="92"/>
      <c r="Q50" s="130"/>
      <c r="R50" s="130"/>
      <c r="S50" s="130"/>
      <c r="T50" s="130"/>
      <c r="U50" s="130" t="str">
        <f>+ProForma_IS_Qtr!Z50</f>
        <v>NM</v>
      </c>
      <c r="V50" s="130">
        <f>+ProForma_IS_Qtr!AE50</f>
        <v>-1.3534110252717035</v>
      </c>
      <c r="W50" s="130">
        <f>+ProForma_IS_Qtr!AJ50</f>
        <v>-2.4316413486476476</v>
      </c>
      <c r="X50" s="130">
        <f>+ProForma_IS_Qtr!AO50</f>
        <v>0.34490683229813679</v>
      </c>
      <c r="Y50" s="130">
        <f>+ProForma_IS_Qtr!AT50</f>
        <v>-0.38422697393740668</v>
      </c>
      <c r="Z50" s="130">
        <f>+ProForma_IS_Qtr!AY50</f>
        <v>0.49191455696202535</v>
      </c>
      <c r="AA50" s="130">
        <f>+ProForma_IS_Qtr!BD50</f>
        <v>0.4100902544305276</v>
      </c>
      <c r="AB50" s="130">
        <f>+ProForma_IS_Qtr!BI50</f>
        <v>0.23599060513893222</v>
      </c>
      <c r="AC50" s="115">
        <f>AC49/AB49-1</f>
        <v>9.426535180648199E-2</v>
      </c>
      <c r="AD50" s="115">
        <f>AD49/AC49-1</f>
        <v>8.9250597397637854E-2</v>
      </c>
      <c r="AE50" s="115">
        <f>AE49/AD49-1</f>
        <v>9.1076002738560424E-2</v>
      </c>
      <c r="AF50" s="115">
        <f>AF49/AE49-1</f>
        <v>7.8727175310608244E-2</v>
      </c>
      <c r="AG50" s="252"/>
    </row>
    <row r="51" spans="1:39">
      <c r="B51" s="178"/>
      <c r="C51" s="155"/>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5"/>
      <c r="AB51" s="155"/>
      <c r="AC51" s="26"/>
      <c r="AD51" s="26"/>
      <c r="AE51" s="26"/>
      <c r="AF51" s="26"/>
      <c r="AG51" s="155"/>
    </row>
    <row r="52" spans="1:39">
      <c r="A52" s="8" t="str">
        <f>ProForma_IS_Qtr!A52</f>
        <v>EPS from Continuing Operations - Diluted</v>
      </c>
      <c r="B52" s="160"/>
      <c r="C52" s="160"/>
      <c r="D52" s="160"/>
      <c r="E52" s="160"/>
      <c r="F52" s="160"/>
      <c r="G52" s="160"/>
      <c r="H52" s="160"/>
      <c r="I52" s="160"/>
      <c r="J52" s="160"/>
      <c r="K52" s="160"/>
      <c r="L52" s="160"/>
      <c r="M52" s="160"/>
      <c r="N52" s="160"/>
      <c r="O52" s="160"/>
      <c r="P52" s="160"/>
      <c r="Q52" s="160"/>
      <c r="R52" s="160"/>
      <c r="S52" s="160"/>
      <c r="T52" s="160"/>
      <c r="U52" s="160">
        <f>IF(U44/U64=ProForma_IS_Qtr!Z52,U44/U64,"error")</f>
        <v>5.0886092627972852</v>
      </c>
      <c r="V52" s="160">
        <f>IF(V44/V64=ProForma_IS_Qtr!AE52,V44/V64,"error")</f>
        <v>3.2436541512427284</v>
      </c>
      <c r="W52" s="160">
        <f>IF(W44/W64=ProForma_IS_Qtr!AJ52,W44/W64,"error")</f>
        <v>4.2725268897396376</v>
      </c>
      <c r="X52" s="160">
        <f>IF(X44/X64=ProForma_IS_Qtr!AO52,X44/X64,"error")</f>
        <v>4.7771163197657787</v>
      </c>
      <c r="Y52" s="160">
        <f>IF(Y44/Y64=ProForma_IS_Qtr!AT52,Y44/Y64,"error")</f>
        <v>5.0640936324369514</v>
      </c>
      <c r="Z52" s="160">
        <f>IF(Z44/Z64=ProForma_IS_Qtr!AY52,Z44/Z64,"error")</f>
        <v>5.7346878403382568</v>
      </c>
      <c r="AA52" s="160">
        <f>IF(AA44/AA64=ProForma_IS_Qtr!BD52,AA44/AA64,"error")</f>
        <v>6.2894053133947265</v>
      </c>
      <c r="AB52" s="160">
        <f>IF(AB44/AB64=ProForma_IS_Qtr!BI52,AB44/AB64,"error")</f>
        <v>7.252377258665816</v>
      </c>
      <c r="AC52" s="51">
        <f>AC44/AC64</f>
        <v>7.8476999999999997</v>
      </c>
      <c r="AD52" s="51">
        <f>AD44/AD64</f>
        <v>8.4971999999999976</v>
      </c>
      <c r="AE52" s="51">
        <f>AE44/AE64</f>
        <v>9.1997057943283487</v>
      </c>
      <c r="AF52" s="51">
        <f>AF44/AF64</f>
        <v>9.9521368173460214</v>
      </c>
      <c r="AG52" s="162"/>
    </row>
    <row r="53" spans="1:39">
      <c r="A53" s="8" t="str">
        <f>ProForma_IS_Qtr!A53</f>
        <v>GAAP EPS - Diluted</v>
      </c>
      <c r="B53" s="160"/>
      <c r="C53" s="160"/>
      <c r="D53" s="160"/>
      <c r="E53" s="160"/>
      <c r="F53" s="160"/>
      <c r="G53" s="160"/>
      <c r="H53" s="160"/>
      <c r="I53" s="160"/>
      <c r="J53" s="160"/>
      <c r="K53" s="160"/>
      <c r="L53" s="160"/>
      <c r="M53" s="160"/>
      <c r="N53" s="160"/>
      <c r="O53" s="160"/>
      <c r="P53" s="160"/>
      <c r="Q53" s="160"/>
      <c r="R53" s="160"/>
      <c r="S53" s="160"/>
      <c r="T53" s="160"/>
      <c r="U53" s="160">
        <f t="shared" ref="U53:Z53" si="63">U49/U61</f>
        <v>5.0312932340733907</v>
      </c>
      <c r="V53" s="160">
        <f t="shared" si="63"/>
        <v>-1.7848168231715384</v>
      </c>
      <c r="W53" s="160">
        <f t="shared" si="63"/>
        <v>2.5616122777068799</v>
      </c>
      <c r="X53" s="160">
        <f t="shared" si="63"/>
        <v>3.4976493749053525</v>
      </c>
      <c r="Y53" s="160">
        <f t="shared" si="63"/>
        <v>2.2293437369374387</v>
      </c>
      <c r="Z53" s="160">
        <f t="shared" si="63"/>
        <v>3.5532350270009534</v>
      </c>
      <c r="AA53" s="160">
        <f t="shared" ref="AA53:AB53" si="64">AA49/AA61</f>
        <v>4.9631003885937828</v>
      </c>
      <c r="AB53" s="160">
        <f t="shared" si="64"/>
        <v>6.0934186276426026</v>
      </c>
      <c r="AC53" s="51">
        <f>+AC49/AC61</f>
        <v>6.7315464022526399</v>
      </c>
      <c r="AD53" s="51">
        <f>+AD49/AD61</f>
        <v>7.4352662145811061</v>
      </c>
      <c r="AE53" s="51">
        <f>+AE49/AE61</f>
        <v>8.2192059343695103</v>
      </c>
      <c r="AF53" s="51">
        <f>+AF49/AF61</f>
        <v>8.978655092805532</v>
      </c>
      <c r="AG53" s="162"/>
      <c r="AH53" s="535"/>
      <c r="AJ53" s="368"/>
      <c r="AK53" s="368"/>
      <c r="AL53" s="368"/>
      <c r="AM53" s="368"/>
    </row>
    <row r="54" spans="1:39">
      <c r="B54" s="155"/>
      <c r="C54" s="155"/>
      <c r="D54" s="155"/>
      <c r="E54" s="155"/>
      <c r="F54" s="155"/>
      <c r="G54" s="155"/>
      <c r="H54" s="155"/>
      <c r="I54" s="155"/>
      <c r="J54" s="155"/>
      <c r="K54" s="155"/>
      <c r="L54" s="155"/>
      <c r="M54" s="155"/>
      <c r="N54" s="155"/>
      <c r="O54" s="155"/>
      <c r="P54" s="155"/>
      <c r="Q54" s="155"/>
      <c r="R54" s="155"/>
      <c r="S54" s="155"/>
      <c r="T54" s="155"/>
      <c r="U54" s="155"/>
      <c r="V54" s="155"/>
      <c r="W54" s="420"/>
      <c r="X54" s="420"/>
      <c r="Y54" s="420"/>
      <c r="Z54" s="420"/>
      <c r="AA54" s="420"/>
      <c r="AB54" s="420"/>
      <c r="AC54" s="421"/>
      <c r="AD54" s="421"/>
      <c r="AE54" s="421"/>
      <c r="AF54" s="421"/>
      <c r="AG54" s="420"/>
    </row>
    <row r="55" spans="1:39">
      <c r="A55" s="4" t="str">
        <f>ProForma_IS_Qtr!A55</f>
        <v>EPS from Continuing Operations - Basic</v>
      </c>
      <c r="B55" s="161"/>
      <c r="C55" s="161"/>
      <c r="D55" s="161"/>
      <c r="E55" s="161"/>
      <c r="F55" s="161"/>
      <c r="G55" s="161"/>
      <c r="H55" s="161"/>
      <c r="I55" s="161"/>
      <c r="J55" s="161"/>
      <c r="K55" s="161"/>
      <c r="L55" s="161"/>
      <c r="M55" s="161"/>
      <c r="N55" s="161"/>
      <c r="O55" s="161"/>
      <c r="P55" s="161"/>
      <c r="Q55" s="161"/>
      <c r="R55" s="161"/>
      <c r="S55" s="161"/>
      <c r="T55" s="161"/>
      <c r="U55" s="161">
        <f t="shared" ref="U55:W55" si="65">U44/U58</f>
        <v>5.1264352558571709</v>
      </c>
      <c r="V55" s="161">
        <f t="shared" si="65"/>
        <v>3.2540866739613383</v>
      </c>
      <c r="W55" s="161">
        <f t="shared" si="65"/>
        <v>4.2924457616676941</v>
      </c>
      <c r="X55" s="161">
        <f t="shared" ref="X55:Y55" si="66">X44/X58</f>
        <v>4.810708960281957</v>
      </c>
      <c r="Y55" s="161">
        <f t="shared" si="66"/>
        <v>5.0974754558204767</v>
      </c>
      <c r="Z55" s="161">
        <f t="shared" ref="Z55:AA55" si="67">Z44/Z58</f>
        <v>5.784195317377435</v>
      </c>
      <c r="AA55" s="161">
        <f t="shared" si="67"/>
        <v>6.3597356247864969</v>
      </c>
      <c r="AB55" s="161">
        <f t="shared" ref="AB55" si="68">AB44/AB58</f>
        <v>7.3322848335823574</v>
      </c>
      <c r="AC55" s="53">
        <f t="shared" ref="AC55" si="69">AC44/AC58</f>
        <v>7.934166913303943</v>
      </c>
      <c r="AD55" s="53">
        <f t="shared" ref="AD55" si="70">AD44/AD58</f>
        <v>8.5908231833182001</v>
      </c>
      <c r="AE55" s="53">
        <f t="shared" ref="AE55:AF55" si="71">AE44/AE58</f>
        <v>9.3010692719510857</v>
      </c>
      <c r="AF55" s="53">
        <f t="shared" si="71"/>
        <v>10.061790671516597</v>
      </c>
      <c r="AG55" s="161"/>
    </row>
    <row r="56" spans="1:39">
      <c r="A56" s="4" t="str">
        <f>ProForma_IS_Qtr!A56</f>
        <v>GAAP EPS - Basic</v>
      </c>
      <c r="B56" s="162"/>
      <c r="C56" s="162"/>
      <c r="D56" s="162"/>
      <c r="E56" s="162"/>
      <c r="F56" s="162"/>
      <c r="G56" s="162"/>
      <c r="H56" s="162"/>
      <c r="I56" s="162"/>
      <c r="J56" s="162"/>
      <c r="K56" s="162"/>
      <c r="L56" s="162"/>
      <c r="M56" s="162"/>
      <c r="N56" s="162"/>
      <c r="O56" s="162"/>
      <c r="P56" s="162"/>
      <c r="Q56" s="162"/>
      <c r="R56" s="162"/>
      <c r="S56" s="162"/>
      <c r="T56" s="162"/>
      <c r="U56" s="162">
        <f t="shared" ref="U56:W56" si="72">U49/U58</f>
        <v>5.0686931705050773</v>
      </c>
      <c r="V56" s="162">
        <f t="shared" si="72"/>
        <v>-1.7898471434729268</v>
      </c>
      <c r="W56" s="162">
        <f t="shared" si="72"/>
        <v>2.5734694217352936</v>
      </c>
      <c r="X56" s="162">
        <f t="shared" ref="X56:Y56" si="73">X49/X58</f>
        <v>3.5222448149654331</v>
      </c>
      <c r="Y56" s="162">
        <f t="shared" si="73"/>
        <v>2.244039270687237</v>
      </c>
      <c r="Z56" s="162">
        <f t="shared" ref="Z56:AA56" si="74">Z49/Z58</f>
        <v>3.5839100535083559</v>
      </c>
      <c r="AA56" s="162">
        <f t="shared" si="74"/>
        <v>5.0185994983514295</v>
      </c>
      <c r="AB56" s="162">
        <f t="shared" ref="AB56" si="75">AB49/AB58</f>
        <v>6.1605566553705993</v>
      </c>
      <c r="AC56" s="55">
        <f t="shared" ref="AC56" si="76">AC49/AC58</f>
        <v>6.8057153994320743</v>
      </c>
      <c r="AD56" s="55">
        <f t="shared" ref="AD56" si="77">AD49/AD58</f>
        <v>7.517188882263091</v>
      </c>
      <c r="AE56" s="55">
        <f t="shared" ref="AE56:AF56" si="78">AE49/AE58</f>
        <v>8.3097661452535121</v>
      </c>
      <c r="AF56" s="55">
        <f t="shared" si="78"/>
        <v>9.0775830069071937</v>
      </c>
      <c r="AG56" s="162"/>
    </row>
    <row r="57" spans="1:39">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26"/>
      <c r="AD57" s="26"/>
      <c r="AE57" s="26"/>
      <c r="AF57" s="26"/>
      <c r="AG57" s="155"/>
    </row>
    <row r="58" spans="1:39">
      <c r="A58" s="4" t="str">
        <f>ProForma_IS_Qtr!A58</f>
        <v>Weighted Average Common Shares - Basic</v>
      </c>
      <c r="B58" s="190"/>
      <c r="C58" s="190"/>
      <c r="D58" s="190"/>
      <c r="E58" s="190"/>
      <c r="F58" s="190"/>
      <c r="G58" s="190"/>
      <c r="H58" s="190"/>
      <c r="I58" s="190"/>
      <c r="J58" s="190"/>
      <c r="K58" s="190"/>
      <c r="L58" s="190"/>
      <c r="M58" s="190"/>
      <c r="N58" s="190"/>
      <c r="O58" s="190"/>
      <c r="P58" s="190"/>
      <c r="Q58" s="163"/>
      <c r="R58" s="163"/>
      <c r="S58" s="163"/>
      <c r="T58" s="163"/>
      <c r="U58" s="163">
        <f>+ProForma_IS_Qtr!Z58</f>
        <v>1506.7</v>
      </c>
      <c r="V58" s="163">
        <f>+ProForma_IS_Qtr!AE58</f>
        <v>1507.95</v>
      </c>
      <c r="W58" s="163">
        <f>+ProForma_IS_Qtr!AJ58</f>
        <v>1501.4749999999999</v>
      </c>
      <c r="X58" s="163">
        <f>+ProForma_IS_Qtr!AO58</f>
        <v>1475.4</v>
      </c>
      <c r="Y58" s="163">
        <f>+ProForma_IS_Qtr!AT58</f>
        <v>1426</v>
      </c>
      <c r="Z58" s="163">
        <f>+ProForma_IS_Qtr!AY58</f>
        <v>1332.1</v>
      </c>
      <c r="AA58" s="163">
        <f>+ProForma_IS_Qtr!BD58</f>
        <v>1341.4</v>
      </c>
      <c r="AB58" s="163">
        <f>+ProForma_IS_Qtr!BI58</f>
        <v>1350.6289508333332</v>
      </c>
      <c r="AC58" s="57">
        <f t="shared" ref="AC58:AD58" si="79">AC67</f>
        <v>1337.8421504527489</v>
      </c>
      <c r="AD58" s="57">
        <f t="shared" si="79"/>
        <v>1319.3226023125098</v>
      </c>
      <c r="AE58" s="57">
        <f t="shared" ref="AE58:AF58" si="80">AE67</f>
        <v>1302.184937417044</v>
      </c>
      <c r="AF58" s="57">
        <f t="shared" si="80"/>
        <v>1285.8871613261242</v>
      </c>
      <c r="AG58" s="163"/>
    </row>
    <row r="59" spans="1:39">
      <c r="A59" s="1" t="str">
        <f>ProForma_IS_Qtr!A59</f>
        <v>YoY</v>
      </c>
      <c r="B59" s="92"/>
      <c r="C59" s="92"/>
      <c r="D59" s="92"/>
      <c r="E59" s="92"/>
      <c r="F59" s="92"/>
      <c r="G59" s="92"/>
      <c r="H59" s="92"/>
      <c r="I59" s="92"/>
      <c r="J59" s="92"/>
      <c r="K59" s="92"/>
      <c r="L59" s="92"/>
      <c r="M59" s="92"/>
      <c r="N59" s="92"/>
      <c r="O59" s="92"/>
      <c r="P59" s="92"/>
      <c r="Q59" s="92"/>
      <c r="R59" s="92"/>
      <c r="S59" s="92"/>
      <c r="T59" s="92"/>
      <c r="U59" s="92">
        <f>+ProForma_IS_Qtr!Z59</f>
        <v>0</v>
      </c>
      <c r="V59" s="92">
        <f>+ProForma_IS_Qtr!AE59</f>
        <v>8.2962766310479275E-4</v>
      </c>
      <c r="W59" s="92">
        <f>+ProForma_IS_Qtr!AJ59</f>
        <v>-4.2939089492357585E-3</v>
      </c>
      <c r="X59" s="92">
        <f>+ProForma_IS_Qtr!AO59</f>
        <v>-1.7366256514427358E-2</v>
      </c>
      <c r="Y59" s="92">
        <f>+ProForma_IS_Qtr!AT59</f>
        <v>-3.3482445438525188E-2</v>
      </c>
      <c r="Z59" s="92">
        <f>+ProForma_IS_Qtr!AY59</f>
        <v>-6.5848527349228636E-2</v>
      </c>
      <c r="AA59" s="92">
        <f>+ProForma_IS_Qtr!BD59</f>
        <v>6.9814578485098977E-3</v>
      </c>
      <c r="AB59" s="92">
        <f>+ProForma_IS_Qtr!BI59</f>
        <v>6.8800885890361041E-3</v>
      </c>
      <c r="AC59" s="36">
        <f>AC58/AB58-1</f>
        <v>-9.4672932730301973E-3</v>
      </c>
      <c r="AD59" s="36">
        <f>AD58/AC58-1</f>
        <v>-1.384284994606555E-2</v>
      </c>
      <c r="AE59" s="36">
        <f>AE58/AD58-1</f>
        <v>-1.2989745544741638E-2</v>
      </c>
      <c r="AF59" s="36">
        <f>AF58/AE58-1</f>
        <v>-1.2515715412318773E-2</v>
      </c>
      <c r="AG59" s="363"/>
    </row>
    <row r="60" spans="1:39">
      <c r="B60" s="164"/>
      <c r="C60" s="164"/>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60"/>
      <c r="AD60" s="60"/>
      <c r="AE60" s="60"/>
      <c r="AF60" s="60"/>
      <c r="AG60" s="164"/>
    </row>
    <row r="61" spans="1:39">
      <c r="A61" s="4" t="str">
        <f>ProForma_IS_Qtr!A61</f>
        <v>Weighted Average Common Shares - Diluted</v>
      </c>
      <c r="B61" s="190"/>
      <c r="C61" s="190"/>
      <c r="D61" s="190"/>
      <c r="E61" s="190"/>
      <c r="F61" s="190"/>
      <c r="G61" s="190"/>
      <c r="H61" s="190"/>
      <c r="I61" s="190"/>
      <c r="J61" s="190"/>
      <c r="K61" s="190"/>
      <c r="L61" s="190"/>
      <c r="M61" s="190"/>
      <c r="N61" s="190"/>
      <c r="O61" s="190"/>
      <c r="P61" s="190"/>
      <c r="Q61" s="165"/>
      <c r="R61" s="165"/>
      <c r="S61" s="165"/>
      <c r="T61" s="165"/>
      <c r="U61" s="165">
        <f>+ProForma_IS_Qtr!Z61</f>
        <v>1517.9</v>
      </c>
      <c r="V61" s="165">
        <f>+ProForma_IS_Qtr!AE61</f>
        <v>1512.1999999999998</v>
      </c>
      <c r="W61" s="165">
        <f>+ProForma_IS_Qtr!AJ61</f>
        <v>1508.425</v>
      </c>
      <c r="X61" s="165">
        <f>+ProForma_IS_Qtr!AO61</f>
        <v>1485.7750000000001</v>
      </c>
      <c r="Y61" s="165">
        <f>+ProForma_IS_Qtr!AT61</f>
        <v>1435.4</v>
      </c>
      <c r="Z61" s="165">
        <f>+ProForma_IS_Qtr!AY61</f>
        <v>1343.6</v>
      </c>
      <c r="AA61" s="165">
        <f>+ProForma_IS_Qtr!BD61</f>
        <v>1356.4</v>
      </c>
      <c r="AB61" s="165">
        <f>+ProForma_IS_Qtr!BI61</f>
        <v>1365.5103449230028</v>
      </c>
      <c r="AC61" s="61">
        <f>AB61/AB58*AC58</f>
        <v>1352.5826580202602</v>
      </c>
      <c r="AD61" s="61">
        <f>AC61/AC58*AD58</f>
        <v>1333.8590592456351</v>
      </c>
      <c r="AE61" s="61">
        <f>AD61/AD58*AE58</f>
        <v>1316.5325694734859</v>
      </c>
      <c r="AF61" s="61">
        <f>AE61/AE58*AF58</f>
        <v>1300.0552225029071</v>
      </c>
      <c r="AG61" s="165"/>
      <c r="AH61" s="316"/>
    </row>
    <row r="62" spans="1:39">
      <c r="A62" s="1" t="str">
        <f>ProForma_IS_Qtr!A62</f>
        <v>YoY</v>
      </c>
      <c r="B62" s="92"/>
      <c r="C62" s="92"/>
      <c r="D62" s="92"/>
      <c r="E62" s="92"/>
      <c r="F62" s="92"/>
      <c r="G62" s="92"/>
      <c r="H62" s="92"/>
      <c r="I62" s="92"/>
      <c r="J62" s="92"/>
      <c r="K62" s="92"/>
      <c r="L62" s="92"/>
      <c r="M62" s="92"/>
      <c r="N62" s="92"/>
      <c r="O62" s="92"/>
      <c r="P62" s="92"/>
      <c r="Q62" s="92"/>
      <c r="R62" s="92"/>
      <c r="S62" s="92"/>
      <c r="T62" s="92"/>
      <c r="U62" s="92">
        <f>+ProForma_IS_Qtr!Z62</f>
        <v>0</v>
      </c>
      <c r="V62" s="92">
        <f>+ProForma_IS_Qtr!AE62</f>
        <v>-3.7551880888070377E-3</v>
      </c>
      <c r="W62" s="92">
        <f>+ProForma_IS_Qtr!AJ62</f>
        <v>-2.49636291495825E-3</v>
      </c>
      <c r="X62" s="92">
        <f>+ProForma_IS_Qtr!AO62</f>
        <v>-1.5015662031589105E-2</v>
      </c>
      <c r="Y62" s="92">
        <f>+ProForma_IS_Qtr!AT62</f>
        <v>-3.3904864464673334E-2</v>
      </c>
      <c r="Z62" s="92">
        <f>+ProForma_IS_Qtr!AY62</f>
        <v>-6.3954298453392955E-2</v>
      </c>
      <c r="AA62" s="92">
        <f>+ProForma_IS_Qtr!BD62</f>
        <v>9.5266448347723909E-3</v>
      </c>
      <c r="AB62" s="92">
        <f>+ProForma_IS_Qtr!BI62</f>
        <v>6.7165621667668596E-3</v>
      </c>
      <c r="AC62" s="36">
        <f>AC61/AB61-1</f>
        <v>-9.4672932730300863E-3</v>
      </c>
      <c r="AD62" s="36">
        <f>AD61/AC61-1</f>
        <v>-1.3842849946065661E-2</v>
      </c>
      <c r="AE62" s="36">
        <f>AE61/AD61-1</f>
        <v>-1.2989745544741638E-2</v>
      </c>
      <c r="AF62" s="36">
        <f>AF61/AE61-1</f>
        <v>-1.2515715412318662E-2</v>
      </c>
      <c r="AG62" s="363"/>
    </row>
    <row r="63" spans="1:39">
      <c r="A63" s="2"/>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47"/>
      <c r="AD63" s="47"/>
      <c r="AE63" s="47"/>
      <c r="AF63" s="47"/>
      <c r="AG63" s="159"/>
    </row>
    <row r="64" spans="1:39">
      <c r="A64" s="4" t="str">
        <f>ProForma_IS_Qtr!A64</f>
        <v>Adjusted Weighted Average Common Shares - Diluted</v>
      </c>
      <c r="B64" s="190"/>
      <c r="C64" s="190"/>
      <c r="D64" s="190"/>
      <c r="E64" s="190"/>
      <c r="F64" s="190"/>
      <c r="G64" s="190"/>
      <c r="H64" s="190"/>
      <c r="I64" s="190"/>
      <c r="J64" s="190"/>
      <c r="K64" s="190"/>
      <c r="L64" s="190"/>
      <c r="M64" s="190"/>
      <c r="N64" s="190"/>
      <c r="O64" s="190"/>
      <c r="P64" s="190"/>
      <c r="Q64" s="165"/>
      <c r="R64" s="165"/>
      <c r="S64" s="165"/>
      <c r="T64" s="165"/>
      <c r="U64" s="165">
        <f>+ProForma_IS_Qtr!Z64</f>
        <v>1517.9</v>
      </c>
      <c r="V64" s="165">
        <f>+ProForma_IS_Qtr!AE64</f>
        <v>1512.8000000000002</v>
      </c>
      <c r="W64" s="165">
        <f>+ProForma_IS_Qtr!AJ64</f>
        <v>1508.4750000000001</v>
      </c>
      <c r="X64" s="165">
        <f>+ProForma_IS_Qtr!AO64</f>
        <v>1485.7750000000001</v>
      </c>
      <c r="Y64" s="165">
        <f>+ProForma_IS_Qtr!AT64</f>
        <v>1435.4</v>
      </c>
      <c r="Z64" s="165">
        <f>+ProForma_IS_Qtr!AY64</f>
        <v>1343.6</v>
      </c>
      <c r="AA64" s="165">
        <f>+ProForma_IS_Qtr!BD64</f>
        <v>1356.4</v>
      </c>
      <c r="AB64" s="165">
        <f>+ProForma_IS_Qtr!BI64</f>
        <v>1365.5103449230028</v>
      </c>
      <c r="AC64" s="61">
        <f>AB64/AB61*AC61</f>
        <v>1352.5826580202602</v>
      </c>
      <c r="AD64" s="61">
        <f>AC64/AC61*AD61</f>
        <v>1333.8590592456351</v>
      </c>
      <c r="AE64" s="61">
        <f>AD64/AD61*AE61</f>
        <v>1316.5325694734859</v>
      </c>
      <c r="AF64" s="61">
        <f>AE64/AE61*AF61</f>
        <v>1300.0552225029071</v>
      </c>
      <c r="AG64" s="165"/>
    </row>
    <row r="65" spans="1:34">
      <c r="A65" s="1" t="str">
        <f>ProForma_IS_Qtr!A65</f>
        <v>YoY</v>
      </c>
      <c r="B65" s="92"/>
      <c r="C65" s="92"/>
      <c r="D65" s="92"/>
      <c r="E65" s="92"/>
      <c r="F65" s="92"/>
      <c r="G65" s="92"/>
      <c r="H65" s="92"/>
      <c r="I65" s="92"/>
      <c r="J65" s="92"/>
      <c r="K65" s="92"/>
      <c r="L65" s="92"/>
      <c r="M65" s="92"/>
      <c r="N65" s="92"/>
      <c r="O65" s="92"/>
      <c r="P65" s="92"/>
      <c r="Q65" s="92"/>
      <c r="R65" s="92"/>
      <c r="S65" s="92"/>
      <c r="T65" s="92"/>
      <c r="U65" s="92">
        <f>+ProForma_IS_Qtr!Z65</f>
        <v>0</v>
      </c>
      <c r="V65" s="92">
        <f>+ProForma_IS_Qtr!AE65</f>
        <v>-3.3599051320902795E-3</v>
      </c>
      <c r="W65" s="92">
        <f>+ProForma_IS_Qtr!AJ65</f>
        <v>-2.858937070333134E-3</v>
      </c>
      <c r="X65" s="92">
        <f>+ProForma_IS_Qtr!AO65</f>
        <v>-1.5048310379688123E-2</v>
      </c>
      <c r="Y65" s="92">
        <f>+ProForma_IS_Qtr!AT65</f>
        <v>-3.3904864464673334E-2</v>
      </c>
      <c r="Z65" s="92">
        <f>+ProForma_IS_Qtr!AY65</f>
        <v>-6.3954298453392955E-2</v>
      </c>
      <c r="AA65" s="92">
        <f>+ProForma_IS_Qtr!BD65</f>
        <v>9.5266448347723909E-3</v>
      </c>
      <c r="AB65" s="92">
        <f>+ProForma_IS_Qtr!BI65</f>
        <v>6.7165621667668596E-3</v>
      </c>
      <c r="AC65" s="36">
        <f>AC64/AB64-1</f>
        <v>-9.4672932730300863E-3</v>
      </c>
      <c r="AD65" s="36">
        <f>AD64/AC64-1</f>
        <v>-1.3842849946065661E-2</v>
      </c>
      <c r="AE65" s="36">
        <f>AE64/AD64-1</f>
        <v>-1.2989745544741638E-2</v>
      </c>
      <c r="AF65" s="36">
        <f>AF64/AE64-1</f>
        <v>-1.2515715412318662E-2</v>
      </c>
      <c r="AG65" s="363"/>
    </row>
    <row r="66" spans="1:34">
      <c r="A66" s="2"/>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47"/>
      <c r="AD66" s="47"/>
      <c r="AE66" s="47"/>
      <c r="AF66" s="47"/>
      <c r="AG66" s="159"/>
    </row>
    <row r="67" spans="1:34">
      <c r="A67" s="4" t="str">
        <f>ProForma_IS_Qtr!A67</f>
        <v>Shares Outstanding at the End of the Period - Basic</v>
      </c>
      <c r="B67" s="245"/>
      <c r="C67" s="245"/>
      <c r="D67" s="245"/>
      <c r="E67" s="245"/>
      <c r="F67" s="245"/>
      <c r="G67" s="245"/>
      <c r="H67" s="245"/>
      <c r="I67" s="245"/>
      <c r="J67" s="245"/>
      <c r="K67" s="245"/>
      <c r="L67" s="245"/>
      <c r="M67" s="245"/>
      <c r="N67" s="245"/>
      <c r="O67" s="245"/>
      <c r="P67" s="245"/>
      <c r="Q67" s="165"/>
      <c r="R67" s="165"/>
      <c r="S67" s="165"/>
      <c r="T67" s="165"/>
      <c r="U67" s="165">
        <f>+ProForma_IS_Qtr!Z67</f>
        <v>866.16062099999999</v>
      </c>
      <c r="V67" s="165">
        <f>+ProForma_IS_Qtr!AE67</f>
        <v>1519.478134</v>
      </c>
      <c r="W67" s="165">
        <f>+ProForma_IS_Qtr!AJ67</f>
        <v>1492.3309870000001</v>
      </c>
      <c r="X67" s="165">
        <f>+ProForma_IS_Qtr!AO67</f>
        <v>1464.9545840000001</v>
      </c>
      <c r="Y67" s="165">
        <f>+ProForma_IS_Qtr!AT67</f>
        <v>1326.826896</v>
      </c>
      <c r="Z67" s="165">
        <f>+ProForma_IS_Qtr!AY67</f>
        <v>1332.122758</v>
      </c>
      <c r="AA67" s="165">
        <f>+ProForma_IS_Qtr!BD67</f>
        <v>1342.2876759999999</v>
      </c>
      <c r="AB67" s="165">
        <f>+ProForma_IS_Qtr!BI67</f>
        <v>1357.2876759999999</v>
      </c>
      <c r="AC67" s="165">
        <f>AB67+((Cash_Flow_Annual!AC41+Cash_Flow_Annual!AC39)/ProForma_IS_Annual!AC74)+AC70</f>
        <v>1337.8421504527489</v>
      </c>
      <c r="AD67" s="165">
        <f>AC67+((Cash_Flow_Annual!AD41+Cash_Flow_Annual!AD39)/ProForma_IS_Annual!AD74)+AD70</f>
        <v>1319.3226023125098</v>
      </c>
      <c r="AE67" s="165">
        <f>AD67+((Cash_Flow_Annual!AE41+Cash_Flow_Annual!AE39)/ProForma_IS_Annual!AE74)+AE70</f>
        <v>1302.184937417044</v>
      </c>
      <c r="AF67" s="165">
        <f>AE67+((Cash_Flow_Annual!AF41+Cash_Flow_Annual!AF39)/ProForma_IS_Annual!AF74)+AF70</f>
        <v>1285.8871613261242</v>
      </c>
      <c r="AG67" s="165"/>
    </row>
    <row r="68" spans="1:34">
      <c r="A68" s="1" t="str">
        <f>ProForma_IS_Qtr!A68</f>
        <v>YoY</v>
      </c>
      <c r="B68" s="92"/>
      <c r="C68" s="92"/>
      <c r="D68" s="92"/>
      <c r="E68" s="92"/>
      <c r="F68" s="92"/>
      <c r="G68" s="92"/>
      <c r="H68" s="92"/>
      <c r="I68" s="92"/>
      <c r="J68" s="92"/>
      <c r="K68" s="92"/>
      <c r="L68" s="92"/>
      <c r="M68" s="92"/>
      <c r="N68" s="92"/>
      <c r="O68" s="92"/>
      <c r="P68" s="92"/>
      <c r="Q68" s="92"/>
      <c r="R68" s="92"/>
      <c r="S68" s="92"/>
      <c r="T68" s="92"/>
      <c r="U68" s="92">
        <f>+ProForma_IS_Qtr!Z68</f>
        <v>0</v>
      </c>
      <c r="V68" s="92">
        <f>+ProForma_IS_Qtr!AE68</f>
        <v>0.75426831601479605</v>
      </c>
      <c r="W68" s="92">
        <f>+ProForma_IS_Qtr!AJ68</f>
        <v>-1.7866099151118142E-2</v>
      </c>
      <c r="X68" s="92">
        <f>+ProForma_IS_Qtr!AO68</f>
        <v>-1.834472596125214E-2</v>
      </c>
      <c r="Y68" s="92">
        <f>+ProForma_IS_Qtr!AT68</f>
        <v>-9.4288034256221009E-2</v>
      </c>
      <c r="Z68" s="92">
        <f>+ProForma_IS_Qtr!AY68</f>
        <v>3.9913737172236896E-3</v>
      </c>
      <c r="AA68" s="92">
        <f>+ProForma_IS_Qtr!BD68</f>
        <v>7.6306165771546919E-3</v>
      </c>
      <c r="AB68" s="92">
        <f>+ProForma_IS_Qtr!BI68</f>
        <v>1.1174951739630012E-2</v>
      </c>
      <c r="AC68" s="36">
        <f>AC67/AB67-1</f>
        <v>-1.4326753193956709E-2</v>
      </c>
      <c r="AD68" s="36">
        <f>AD67/AC67-1</f>
        <v>-1.384284994606555E-2</v>
      </c>
      <c r="AE68" s="36">
        <f>AE67/AD67-1</f>
        <v>-1.2989745544741638E-2</v>
      </c>
      <c r="AF68" s="36">
        <f>AF67/AE67-1</f>
        <v>-1.2515715412318773E-2</v>
      </c>
      <c r="AG68" s="363"/>
    </row>
    <row r="69" spans="1:34">
      <c r="A69" s="1"/>
      <c r="B69" s="92"/>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36"/>
      <c r="AD69" s="36"/>
      <c r="AE69" s="36"/>
      <c r="AF69" s="36"/>
      <c r="AG69" s="363"/>
    </row>
    <row r="70" spans="1:34">
      <c r="A70" s="4" t="s">
        <v>396</v>
      </c>
      <c r="B70" s="92"/>
      <c r="C70" s="92"/>
      <c r="D70" s="92"/>
      <c r="E70" s="92"/>
      <c r="F70" s="92"/>
      <c r="G70" s="92"/>
      <c r="H70" s="92"/>
      <c r="I70" s="92"/>
      <c r="J70" s="92"/>
      <c r="K70" s="92"/>
      <c r="L70" s="92"/>
      <c r="M70" s="92"/>
      <c r="N70" s="92"/>
      <c r="O70" s="92"/>
      <c r="P70" s="92"/>
      <c r="Q70" s="92"/>
      <c r="R70" s="92"/>
      <c r="S70" s="92"/>
      <c r="T70" s="92"/>
      <c r="U70" s="92"/>
      <c r="V70" s="57">
        <f>ProForma_IS_Qtr!$AE$70</f>
        <v>653.64751299999989</v>
      </c>
      <c r="W70" s="57">
        <f>ProForma_IS_Qtr!$AJ$70</f>
        <v>0.87985300000013922</v>
      </c>
      <c r="X70" s="57">
        <f>ProForma_IS_Qtr!$AO$70</f>
        <v>2.5605969999999161</v>
      </c>
      <c r="Y70" s="57">
        <f>ProForma_IS_Qtr!$AO$70</f>
        <v>2.5605969999999161</v>
      </c>
      <c r="Z70" s="57">
        <f>ProForma_IS_Qtr!$AY$70</f>
        <v>7.4108619999999519</v>
      </c>
      <c r="AA70" s="57">
        <f>ProForma_IS_Qtr!BD70</f>
        <v>10.560917999999901</v>
      </c>
      <c r="AB70" s="57">
        <f>ProForma_IS_Qtr!BI70</f>
        <v>15</v>
      </c>
      <c r="AC70" s="362">
        <v>0</v>
      </c>
      <c r="AD70" s="362">
        <v>0</v>
      </c>
      <c r="AE70" s="362">
        <v>0.5</v>
      </c>
      <c r="AF70" s="362">
        <v>0.5</v>
      </c>
      <c r="AG70" s="362"/>
    </row>
    <row r="71" spans="1:34">
      <c r="A71" s="1" t="s">
        <v>4</v>
      </c>
      <c r="B71" s="92"/>
      <c r="C71" s="92"/>
      <c r="D71" s="92"/>
      <c r="E71" s="92"/>
      <c r="F71" s="92"/>
      <c r="G71" s="92"/>
      <c r="H71" s="92"/>
      <c r="I71" s="92"/>
      <c r="J71" s="92"/>
      <c r="K71" s="92"/>
      <c r="L71" s="92"/>
      <c r="M71" s="92"/>
      <c r="N71" s="92"/>
      <c r="O71" s="92"/>
      <c r="P71" s="92"/>
      <c r="Q71" s="92"/>
      <c r="R71" s="92"/>
      <c r="S71" s="92"/>
      <c r="T71" s="92"/>
      <c r="U71" s="92"/>
      <c r="V71" s="92"/>
      <c r="W71" s="363">
        <f t="shared" ref="W71:AF71" si="81">W70/V70-1</f>
        <v>-0.99865393353068543</v>
      </c>
      <c r="X71" s="363">
        <f t="shared" si="81"/>
        <v>1.9102554631279438</v>
      </c>
      <c r="Y71" s="363">
        <f t="shared" si="81"/>
        <v>0</v>
      </c>
      <c r="Z71" s="363">
        <f t="shared" si="81"/>
        <v>1.8941930338902195</v>
      </c>
      <c r="AA71" s="363">
        <f t="shared" si="81"/>
        <v>0.42505932508255717</v>
      </c>
      <c r="AB71" s="363">
        <f t="shared" si="81"/>
        <v>0.42033107349191989</v>
      </c>
      <c r="AC71" s="227">
        <f>AC70/AB70-1</f>
        <v>-1</v>
      </c>
      <c r="AD71" s="227" t="e">
        <f t="shared" si="81"/>
        <v>#DIV/0!</v>
      </c>
      <c r="AE71" s="227" t="e">
        <f t="shared" si="81"/>
        <v>#DIV/0!</v>
      </c>
      <c r="AF71" s="227">
        <f t="shared" si="81"/>
        <v>0</v>
      </c>
      <c r="AG71" s="252"/>
    </row>
    <row r="72" spans="1:34">
      <c r="A72" s="2"/>
      <c r="B72" s="92"/>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36"/>
      <c r="AD72" s="36"/>
      <c r="AE72" s="36"/>
      <c r="AF72" s="36"/>
      <c r="AG72" s="363"/>
    </row>
    <row r="73" spans="1:34">
      <c r="A73" s="13" t="str">
        <f>ProForma_IS_Qtr!A73</f>
        <v>Shares Repurchased</v>
      </c>
      <c r="B73" s="245"/>
      <c r="C73" s="245"/>
      <c r="D73" s="245"/>
      <c r="E73" s="245"/>
      <c r="F73" s="245"/>
      <c r="G73" s="245"/>
      <c r="H73" s="245"/>
      <c r="I73" s="245"/>
      <c r="J73" s="245"/>
      <c r="K73" s="245"/>
      <c r="L73" s="245"/>
      <c r="M73" s="245"/>
      <c r="N73" s="245"/>
      <c r="O73" s="245"/>
      <c r="P73" s="245"/>
      <c r="Q73" s="245"/>
      <c r="R73" s="245"/>
      <c r="S73" s="245"/>
      <c r="T73" s="245"/>
      <c r="U73" s="245"/>
      <c r="V73" s="245">
        <f>ProForma_IS_Qtr!AE73</f>
        <v>0.33</v>
      </c>
      <c r="W73" s="245">
        <f>ProForma_IS_Qtr!AJ73</f>
        <v>28.027000000000001</v>
      </c>
      <c r="X73" s="245">
        <f>ProForma_IS_Qtr!AO73</f>
        <v>29.937000000000001</v>
      </c>
      <c r="Y73" s="245">
        <f>ProForma_IS_Qtr!AT73</f>
        <v>141.71199999999999</v>
      </c>
      <c r="Z73" s="245">
        <f>ProForma_IS_Qtr!AY73</f>
        <v>2.1150000000000002</v>
      </c>
      <c r="AA73" s="245">
        <f>ProForma_IS_Qtr!BD73</f>
        <v>0.39600000000000002</v>
      </c>
      <c r="AB73" s="245">
        <f>ProForma_IS_Qtr!BI73</f>
        <v>0</v>
      </c>
      <c r="AC73" s="57">
        <f>-Cash_Flow_Annual!AC41/AC74</f>
        <v>19.445525547251052</v>
      </c>
      <c r="AD73" s="57">
        <f>-Cash_Flow_Annual!AD41/AD74</f>
        <v>18.519548140239099</v>
      </c>
      <c r="AE73" s="57">
        <f>-Cash_Flow_Annual!AE41/AE74</f>
        <v>17.637664895465807</v>
      </c>
      <c r="AF73" s="57">
        <f>-Cash_Flow_Annual!AF41/AF74</f>
        <v>16.797776090919815</v>
      </c>
      <c r="AG73" s="163"/>
    </row>
    <row r="74" spans="1:34">
      <c r="A74" s="4" t="str">
        <f>ProForma_IS_Qtr!A74</f>
        <v>Average Stock Price</v>
      </c>
      <c r="B74" s="267"/>
      <c r="C74" s="267"/>
      <c r="D74" s="267"/>
      <c r="E74" s="267"/>
      <c r="F74" s="267"/>
      <c r="G74" s="267"/>
      <c r="H74" s="267"/>
      <c r="I74" s="267"/>
      <c r="J74" s="267"/>
      <c r="K74" s="267"/>
      <c r="L74" s="267"/>
      <c r="M74" s="267"/>
      <c r="N74" s="267"/>
      <c r="O74" s="267"/>
      <c r="P74" s="267"/>
      <c r="Q74" s="267"/>
      <c r="R74" s="267"/>
      <c r="S74" s="267"/>
      <c r="T74" s="267"/>
      <c r="U74" s="267"/>
      <c r="V74" s="267">
        <f>ProForma_IS_Qtr!AE74</f>
        <v>61.666666666666664</v>
      </c>
      <c r="W74" s="267">
        <f>ProForma_IS_Qtr!AJ74</f>
        <v>82.468201563857505</v>
      </c>
      <c r="X74" s="267">
        <f>ProForma_IS_Qtr!AO74</f>
        <v>93.192499999999995</v>
      </c>
      <c r="Y74" s="267">
        <f>ProForma_IS_Qtr!AT74</f>
        <v>88.775000000000006</v>
      </c>
      <c r="Z74" s="267">
        <f>ProForma_IS_Qtr!AY74</f>
        <v>106.5475</v>
      </c>
      <c r="AA74" s="267">
        <f>ProForma_IS_Qtr!BD74</f>
        <v>149.10249999999999</v>
      </c>
      <c r="AB74" s="267">
        <f>ProForma_IS_Qtr!BI74</f>
        <v>195.90747497500001</v>
      </c>
      <c r="AC74" s="55">
        <f>AB74*(1+AC75)</f>
        <v>205.70284872375004</v>
      </c>
      <c r="AD74" s="55">
        <f>AC74*(1+AD75)</f>
        <v>215.98799115993754</v>
      </c>
      <c r="AE74" s="55">
        <f>AD74*(1+AE75)</f>
        <v>226.78739071793441</v>
      </c>
      <c r="AF74" s="55">
        <f>AE74*(1+AF75)</f>
        <v>238.12676025383115</v>
      </c>
      <c r="AG74" s="162"/>
    </row>
    <row r="75" spans="1:34">
      <c r="A75" s="4"/>
      <c r="B75" s="267"/>
      <c r="C75" s="267"/>
      <c r="D75" s="267"/>
      <c r="E75" s="267"/>
      <c r="F75" s="267"/>
      <c r="G75" s="267"/>
      <c r="H75" s="267"/>
      <c r="I75" s="267"/>
      <c r="J75" s="267"/>
      <c r="K75" s="267"/>
      <c r="L75" s="267"/>
      <c r="M75" s="267"/>
      <c r="N75" s="267"/>
      <c r="O75" s="267"/>
      <c r="P75" s="267"/>
      <c r="Q75" s="267"/>
      <c r="R75" s="267"/>
      <c r="S75" s="267"/>
      <c r="T75" s="267"/>
      <c r="U75" s="267"/>
      <c r="V75" s="367"/>
      <c r="W75" s="367">
        <f t="shared" ref="W75:AB75" si="82">W74/V74-1</f>
        <v>0.33732218752201359</v>
      </c>
      <c r="X75" s="367">
        <f t="shared" si="82"/>
        <v>0.13004161886370658</v>
      </c>
      <c r="Y75" s="367">
        <f t="shared" si="82"/>
        <v>-4.7401883198755157E-2</v>
      </c>
      <c r="Z75" s="367">
        <f t="shared" si="82"/>
        <v>0.20019712756969854</v>
      </c>
      <c r="AA75" s="367">
        <f t="shared" si="82"/>
        <v>0.39939932893779773</v>
      </c>
      <c r="AB75" s="367">
        <f t="shared" si="82"/>
        <v>0.31391140306165233</v>
      </c>
      <c r="AC75" s="218">
        <v>0.05</v>
      </c>
      <c r="AD75" s="218">
        <f>AC75</f>
        <v>0.05</v>
      </c>
      <c r="AE75" s="218">
        <f t="shared" ref="AE75:AF75" si="83">AD75</f>
        <v>0.05</v>
      </c>
      <c r="AF75" s="218">
        <f t="shared" si="83"/>
        <v>0.05</v>
      </c>
      <c r="AG75" s="377"/>
    </row>
    <row r="76" spans="1:34">
      <c r="A76" s="4"/>
      <c r="B76" s="267"/>
      <c r="C76" s="267"/>
      <c r="D76" s="267"/>
      <c r="E76" s="267"/>
      <c r="F76" s="267"/>
      <c r="G76" s="267"/>
      <c r="H76" s="267"/>
      <c r="I76" s="267"/>
      <c r="J76" s="267"/>
      <c r="K76" s="267"/>
      <c r="L76" s="267"/>
      <c r="M76" s="267"/>
      <c r="N76" s="267"/>
      <c r="O76" s="267"/>
      <c r="P76" s="267"/>
      <c r="Q76" s="267"/>
      <c r="R76" s="267"/>
      <c r="S76" s="267"/>
      <c r="T76" s="267"/>
      <c r="U76" s="267"/>
      <c r="V76" s="267"/>
      <c r="W76" s="267"/>
      <c r="X76" s="267"/>
      <c r="Y76" s="267"/>
      <c r="Z76" s="267"/>
      <c r="AA76" s="267"/>
      <c r="AB76" s="267"/>
      <c r="AC76" s="55"/>
      <c r="AD76" s="55"/>
      <c r="AE76" s="55"/>
      <c r="AF76" s="55"/>
      <c r="AG76" s="162"/>
    </row>
    <row r="77" spans="1:34">
      <c r="A77" s="13" t="str">
        <f>ProForma_IS_Qtr!A77</f>
        <v>Dividend Per Share</v>
      </c>
      <c r="B77" s="267"/>
      <c r="C77" s="267"/>
      <c r="D77" s="267"/>
      <c r="E77" s="267"/>
      <c r="F77" s="267"/>
      <c r="G77" s="267"/>
      <c r="H77" s="267"/>
      <c r="I77" s="267"/>
      <c r="J77" s="267"/>
      <c r="K77" s="267"/>
      <c r="L77" s="267"/>
      <c r="M77" s="267"/>
      <c r="N77" s="267"/>
      <c r="O77" s="267"/>
      <c r="P77" s="267"/>
      <c r="Q77" s="267"/>
      <c r="R77" s="267"/>
      <c r="S77" s="267"/>
      <c r="T77" s="267"/>
      <c r="U77" s="267">
        <f>ProForma_IS_Qtr!Z77</f>
        <v>2.94</v>
      </c>
      <c r="V77" s="267">
        <f>ProForma_IS_Qtr!AE77</f>
        <v>2.16</v>
      </c>
      <c r="W77" s="267">
        <f>ProForma_IS_Qtr!AJ77</f>
        <v>2.0049999999999999</v>
      </c>
      <c r="X77" s="267">
        <f>ProForma_IS_Qtr!AO77</f>
        <v>2.16</v>
      </c>
      <c r="Y77" s="267">
        <f>ProForma_IS_Qtr!AT77</f>
        <v>2.3199999999999998</v>
      </c>
      <c r="Z77" s="267">
        <f>ProForma_IS_Qtr!AY77</f>
        <v>2.48</v>
      </c>
      <c r="AA77" s="267">
        <f>ProForma_IS_Qtr!BD77</f>
        <v>2.6700000000000004</v>
      </c>
      <c r="AB77" s="267">
        <f>ProForma_IS_Qtr!BI77</f>
        <v>2.8702500000000004</v>
      </c>
      <c r="AC77" s="277">
        <f>Cash_Flow_Annual!AC79</f>
        <v>3.0998700000000006</v>
      </c>
      <c r="AD77" s="277">
        <f>Cash_Flow_Annual!AD79</f>
        <v>3.3478596000000009</v>
      </c>
      <c r="AE77" s="277">
        <f>Cash_Flow_Annual!AE79</f>
        <v>3.6156883680000012</v>
      </c>
      <c r="AF77" s="277">
        <f>Cash_Flow_Annual!AF79</f>
        <v>3.9049434374400014</v>
      </c>
      <c r="AG77" s="267"/>
      <c r="AH77" s="319"/>
    </row>
    <row r="78" spans="1:34">
      <c r="A78" s="13" t="str">
        <f>ProForma_IS_Qtr!A78</f>
        <v>YoY</v>
      </c>
      <c r="B78" s="267"/>
      <c r="C78" s="267"/>
      <c r="D78" s="267"/>
      <c r="E78" s="267"/>
      <c r="F78" s="267"/>
      <c r="G78" s="267"/>
      <c r="H78" s="267"/>
      <c r="I78" s="267"/>
      <c r="J78" s="267"/>
      <c r="K78" s="267"/>
      <c r="L78" s="267"/>
      <c r="M78" s="267"/>
      <c r="N78" s="267"/>
      <c r="O78" s="267"/>
      <c r="P78" s="267"/>
      <c r="Q78" s="267"/>
      <c r="R78" s="267"/>
      <c r="S78" s="267"/>
      <c r="T78" s="267"/>
      <c r="U78" s="130" t="str">
        <f>ProForma_IS_Qtr!Z78</f>
        <v>NM</v>
      </c>
      <c r="V78" s="130">
        <f>ProForma_IS_Qtr!AE78</f>
        <v>-0.26530612244897955</v>
      </c>
      <c r="W78" s="130">
        <f>ProForma_IS_Qtr!AJ78</f>
        <v>-7.1759259259259411E-2</v>
      </c>
      <c r="X78" s="130">
        <f>ProForma_IS_Qtr!AO78</f>
        <v>7.7306733167082475E-2</v>
      </c>
      <c r="Y78" s="130">
        <f>ProForma_IS_Qtr!AT78</f>
        <v>7.4074074074073959E-2</v>
      </c>
      <c r="Z78" s="130">
        <f>ProForma_IS_Qtr!AY78</f>
        <v>6.8965517241379448E-2</v>
      </c>
      <c r="AA78" s="130">
        <f>ProForma_IS_Qtr!BD78</f>
        <v>7.6612903225806717E-2</v>
      </c>
      <c r="AB78" s="130">
        <f>ProForma_IS_Qtr!BI78</f>
        <v>0</v>
      </c>
      <c r="AC78" s="186">
        <f>Cash_Flow_Annual!AC80</f>
        <v>0.08</v>
      </c>
      <c r="AD78" s="186">
        <f>Cash_Flow_Annual!AD80</f>
        <v>0.08</v>
      </c>
      <c r="AE78" s="186">
        <f>Cash_Flow_Annual!AE80</f>
        <v>0.08</v>
      </c>
      <c r="AF78" s="186">
        <f>Cash_Flow_Annual!AF80</f>
        <v>0.08</v>
      </c>
      <c r="AG78" s="152"/>
    </row>
    <row r="79" spans="1:34">
      <c r="A79" s="2"/>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47"/>
      <c r="AD79" s="47"/>
      <c r="AE79" s="47"/>
      <c r="AF79" s="47"/>
      <c r="AG79" s="159"/>
    </row>
    <row r="80" spans="1:34">
      <c r="A80" s="116" t="str">
        <f>ProForma_IS_Qtr!A80</f>
        <v>Financial Metrics</v>
      </c>
      <c r="B80" s="166"/>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166"/>
      <c r="AC80" s="117"/>
      <c r="AD80" s="117"/>
      <c r="AE80" s="117"/>
      <c r="AF80" s="117"/>
      <c r="AG80" s="155"/>
    </row>
    <row r="81" spans="1:33">
      <c r="A81" s="1" t="str">
        <f>ProForma_IS_Qtr!A81</f>
        <v>Depreciation &amp; Amortization</v>
      </c>
      <c r="B81" s="127"/>
      <c r="C81" s="127"/>
      <c r="D81" s="127"/>
      <c r="E81" s="127"/>
      <c r="F81" s="127"/>
      <c r="G81" s="127"/>
      <c r="H81" s="127"/>
      <c r="I81" s="127"/>
      <c r="J81" s="127"/>
      <c r="K81" s="127"/>
      <c r="L81" s="127"/>
      <c r="M81" s="127"/>
      <c r="N81" s="127"/>
      <c r="O81" s="127"/>
      <c r="P81" s="127"/>
      <c r="Q81" s="127"/>
      <c r="R81" s="127"/>
      <c r="S81" s="127"/>
      <c r="T81" s="127"/>
      <c r="U81" s="127">
        <f>ProForma_IS_Qtr!$Z$81</f>
        <v>2708</v>
      </c>
      <c r="V81" s="127">
        <f>Cash_Flow_Annual!V5</f>
        <v>4156</v>
      </c>
      <c r="W81" s="127">
        <f>Cash_Flow_Annual!W5</f>
        <v>4557</v>
      </c>
      <c r="X81" s="127">
        <f>Cash_Flow_Annual!X5</f>
        <v>4108</v>
      </c>
      <c r="Y81" s="127">
        <f>Cash_Flow_Annual!Y5</f>
        <v>4211</v>
      </c>
      <c r="Z81" s="127">
        <f>Cash_Flow_Annual!Z5</f>
        <v>4364</v>
      </c>
      <c r="AA81" s="127">
        <f>Cash_Flow_Annual!AA5</f>
        <v>4378</v>
      </c>
      <c r="AB81" s="127">
        <f>Cash_Flow_Annual!AB5</f>
        <v>4214.4440000000004</v>
      </c>
      <c r="AC81" s="38">
        <f>Cash_Flow_Annual!AC5</f>
        <v>4267.9576903937505</v>
      </c>
      <c r="AD81" s="38">
        <f>Cash_Flow_Annual!AD5</f>
        <v>4258.9953265394934</v>
      </c>
      <c r="AE81" s="38">
        <f>Cash_Flow_Annual!AE5</f>
        <v>4193.7294829430111</v>
      </c>
      <c r="AF81" s="38">
        <f>Cash_Flow_Annual!AF5</f>
        <v>4277.4001958005401</v>
      </c>
      <c r="AG81" s="127"/>
    </row>
    <row r="82" spans="1:33">
      <c r="A82" s="8" t="str">
        <f>ProForma_IS_Qtr!A82</f>
        <v>EBITDA</v>
      </c>
      <c r="B82" s="154"/>
      <c r="C82" s="154"/>
      <c r="D82" s="154"/>
      <c r="E82" s="154"/>
      <c r="F82" s="154"/>
      <c r="G82" s="154"/>
      <c r="H82" s="154"/>
      <c r="I82" s="154"/>
      <c r="J82" s="154"/>
      <c r="K82" s="154"/>
      <c r="L82" s="154"/>
      <c r="M82" s="154"/>
      <c r="N82" s="154"/>
      <c r="O82" s="154"/>
      <c r="P82" s="154"/>
      <c r="Q82" s="154"/>
      <c r="R82" s="154"/>
      <c r="S82" s="154"/>
      <c r="T82" s="154"/>
      <c r="U82" s="154">
        <f t="shared" ref="U82:W82" si="84">U28+U81</f>
        <v>14015</v>
      </c>
      <c r="V82" s="154">
        <f t="shared" si="84"/>
        <v>10574</v>
      </c>
      <c r="W82" s="154">
        <f t="shared" si="84"/>
        <v>11820</v>
      </c>
      <c r="X82" s="154">
        <f t="shared" ref="X82:Y82" si="85">X28+X81</f>
        <v>11931</v>
      </c>
      <c r="Y82" s="154">
        <f t="shared" si="85"/>
        <v>13106</v>
      </c>
      <c r="Z82" s="154">
        <f t="shared" ref="Z82:AA82" si="86">Z28+Z81</f>
        <v>14547</v>
      </c>
      <c r="AA82" s="154">
        <f t="shared" si="86"/>
        <v>15767</v>
      </c>
      <c r="AB82" s="154">
        <f t="shared" ref="AB82" si="87">AB28+AB81</f>
        <v>17127.731147000002</v>
      </c>
      <c r="AC82" s="24">
        <f t="shared" ref="AC82" si="88">AC28+AC81</f>
        <v>18500.969692344886</v>
      </c>
      <c r="AD82" s="24">
        <f t="shared" ref="AD82" si="89">AD28+AD81</f>
        <v>19626.531667121748</v>
      </c>
      <c r="AE82" s="24">
        <f t="shared" ref="AE82:AF82" si="90">AE28+AE81</f>
        <v>20654.786331742012</v>
      </c>
      <c r="AF82" s="24">
        <f t="shared" si="90"/>
        <v>21798.787057031164</v>
      </c>
      <c r="AG82" s="126"/>
    </row>
    <row r="83" spans="1:33">
      <c r="A83" s="1" t="str">
        <f>ProForma_IS_Qtr!A83</f>
        <v>EBITDA Margin</v>
      </c>
      <c r="B83" s="167"/>
      <c r="C83" s="167"/>
      <c r="D83" s="167"/>
      <c r="E83" s="167"/>
      <c r="F83" s="167"/>
      <c r="G83" s="167"/>
      <c r="H83" s="167"/>
      <c r="I83" s="167"/>
      <c r="J83" s="167"/>
      <c r="K83" s="167"/>
      <c r="L83" s="167"/>
      <c r="M83" s="167"/>
      <c r="N83" s="167"/>
      <c r="O83" s="167"/>
      <c r="P83" s="167"/>
      <c r="Q83" s="167"/>
      <c r="R83" s="167"/>
      <c r="S83" s="167"/>
      <c r="T83" s="167"/>
      <c r="U83" s="167">
        <f t="shared" ref="U83:W83" si="91">U82/U9</f>
        <v>0.18878726241631533</v>
      </c>
      <c r="V83" s="167">
        <f t="shared" si="91"/>
        <v>0.16351967834222531</v>
      </c>
      <c r="W83" s="167">
        <f t="shared" si="91"/>
        <v>0.18357457911412065</v>
      </c>
      <c r="X83" s="167">
        <f t="shared" ref="X83:Y83" si="92">X82/X9</f>
        <v>0.17787816441542179</v>
      </c>
      <c r="Y83" s="167">
        <f t="shared" si="92"/>
        <v>0.17638113182154633</v>
      </c>
      <c r="Z83" s="167">
        <f t="shared" ref="Z83:AA83" si="93">Z82/Z9</f>
        <v>0.18001930501930502</v>
      </c>
      <c r="AA83" s="167">
        <f t="shared" si="93"/>
        <v>0.17795108517770278</v>
      </c>
      <c r="AB83" s="167">
        <f t="shared" ref="AB83" si="94">AB82/AB9</f>
        <v>0.17842507901564278</v>
      </c>
      <c r="AC83" s="115">
        <f t="shared" ref="AC83" si="95">AC82/AC9</f>
        <v>0.17929609723826423</v>
      </c>
      <c r="AD83" s="115">
        <f t="shared" ref="AD83" si="96">AD82/AD9</f>
        <v>0.18007984273590225</v>
      </c>
      <c r="AE83" s="115">
        <f t="shared" ref="AE83:AF83" si="97">AE82/AE9</f>
        <v>0.17998705255081951</v>
      </c>
      <c r="AF83" s="115">
        <f t="shared" si="97"/>
        <v>0.18028079628599361</v>
      </c>
      <c r="AG83" s="252"/>
    </row>
    <row r="84" spans="1:33">
      <c r="A84" s="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36"/>
      <c r="AD84" s="36"/>
      <c r="AE84" s="36"/>
      <c r="AF84" s="36"/>
      <c r="AG84" s="363"/>
    </row>
    <row r="85" spans="1:33">
      <c r="A85" s="1" t="str">
        <f>ProForma_IS_Qtr!A85</f>
        <v>Total Cost of Sales</v>
      </c>
      <c r="B85" s="158"/>
      <c r="C85" s="158"/>
      <c r="D85" s="158"/>
      <c r="E85" s="158"/>
      <c r="F85" s="158"/>
      <c r="G85" s="158"/>
      <c r="H85" s="158"/>
      <c r="I85" s="158"/>
      <c r="J85" s="158"/>
      <c r="K85" s="158"/>
      <c r="L85" s="158"/>
      <c r="M85" s="158"/>
      <c r="N85" s="158"/>
      <c r="O85" s="158"/>
      <c r="P85" s="158"/>
      <c r="Q85" s="127"/>
      <c r="R85" s="127"/>
      <c r="S85" s="127"/>
      <c r="T85" s="127"/>
      <c r="U85" s="127" t="str">
        <f>ProForma_IS_Qtr!Z85</f>
        <v>ND</v>
      </c>
      <c r="V85" s="127">
        <f>ProForma_IS_Qtr!AE85</f>
        <v>-53301</v>
      </c>
      <c r="W85" s="127">
        <f>ProForma_IS_Qtr!AJ85</f>
        <v>-51897</v>
      </c>
      <c r="X85" s="127">
        <f>ProForma_IS_Qtr!AO85</f>
        <v>-53406</v>
      </c>
      <c r="Y85" s="127">
        <f>ProForma_IS_Qtr!AT85</f>
        <v>-56831</v>
      </c>
      <c r="Z85" s="127">
        <f>ProForma_IS_Qtr!AY85</f>
        <v>-65328</v>
      </c>
      <c r="AA85" s="127">
        <f>ProForma_IS_Qtr!BD85</f>
        <v>-70814</v>
      </c>
      <c r="AB85" s="127">
        <f>ProForma_IS_Qtr!BI85</f>
        <v>-76795.173599999995</v>
      </c>
      <c r="AC85" s="75">
        <f>AC93-AC9</f>
        <v>-82549.347040205525</v>
      </c>
      <c r="AD85" s="75">
        <f>AD93-AD9</f>
        <v>-87190.354540258981</v>
      </c>
      <c r="AE85" s="75">
        <f>AE93-AE9</f>
        <v>-91805.653969071427</v>
      </c>
      <c r="AF85" s="75">
        <f>AF93-AF9</f>
        <v>-96732.59717557508</v>
      </c>
      <c r="AG85" s="236"/>
    </row>
    <row r="86" spans="1:33">
      <c r="A86" s="1" t="str">
        <f>ProForma_IS_Qtr!A86</f>
        <v>R&amp;D</v>
      </c>
      <c r="B86" s="158"/>
      <c r="C86" s="158"/>
      <c r="D86" s="158"/>
      <c r="E86" s="158"/>
      <c r="F86" s="158"/>
      <c r="G86" s="158"/>
      <c r="H86" s="158"/>
      <c r="I86" s="158"/>
      <c r="J86" s="158"/>
      <c r="K86" s="158"/>
      <c r="L86" s="158"/>
      <c r="M86" s="158"/>
      <c r="N86" s="158"/>
      <c r="O86" s="158"/>
      <c r="P86" s="158"/>
      <c r="Q86" s="127"/>
      <c r="R86" s="127"/>
      <c r="S86" s="127"/>
      <c r="T86" s="127"/>
      <c r="U86" s="127" t="str">
        <f>ProForma_IS_Qtr!Z86</f>
        <v>ND</v>
      </c>
      <c r="V86" s="127">
        <f>ProForma_IS_Qtr!AE86</f>
        <v>-2582</v>
      </c>
      <c r="W86" s="127">
        <f>ProForma_IS_Qtr!AJ86</f>
        <v>-2732</v>
      </c>
      <c r="X86" s="127">
        <f>ProForma_IS_Qtr!AO86</f>
        <v>-2711</v>
      </c>
      <c r="Y86" s="127">
        <f>ProForma_IS_Qtr!AT86</f>
        <v>-2805</v>
      </c>
      <c r="Z86" s="127">
        <f>ProForma_IS_Qtr!AY86</f>
        <v>-2934</v>
      </c>
      <c r="AA86" s="127">
        <f>ProForma_IS_Qtr!BD86</f>
        <v>-2807</v>
      </c>
      <c r="AB86" s="127">
        <f>ProForma_IS_Qtr!BI86</f>
        <v>-3321.7186799999999</v>
      </c>
      <c r="AC86" s="75">
        <f>-AC97*AC9</f>
        <v>-4127.467352010277</v>
      </c>
      <c r="AD86" s="75">
        <f>-AD97*AD9</f>
        <v>-4359.5177270129489</v>
      </c>
      <c r="AE86" s="75">
        <f>-AE97*AE9</f>
        <v>-4590.2826984535714</v>
      </c>
      <c r="AF86" s="75">
        <f>-AF97*AF9</f>
        <v>-4836.6298587787542</v>
      </c>
      <c r="AG86" s="236"/>
    </row>
    <row r="87" spans="1:33">
      <c r="A87" s="1" t="str">
        <f>ProForma_IS_Qtr!A87</f>
        <v>SG&amp;A</v>
      </c>
      <c r="B87" s="158"/>
      <c r="C87" s="158"/>
      <c r="D87" s="158"/>
      <c r="E87" s="158"/>
      <c r="F87" s="158"/>
      <c r="G87" s="158"/>
      <c r="H87" s="158"/>
      <c r="I87" s="158"/>
      <c r="J87" s="158"/>
      <c r="K87" s="158"/>
      <c r="L87" s="158"/>
      <c r="M87" s="158"/>
      <c r="N87" s="158"/>
      <c r="O87" s="158"/>
      <c r="P87" s="158"/>
      <c r="Q87" s="127"/>
      <c r="R87" s="127"/>
      <c r="S87" s="127"/>
      <c r="T87" s="127"/>
      <c r="U87" s="127" t="str">
        <f>ProForma_IS_Qtr!Z87</f>
        <v>ND</v>
      </c>
      <c r="V87" s="127">
        <f>ProForma_IS_Qtr!AE87</f>
        <v>-6268</v>
      </c>
      <c r="W87" s="127">
        <f>ProForma_IS_Qtr!AJ87</f>
        <v>-5224</v>
      </c>
      <c r="X87" s="127">
        <f>ProForma_IS_Qtr!AO87</f>
        <v>-5663</v>
      </c>
      <c r="Y87" s="127">
        <f>ProForma_IS_Qtr!AT87</f>
        <v>-5879</v>
      </c>
      <c r="Z87" s="127">
        <f>ProForma_IS_Qtr!AY87</f>
        <v>-5806</v>
      </c>
      <c r="AA87" s="127">
        <f>ProForma_IS_Qtr!BD87</f>
        <v>-6095</v>
      </c>
      <c r="AB87" s="127">
        <f>ProForma_IS_Qtr!BI87</f>
        <v>-7071.4373599999999</v>
      </c>
      <c r="AC87" s="75">
        <f>-AC98*AC9</f>
        <v>-8254.9347040205539</v>
      </c>
      <c r="AD87" s="75">
        <f>-AD98*AD9</f>
        <v>-8719.0354540258977</v>
      </c>
      <c r="AE87" s="75">
        <f>-AE98*AE9</f>
        <v>-9180.5653969071427</v>
      </c>
      <c r="AF87" s="75">
        <f>-AF98*AF9</f>
        <v>-9673.2597175575083</v>
      </c>
      <c r="AG87" s="236"/>
    </row>
    <row r="88" spans="1:33" hidden="1" outlineLevel="1">
      <c r="A88" s="1" t="str">
        <f>ProForma_IS_Qtr!A88</f>
        <v>Goodwill Impairment</v>
      </c>
      <c r="B88" s="158"/>
      <c r="C88" s="158"/>
      <c r="D88" s="158"/>
      <c r="E88" s="158"/>
      <c r="F88" s="158"/>
      <c r="G88" s="158"/>
      <c r="H88" s="158"/>
      <c r="I88" s="158"/>
      <c r="J88" s="158"/>
      <c r="K88" s="158"/>
      <c r="L88" s="158"/>
      <c r="M88" s="158"/>
      <c r="N88" s="158"/>
      <c r="O88" s="158"/>
      <c r="P88" s="158"/>
      <c r="Q88" s="127"/>
      <c r="R88" s="127"/>
      <c r="S88" s="127"/>
      <c r="T88" s="127"/>
      <c r="U88" s="127" t="str">
        <f>ProForma_IS_Qtr!Z88</f>
        <v>ND</v>
      </c>
      <c r="V88" s="127">
        <f>ProForma_IS_Qtr!AE88</f>
        <v>-3183</v>
      </c>
      <c r="W88" s="127">
        <f>ProForma_IS_Qtr!AJ88</f>
        <v>0</v>
      </c>
      <c r="X88" s="127">
        <f>ProForma_IS_Qtr!AO88</f>
        <v>0</v>
      </c>
      <c r="Y88" s="127">
        <f>ProForma_IS_Qtr!AT88</f>
        <v>0</v>
      </c>
      <c r="Z88" s="127">
        <f>ProForma_IS_Qtr!AY88</f>
        <v>0</v>
      </c>
      <c r="AA88" s="127">
        <f>ProForma_IS_Qtr!BD88</f>
        <v>0</v>
      </c>
      <c r="AB88" s="127">
        <f>ProForma_IS_Qtr!BI88</f>
        <v>0</v>
      </c>
      <c r="AC88" s="43">
        <v>0</v>
      </c>
      <c r="AD88" s="43">
        <v>0</v>
      </c>
      <c r="AE88" s="43">
        <v>0</v>
      </c>
      <c r="AF88" s="43">
        <v>0</v>
      </c>
      <c r="AG88" s="158"/>
    </row>
    <row r="89" spans="1:33" hidden="1" outlineLevel="1">
      <c r="A89" s="1" t="str">
        <f>ProForma_IS_Qtr!A89</f>
        <v>Other, Net</v>
      </c>
      <c r="B89" s="158"/>
      <c r="C89" s="158"/>
      <c r="D89" s="158"/>
      <c r="E89" s="158"/>
      <c r="F89" s="158"/>
      <c r="G89" s="158"/>
      <c r="H89" s="158"/>
      <c r="I89" s="158"/>
      <c r="J89" s="158"/>
      <c r="K89" s="158"/>
      <c r="L89" s="158"/>
      <c r="M89" s="158"/>
      <c r="N89" s="158"/>
      <c r="O89" s="158"/>
      <c r="P89" s="158"/>
      <c r="Q89" s="127"/>
      <c r="R89" s="127"/>
      <c r="S89" s="127"/>
      <c r="T89" s="127"/>
      <c r="U89" s="127" t="str">
        <f>ProForma_IS_Qtr!Z89</f>
        <v>ND</v>
      </c>
      <c r="V89" s="127">
        <f>ProForma_IS_Qtr!AE89</f>
        <v>885</v>
      </c>
      <c r="W89" s="127">
        <f>ProForma_IS_Qtr!AJ89</f>
        <v>423</v>
      </c>
      <c r="X89" s="127">
        <f>ProForma_IS_Qtr!AO89</f>
        <v>64</v>
      </c>
      <c r="Y89" s="127">
        <f>ProForma_IS_Qtr!AT89</f>
        <v>-63</v>
      </c>
      <c r="Z89" s="127">
        <f>ProForma_IS_Qtr!AY89</f>
        <v>0</v>
      </c>
      <c r="AA89" s="127">
        <f>ProForma_IS_Qtr!BD89</f>
        <v>0</v>
      </c>
      <c r="AB89" s="127">
        <f>ProForma_IS_Qtr!BI89</f>
        <v>2957.6497870000003</v>
      </c>
      <c r="AC89" s="75">
        <f>AC28-AC93-AC86-AC87-AC88</f>
        <v>5978.0772979305802</v>
      </c>
      <c r="AD89" s="75">
        <f>AD28-AD93-AD86-AD87-AD88</f>
        <v>6648.5008865563532</v>
      </c>
      <c r="AE89" s="75">
        <f>AE28-AE93-AE86-AE87-AE88</f>
        <v>7280.4914518918595</v>
      </c>
      <c r="AF89" s="75">
        <f>AF28-AF93-AF86-AF87-AF88</f>
        <v>7848.127143673114</v>
      </c>
      <c r="AG89" s="236"/>
    </row>
    <row r="90" spans="1:33" collapsed="1">
      <c r="A90" s="13" t="str">
        <f>ProForma_IS_Qtr!A90</f>
        <v>Operating Expenses</v>
      </c>
      <c r="B90" s="168"/>
      <c r="C90" s="168"/>
      <c r="D90" s="168"/>
      <c r="E90" s="168"/>
      <c r="F90" s="168"/>
      <c r="G90" s="168"/>
      <c r="H90" s="168"/>
      <c r="I90" s="168"/>
      <c r="J90" s="168"/>
      <c r="K90" s="168"/>
      <c r="L90" s="168"/>
      <c r="M90" s="168"/>
      <c r="N90" s="168"/>
      <c r="O90" s="168"/>
      <c r="P90" s="168"/>
      <c r="Q90" s="168"/>
      <c r="R90" s="168"/>
      <c r="S90" s="168"/>
      <c r="T90" s="168"/>
      <c r="U90" s="168">
        <f t="shared" ref="U90:W90" si="98">SUM(U85:U89)</f>
        <v>0</v>
      </c>
      <c r="V90" s="168">
        <f t="shared" si="98"/>
        <v>-64449</v>
      </c>
      <c r="W90" s="168">
        <f t="shared" si="98"/>
        <v>-59430</v>
      </c>
      <c r="X90" s="168">
        <f t="shared" ref="X90:Y90" si="99">SUM(X85:X89)</f>
        <v>-61716</v>
      </c>
      <c r="Y90" s="168">
        <f t="shared" si="99"/>
        <v>-65578</v>
      </c>
      <c r="Z90" s="168">
        <f t="shared" ref="Z90:AA90" si="100">SUM(Z85:Z89)</f>
        <v>-74068</v>
      </c>
      <c r="AA90" s="168">
        <f t="shared" si="100"/>
        <v>-79716</v>
      </c>
      <c r="AB90" s="168">
        <f t="shared" ref="AB90" si="101">SUM(AB85:AB89)</f>
        <v>-84230.679852999994</v>
      </c>
      <c r="AC90" s="97">
        <f t="shared" ref="AC90" si="102">SUM(AC85:AC89)</f>
        <v>-88953.67179830579</v>
      </c>
      <c r="AD90" s="97">
        <f t="shared" ref="AD90" si="103">SUM(AD85:AD89)</f>
        <v>-93620.406834741472</v>
      </c>
      <c r="AE90" s="97">
        <f t="shared" ref="AE90:AF90" si="104">SUM(AE85:AE89)</f>
        <v>-98296.010612540296</v>
      </c>
      <c r="AF90" s="97">
        <f t="shared" si="104"/>
        <v>-103394.35960823823</v>
      </c>
      <c r="AG90" s="168"/>
    </row>
    <row r="91" spans="1:33">
      <c r="A91" s="1" t="str">
        <f>ProForma_IS_Qtr!A91</f>
        <v>YoY</v>
      </c>
      <c r="B91" s="92"/>
      <c r="C91" s="92"/>
      <c r="D91" s="92"/>
      <c r="E91" s="92"/>
      <c r="F91" s="92"/>
      <c r="G91" s="92"/>
      <c r="H91" s="92"/>
      <c r="I91" s="92"/>
      <c r="J91" s="92"/>
      <c r="K91" s="92"/>
      <c r="L91" s="92"/>
      <c r="M91" s="92"/>
      <c r="N91" s="92"/>
      <c r="O91" s="92"/>
      <c r="P91" s="92"/>
      <c r="Q91" s="130"/>
      <c r="R91" s="130"/>
      <c r="S91" s="130"/>
      <c r="T91" s="130"/>
      <c r="U91" s="130" t="str">
        <f>ProForma_IS_Qtr!Z91</f>
        <v>NM</v>
      </c>
      <c r="V91" s="130" t="str">
        <f>ProForma_IS_Qtr!AE91</f>
        <v>NM</v>
      </c>
      <c r="W91" s="130">
        <f>ProForma_IS_Qtr!AJ91</f>
        <v>-7.7875529488432682E-2</v>
      </c>
      <c r="X91" s="130">
        <f>ProForma_IS_Qtr!AO91</f>
        <v>3.8465421504290775E-2</v>
      </c>
      <c r="Y91" s="130">
        <f>ProForma_IS_Qtr!AT91</f>
        <v>6.2576965454663291E-2</v>
      </c>
      <c r="Z91" s="130">
        <f>ProForma_IS_Qtr!AY91</f>
        <v>0.12946414956235319</v>
      </c>
      <c r="AA91" s="130">
        <f>ProForma_IS_Qtr!BD91</f>
        <v>7.625425284873355E-2</v>
      </c>
      <c r="AB91" s="130">
        <f>ProForma_IS_Qtr!BI91</f>
        <v>5.6634550817903584E-2</v>
      </c>
      <c r="AC91" s="36">
        <f>AC90/AB90-1</f>
        <v>5.6072109990663588E-2</v>
      </c>
      <c r="AD91" s="36">
        <f>AD90/AC90-1</f>
        <v>5.2462534059494192E-2</v>
      </c>
      <c r="AE91" s="36">
        <f>AE90/AD90-1</f>
        <v>4.9942143341164869E-2</v>
      </c>
      <c r="AF91" s="36">
        <f>AF90/AE90-1</f>
        <v>5.1867303300786149E-2</v>
      </c>
      <c r="AG91" s="363"/>
    </row>
    <row r="92" spans="1:33">
      <c r="A92" s="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36"/>
      <c r="AD92" s="36"/>
      <c r="AE92" s="36"/>
      <c r="AF92" s="36"/>
      <c r="AG92" s="363"/>
    </row>
    <row r="93" spans="1:33">
      <c r="A93" s="4" t="str">
        <f>ProForma_IS_Qtr!A93</f>
        <v>Gross Profit</v>
      </c>
      <c r="B93" s="168"/>
      <c r="C93" s="168"/>
      <c r="D93" s="168"/>
      <c r="E93" s="168"/>
      <c r="F93" s="168"/>
      <c r="G93" s="168"/>
      <c r="H93" s="168"/>
      <c r="I93" s="168"/>
      <c r="J93" s="168"/>
      <c r="K93" s="168"/>
      <c r="L93" s="168"/>
      <c r="M93" s="168"/>
      <c r="N93" s="168"/>
      <c r="O93" s="168"/>
      <c r="P93" s="168"/>
      <c r="Q93" s="168"/>
      <c r="R93" s="168"/>
      <c r="S93" s="168"/>
      <c r="T93" s="168"/>
      <c r="U93" s="168" t="str">
        <f>IFERROR(U9+U85,"NM")</f>
        <v>NM</v>
      </c>
      <c r="V93" s="168">
        <f t="shared" ref="V93:AA93" si="105">V9+V85</f>
        <v>11364</v>
      </c>
      <c r="W93" s="168">
        <f t="shared" si="105"/>
        <v>12491</v>
      </c>
      <c r="X93" s="168">
        <f t="shared" si="105"/>
        <v>13668</v>
      </c>
      <c r="Y93" s="168">
        <f t="shared" si="105"/>
        <v>17474</v>
      </c>
      <c r="Z93" s="168">
        <f t="shared" si="105"/>
        <v>15480</v>
      </c>
      <c r="AA93" s="168">
        <f t="shared" si="105"/>
        <v>17789</v>
      </c>
      <c r="AB93" s="168">
        <f t="shared" ref="AB93" si="106">AB9+AB85</f>
        <v>19198.793399999995</v>
      </c>
      <c r="AC93" s="97">
        <f>AC9*AC94</f>
        <v>20637.336760051385</v>
      </c>
      <c r="AD93" s="97">
        <f>AD9*AD94</f>
        <v>21797.588635064749</v>
      </c>
      <c r="AE93" s="97">
        <f>AE9*AE94</f>
        <v>22951.413492267857</v>
      </c>
      <c r="AF93" s="97">
        <f>AF9*AF94</f>
        <v>24183.149293893774</v>
      </c>
      <c r="AG93" s="168"/>
    </row>
    <row r="94" spans="1:33">
      <c r="A94" s="1" t="str">
        <f>ProForma_IS_Qtr!A94</f>
        <v>Gross Margin</v>
      </c>
      <c r="B94" s="92"/>
      <c r="C94" s="92"/>
      <c r="D94" s="92"/>
      <c r="E94" s="92"/>
      <c r="F94" s="92"/>
      <c r="G94" s="92"/>
      <c r="H94" s="92"/>
      <c r="I94" s="92"/>
      <c r="J94" s="92"/>
      <c r="K94" s="92"/>
      <c r="L94" s="92"/>
      <c r="M94" s="92"/>
      <c r="N94" s="92"/>
      <c r="O94" s="92"/>
      <c r="P94" s="92"/>
      <c r="Q94" s="92"/>
      <c r="R94" s="92"/>
      <c r="S94" s="92"/>
      <c r="T94" s="92"/>
      <c r="U94" s="92" t="str">
        <f>IFERROR(U93/U$9,"NM")</f>
        <v>NM</v>
      </c>
      <c r="V94" s="92">
        <f t="shared" ref="V94:AA94" si="107">V93/V$9</f>
        <v>0.17573648805381581</v>
      </c>
      <c r="W94" s="92">
        <f t="shared" si="107"/>
        <v>0.19399577561036219</v>
      </c>
      <c r="X94" s="92">
        <f t="shared" si="107"/>
        <v>0.20377493514625639</v>
      </c>
      <c r="Y94" s="92">
        <f t="shared" si="107"/>
        <v>0.23516587039903103</v>
      </c>
      <c r="Z94" s="92">
        <f t="shared" si="107"/>
        <v>0.19156519156519156</v>
      </c>
      <c r="AA94" s="92">
        <f t="shared" si="107"/>
        <v>0.20077198288996986</v>
      </c>
      <c r="AB94" s="92">
        <f t="shared" ref="AB94" si="108">AB93/AB$9</f>
        <v>0.19999999999999998</v>
      </c>
      <c r="AC94" s="357">
        <v>0.2</v>
      </c>
      <c r="AD94" s="357">
        <v>0.2</v>
      </c>
      <c r="AE94" s="357">
        <v>0.2</v>
      </c>
      <c r="AF94" s="357">
        <v>0.2</v>
      </c>
      <c r="AG94" s="377"/>
    </row>
    <row r="95" spans="1:33">
      <c r="A95" s="1"/>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230"/>
      <c r="AD95" s="230"/>
      <c r="AE95" s="230"/>
      <c r="AF95" s="230"/>
      <c r="AG95" s="377"/>
    </row>
    <row r="96" spans="1:33">
      <c r="A96" s="4" t="s">
        <v>314</v>
      </c>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230"/>
      <c r="AD96" s="230"/>
      <c r="AE96" s="230"/>
      <c r="AF96" s="230"/>
      <c r="AG96" s="377"/>
    </row>
    <row r="97" spans="1:46">
      <c r="A97" s="1" t="str">
        <f>ProForma_IS_Qtr!A97</f>
        <v>R&amp;D</v>
      </c>
      <c r="B97" s="92"/>
      <c r="C97" s="92"/>
      <c r="D97" s="92"/>
      <c r="E97" s="92"/>
      <c r="F97" s="92"/>
      <c r="G97" s="92"/>
      <c r="H97" s="92"/>
      <c r="I97" s="92"/>
      <c r="J97" s="92"/>
      <c r="K97" s="92"/>
      <c r="L97" s="92"/>
      <c r="M97" s="92"/>
      <c r="N97" s="92"/>
      <c r="O97" s="92"/>
      <c r="P97" s="92"/>
      <c r="Q97" s="130"/>
      <c r="R97" s="130"/>
      <c r="S97" s="130"/>
      <c r="T97" s="130"/>
      <c r="U97" s="130">
        <f>ProForma_IS_Qtr!Z97</f>
        <v>0</v>
      </c>
      <c r="V97" s="130">
        <f>ProForma_IS_Qtr!AE97</f>
        <v>3.9928864145983144E-2</v>
      </c>
      <c r="W97" s="130">
        <f>ProForma_IS_Qtr!AJ97</f>
        <v>4.2430266509287447E-2</v>
      </c>
      <c r="X97" s="130">
        <f>ProForma_IS_Qtr!AO97</f>
        <v>4.0418045740525391E-2</v>
      </c>
      <c r="Y97" s="130">
        <f>ProForma_IS_Qtr!AT97</f>
        <v>3.7749814951887492E-2</v>
      </c>
      <c r="Z97" s="130">
        <f>ProForma_IS_Qtr!AY97</f>
        <v>3.6308286308286308E-2</v>
      </c>
      <c r="AA97" s="130">
        <f>ProForma_IS_Qtr!BD97</f>
        <v>3.1680642867622989E-2</v>
      </c>
      <c r="AB97" s="130">
        <f>ProForma_IS_Qtr!BI97</f>
        <v>3.4603410858101119E-2</v>
      </c>
      <c r="AC97" s="176">
        <v>0.04</v>
      </c>
      <c r="AD97" s="176">
        <v>0.04</v>
      </c>
      <c r="AE97" s="176">
        <v>0.04</v>
      </c>
      <c r="AF97" s="176">
        <v>0.04</v>
      </c>
      <c r="AG97" s="377"/>
    </row>
    <row r="98" spans="1:46">
      <c r="A98" s="1" t="str">
        <f>ProForma_IS_Qtr!A98</f>
        <v>SG&amp;A</v>
      </c>
      <c r="B98" s="92"/>
      <c r="C98" s="92"/>
      <c r="D98" s="92"/>
      <c r="E98" s="92"/>
      <c r="F98" s="92"/>
      <c r="G98" s="92"/>
      <c r="H98" s="92"/>
      <c r="I98" s="92"/>
      <c r="J98" s="92"/>
      <c r="K98" s="92"/>
      <c r="L98" s="92"/>
      <c r="M98" s="92"/>
      <c r="N98" s="92"/>
      <c r="O98" s="92"/>
      <c r="P98" s="92"/>
      <c r="Q98" s="130"/>
      <c r="R98" s="130"/>
      <c r="S98" s="130"/>
      <c r="T98" s="130"/>
      <c r="U98" s="130">
        <f>ProForma_IS_Qtr!Z98</f>
        <v>0</v>
      </c>
      <c r="V98" s="130">
        <f>ProForma_IS_Qtr!AE98</f>
        <v>9.6930333256011747E-2</v>
      </c>
      <c r="W98" s="130">
        <f>ProForma_IS_Qtr!AJ98</f>
        <v>8.1133130396968373E-2</v>
      </c>
      <c r="X98" s="130">
        <f>ProForma_IS_Qtr!AO98</f>
        <v>8.4429137967021492E-2</v>
      </c>
      <c r="Y98" s="130">
        <f>ProForma_IS_Qtr!AT98</f>
        <v>7.9119843886683264E-2</v>
      </c>
      <c r="Z98" s="130">
        <f>ProForma_IS_Qtr!AY98</f>
        <v>7.1849321849321843E-2</v>
      </c>
      <c r="AA98" s="130">
        <f>ProForma_IS_Qtr!BD98</f>
        <v>6.8789995824069167E-2</v>
      </c>
      <c r="AB98" s="130">
        <f>ProForma_IS_Qtr!BI98</f>
        <v>7.3665435245529556E-2</v>
      </c>
      <c r="AC98" s="357">
        <v>0.08</v>
      </c>
      <c r="AD98" s="357">
        <v>0.08</v>
      </c>
      <c r="AE98" s="357">
        <v>0.08</v>
      </c>
      <c r="AF98" s="357">
        <v>0.08</v>
      </c>
      <c r="AG98" s="377"/>
    </row>
    <row r="99" spans="1:46">
      <c r="A99" s="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36"/>
      <c r="AD99" s="36"/>
      <c r="AE99" s="36"/>
      <c r="AF99" s="36"/>
      <c r="AG99" s="363"/>
    </row>
    <row r="100" spans="1:46">
      <c r="A100" s="13" t="str">
        <f>ProForma_IS_Qtr!A100</f>
        <v>Total FAS Expense and CAS Costs</v>
      </c>
      <c r="B100" s="156"/>
      <c r="C100" s="156"/>
      <c r="D100" s="156"/>
      <c r="E100" s="156"/>
      <c r="F100" s="156"/>
      <c r="G100" s="156"/>
      <c r="H100" s="156"/>
      <c r="I100" s="156"/>
      <c r="J100" s="156"/>
      <c r="K100" s="156"/>
      <c r="L100" s="156"/>
      <c r="M100" s="156"/>
      <c r="N100" s="156"/>
      <c r="O100" s="156"/>
      <c r="P100" s="156"/>
      <c r="Q100" s="156"/>
      <c r="R100" s="156"/>
      <c r="S100" s="156"/>
      <c r="T100" s="156"/>
      <c r="U100" s="156"/>
      <c r="V100" s="156"/>
      <c r="W100" s="156"/>
      <c r="X100" s="156"/>
      <c r="Y100" s="156"/>
      <c r="Z100" s="156"/>
      <c r="AA100" s="156"/>
      <c r="AB100" s="156"/>
      <c r="AC100" s="40"/>
      <c r="AD100" s="40"/>
      <c r="AE100" s="40"/>
      <c r="AF100" s="40"/>
      <c r="AG100" s="156"/>
    </row>
    <row r="101" spans="1:46">
      <c r="A101" s="1" t="str">
        <f>ProForma_IS_Qtr!A101</f>
        <v>FAS Pension Expense</v>
      </c>
      <c r="B101" s="216"/>
      <c r="C101" s="216"/>
      <c r="D101" s="216"/>
      <c r="E101" s="216"/>
      <c r="F101" s="216"/>
      <c r="G101" s="216"/>
      <c r="H101" s="216"/>
      <c r="I101" s="216"/>
      <c r="J101" s="216"/>
      <c r="K101" s="216"/>
      <c r="L101" s="216"/>
      <c r="M101" s="216"/>
      <c r="N101" s="216"/>
      <c r="O101" s="216"/>
      <c r="P101" s="216"/>
      <c r="Q101" s="127"/>
      <c r="R101" s="127"/>
      <c r="S101" s="127"/>
      <c r="T101" s="127"/>
      <c r="U101" s="127">
        <f>ProForma_IS_Qtr!Z101</f>
        <v>72</v>
      </c>
      <c r="V101" s="127">
        <f>ProForma_IS_Qtr!AE101</f>
        <v>572</v>
      </c>
      <c r="W101" s="127">
        <f>ProForma_IS_Qtr!AJ101</f>
        <v>1556</v>
      </c>
      <c r="X101" s="127">
        <f>ProForma_IS_Qtr!AO101</f>
        <v>1531</v>
      </c>
      <c r="Y101" s="127">
        <f>ProForma_IS_Qtr!AT101</f>
        <v>1637</v>
      </c>
      <c r="Z101" s="127">
        <f>ProForma_IS_Qtr!AY101</f>
        <v>1400.8607594936709</v>
      </c>
      <c r="AA101" s="127">
        <f>ProForma_IS_Qtr!BD101</f>
        <v>1062</v>
      </c>
      <c r="AB101" s="127">
        <f>ProForma_IS_Qtr!BI101</f>
        <v>1250</v>
      </c>
      <c r="AC101" s="216">
        <f t="shared" ref="AC101" si="109">AC20+-AC32</f>
        <v>1250</v>
      </c>
      <c r="AD101" s="216">
        <f t="shared" ref="AD101" si="110">AD20+-AD32</f>
        <v>1075</v>
      </c>
      <c r="AE101" s="216">
        <f t="shared" ref="AE101:AF101" si="111">AE20+-AE32</f>
        <v>960</v>
      </c>
      <c r="AF101" s="216">
        <f t="shared" si="111"/>
        <v>960</v>
      </c>
      <c r="AG101" s="216"/>
    </row>
    <row r="102" spans="1:46">
      <c r="A102" s="1" t="str">
        <f>ProForma_IS_Qtr!A102</f>
        <v>CAS Pension Cost</v>
      </c>
      <c r="B102" s="216"/>
      <c r="C102" s="216"/>
      <c r="D102" s="216"/>
      <c r="E102" s="216"/>
      <c r="F102" s="216"/>
      <c r="G102" s="216"/>
      <c r="H102" s="216"/>
      <c r="I102" s="216"/>
      <c r="J102" s="216"/>
      <c r="K102" s="216"/>
      <c r="L102" s="216"/>
      <c r="M102" s="216"/>
      <c r="N102" s="216"/>
      <c r="O102" s="216"/>
      <c r="P102" s="216"/>
      <c r="Q102" s="127"/>
      <c r="R102" s="127"/>
      <c r="S102" s="127"/>
      <c r="T102" s="127"/>
      <c r="U102" s="127" t="str">
        <f>ProForma_IS_Qtr!Z102</f>
        <v>ND</v>
      </c>
      <c r="V102" s="127">
        <f>ProForma_IS_Qtr!AE102</f>
        <v>1982</v>
      </c>
      <c r="W102" s="127">
        <f>ProForma_IS_Qtr!AJ102</f>
        <v>2201</v>
      </c>
      <c r="X102" s="127">
        <f>ProForma_IS_Qtr!AO102</f>
        <v>1885</v>
      </c>
      <c r="Y102" s="127">
        <f>ProForma_IS_Qtr!AT102</f>
        <v>1272</v>
      </c>
      <c r="Z102" s="127">
        <f>ProForma_IS_Qtr!AY102</f>
        <v>971</v>
      </c>
      <c r="AA102" s="127">
        <f>ProForma_IS_Qtr!BD102</f>
        <v>873</v>
      </c>
      <c r="AB102" s="127">
        <f>ProForma_IS_Qtr!BI102</f>
        <v>800</v>
      </c>
      <c r="AC102" s="216">
        <f t="shared" ref="AC102" si="112">AC21</f>
        <v>750</v>
      </c>
      <c r="AD102" s="216">
        <f t="shared" ref="AD102" si="113">AD21</f>
        <v>700</v>
      </c>
      <c r="AE102" s="216">
        <f t="shared" ref="AE102:AF102" si="114">AE21</f>
        <v>600</v>
      </c>
      <c r="AF102" s="216">
        <f t="shared" si="114"/>
        <v>600</v>
      </c>
      <c r="AG102" s="216"/>
    </row>
    <row r="103" spans="1:46">
      <c r="A103" s="13" t="str">
        <f>ProForma_IS_Qtr!A103</f>
        <v>Total Net FAS/CAS Pension Adjustment</v>
      </c>
      <c r="B103" s="168"/>
      <c r="C103" s="168"/>
      <c r="D103" s="168"/>
      <c r="E103" s="168"/>
      <c r="F103" s="168"/>
      <c r="G103" s="168"/>
      <c r="H103" s="168"/>
      <c r="I103" s="168"/>
      <c r="J103" s="168"/>
      <c r="K103" s="168"/>
      <c r="L103" s="168"/>
      <c r="M103" s="168"/>
      <c r="N103" s="168"/>
      <c r="O103" s="168"/>
      <c r="P103" s="168"/>
      <c r="Q103" s="168"/>
      <c r="R103" s="168"/>
      <c r="S103" s="168"/>
      <c r="T103" s="168"/>
      <c r="U103" s="168">
        <f>U22+U32</f>
        <v>1342</v>
      </c>
      <c r="V103" s="168">
        <f t="shared" ref="V103:W103" si="115">+SUM(V101:V102)</f>
        <v>2554</v>
      </c>
      <c r="W103" s="168">
        <f t="shared" si="115"/>
        <v>3757</v>
      </c>
      <c r="X103" s="168">
        <f t="shared" ref="X103:Y103" si="116">+SUM(X101:X102)</f>
        <v>3416</v>
      </c>
      <c r="Y103" s="168">
        <f t="shared" si="116"/>
        <v>2909</v>
      </c>
      <c r="Z103" s="168">
        <f t="shared" ref="Z103:AA103" si="117">+SUM(Z101:Z102)</f>
        <v>2371.8607594936711</v>
      </c>
      <c r="AA103" s="168">
        <f t="shared" si="117"/>
        <v>1935</v>
      </c>
      <c r="AB103" s="168">
        <f t="shared" ref="AB103" si="118">+SUM(AB101:AB102)</f>
        <v>2050</v>
      </c>
      <c r="AC103" s="97">
        <f t="shared" ref="AC103" si="119">+SUM(AC101:AC102)</f>
        <v>2000</v>
      </c>
      <c r="AD103" s="97">
        <f t="shared" ref="AD103" si="120">+SUM(AD101:AD102)</f>
        <v>1775</v>
      </c>
      <c r="AE103" s="97">
        <f t="shared" ref="AE103:AF103" si="121">+SUM(AE101:AE102)</f>
        <v>1560</v>
      </c>
      <c r="AF103" s="97">
        <f t="shared" si="121"/>
        <v>1560</v>
      </c>
      <c r="AG103" s="168"/>
    </row>
    <row r="104" spans="1:46">
      <c r="A104" s="12" t="str">
        <f>ProForma_IS_Qtr!A104</f>
        <v>Check</v>
      </c>
      <c r="B104" s="155"/>
      <c r="C104" s="155"/>
      <c r="D104" s="155"/>
      <c r="E104" s="155"/>
      <c r="F104" s="155"/>
      <c r="G104" s="155"/>
      <c r="H104" s="155"/>
      <c r="I104" s="155"/>
      <c r="J104" s="155"/>
      <c r="K104" s="155"/>
      <c r="L104" s="155"/>
      <c r="M104" s="155"/>
      <c r="N104" s="155"/>
      <c r="O104" s="155"/>
      <c r="P104" s="155"/>
      <c r="Q104" s="155"/>
      <c r="R104" s="155"/>
      <c r="S104" s="155"/>
      <c r="T104" s="155"/>
      <c r="U104" s="155" t="b">
        <f>(U22+U32)=U103</f>
        <v>1</v>
      </c>
      <c r="V104" s="155" t="b">
        <f t="shared" ref="V104:AA104" si="122">(V22+-V32)=V103</f>
        <v>1</v>
      </c>
      <c r="W104" s="155" t="b">
        <f t="shared" si="122"/>
        <v>1</v>
      </c>
      <c r="X104" s="155" t="b">
        <f t="shared" si="122"/>
        <v>1</v>
      </c>
      <c r="Y104" s="155" t="b">
        <f t="shared" si="122"/>
        <v>1</v>
      </c>
      <c r="Z104" s="155" t="b">
        <f t="shared" si="122"/>
        <v>1</v>
      </c>
      <c r="AA104" s="155" t="b">
        <f t="shared" si="122"/>
        <v>1</v>
      </c>
      <c r="AB104" s="155" t="b">
        <f t="shared" ref="AB104" si="123">(AB22+-AB32)=AB103</f>
        <v>1</v>
      </c>
      <c r="AC104" s="155" t="b">
        <f t="shared" ref="AC104" si="124">(AC22-AC32)=AC103</f>
        <v>1</v>
      </c>
      <c r="AD104" s="155" t="b">
        <f t="shared" ref="AD104" si="125">(AD22-AD32)=AD103</f>
        <v>1</v>
      </c>
      <c r="AE104" s="155" t="b">
        <f t="shared" ref="AE104:AF104" si="126">(AE22-AE32)=AE103</f>
        <v>1</v>
      </c>
      <c r="AF104" s="155" t="b">
        <f t="shared" si="126"/>
        <v>1</v>
      </c>
      <c r="AG104" s="155"/>
    </row>
    <row r="105" spans="1:46">
      <c r="B105"/>
      <c r="C105"/>
      <c r="D105"/>
      <c r="E105"/>
      <c r="F105"/>
      <c r="G105"/>
      <c r="H105"/>
      <c r="I105"/>
      <c r="J105"/>
      <c r="K105"/>
      <c r="L105"/>
      <c r="M105"/>
      <c r="N105"/>
      <c r="O105"/>
      <c r="P105"/>
      <c r="Q105"/>
      <c r="R105"/>
      <c r="S105"/>
      <c r="T105"/>
      <c r="U105"/>
      <c r="V105"/>
      <c r="W105"/>
      <c r="X105"/>
      <c r="Y105"/>
      <c r="Z105"/>
      <c r="AA105"/>
      <c r="AB105"/>
      <c r="AC105"/>
      <c r="AD105"/>
      <c r="AE105"/>
      <c r="AF105"/>
      <c r="AG105"/>
    </row>
    <row r="106" spans="1:46">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row>
    <row r="107" spans="1:46">
      <c r="B107" s="21"/>
    </row>
    <row r="108" spans="1:46">
      <c r="A108" s="8" t="s">
        <v>229</v>
      </c>
    </row>
    <row r="109" spans="1:46" hidden="1" outlineLevel="1">
      <c r="A109" t="s">
        <v>228</v>
      </c>
      <c r="B109" s="262"/>
      <c r="C109" s="262"/>
      <c r="D109" s="262"/>
      <c r="E109" s="262"/>
      <c r="F109" s="262"/>
      <c r="G109" s="262"/>
      <c r="H109" s="262"/>
      <c r="I109" s="262"/>
      <c r="J109" s="262"/>
      <c r="K109" s="262"/>
      <c r="L109" s="262"/>
      <c r="M109" s="262"/>
      <c r="N109" s="262"/>
      <c r="O109" s="262"/>
      <c r="P109" s="262"/>
      <c r="Q109" s="262"/>
      <c r="R109" s="262"/>
      <c r="S109" s="262"/>
      <c r="T109" s="262"/>
      <c r="U109" s="262"/>
      <c r="V109" s="263"/>
      <c r="W109" s="263"/>
      <c r="X109" s="263"/>
      <c r="Y109" s="263"/>
      <c r="Z109" s="262" t="s">
        <v>310</v>
      </c>
      <c r="AA109" s="262" t="s">
        <v>310</v>
      </c>
      <c r="AB109" s="262" t="s">
        <v>310</v>
      </c>
      <c r="AC109" s="262" t="s">
        <v>310</v>
      </c>
      <c r="AD109" s="262" t="s">
        <v>310</v>
      </c>
      <c r="AE109" s="262" t="s">
        <v>310</v>
      </c>
      <c r="AF109" s="262" t="s">
        <v>310</v>
      </c>
      <c r="AG109" s="262"/>
      <c r="AH109" s="317"/>
    </row>
    <row r="110" spans="1:46" hidden="1" outlineLevel="1">
      <c r="A110" t="s">
        <v>243</v>
      </c>
      <c r="B110" s="196"/>
      <c r="C110" s="196"/>
      <c r="D110" s="196"/>
      <c r="E110" s="196"/>
      <c r="F110" s="196"/>
      <c r="G110" s="196"/>
      <c r="H110" s="196"/>
      <c r="I110" s="196"/>
      <c r="J110" s="196"/>
      <c r="K110" s="196"/>
      <c r="L110" s="196"/>
      <c r="M110" s="196"/>
      <c r="N110" s="196"/>
      <c r="O110" s="196"/>
      <c r="P110" s="196"/>
      <c r="Q110" s="34"/>
      <c r="R110" s="34"/>
      <c r="S110" s="34"/>
      <c r="T110" s="34">
        <f>U110</f>
        <v>0.21</v>
      </c>
      <c r="U110" s="73">
        <f>ProForma_IS_Qtr!Z111</f>
        <v>0.21</v>
      </c>
      <c r="V110" s="73">
        <f>ProForma_IS_Qtr!AE111</f>
        <v>0.21</v>
      </c>
      <c r="W110" s="73">
        <f>ProForma_IS_Qtr!AJ111</f>
        <v>0.21</v>
      </c>
      <c r="X110" s="73">
        <f>ProForma_IS_Qtr!AO111</f>
        <v>0.21</v>
      </c>
      <c r="Y110" s="73">
        <f>ProForma_IS_Qtr!AP111</f>
        <v>0.21</v>
      </c>
      <c r="Z110" s="34">
        <f t="shared" ref="Z110:AF110" si="127">Y110</f>
        <v>0.21</v>
      </c>
      <c r="AA110" s="34">
        <f t="shared" si="127"/>
        <v>0.21</v>
      </c>
      <c r="AB110" s="34">
        <f t="shared" si="127"/>
        <v>0.21</v>
      </c>
      <c r="AC110" s="34">
        <f t="shared" si="127"/>
        <v>0.21</v>
      </c>
      <c r="AD110" s="34">
        <f t="shared" si="127"/>
        <v>0.21</v>
      </c>
      <c r="AE110" s="34">
        <f t="shared" si="127"/>
        <v>0.21</v>
      </c>
      <c r="AF110" s="34">
        <f t="shared" si="127"/>
        <v>0.21</v>
      </c>
      <c r="AG110" s="232"/>
      <c r="AH110" s="317"/>
    </row>
    <row r="111" spans="1:46" s="261" customFormat="1" hidden="1" outlineLevel="1">
      <c r="A111" t="s">
        <v>227</v>
      </c>
      <c r="B111" s="42"/>
      <c r="C111" s="42"/>
      <c r="D111" s="42"/>
      <c r="E111" s="42"/>
      <c r="F111" s="42"/>
      <c r="G111" s="42"/>
      <c r="H111" s="42"/>
      <c r="I111" s="42"/>
      <c r="J111" s="42"/>
      <c r="K111" s="42"/>
      <c r="L111" s="42"/>
      <c r="M111" s="42"/>
      <c r="N111" s="42"/>
      <c r="O111" s="42"/>
      <c r="P111" s="42"/>
      <c r="Q111" s="42"/>
      <c r="R111" s="42"/>
      <c r="S111" s="42"/>
      <c r="T111" s="42"/>
      <c r="U111" s="42"/>
      <c r="V111" s="42"/>
      <c r="W111" s="42">
        <f t="shared" ref="W111:AB111" si="128">W28-W9</f>
        <v>-57125</v>
      </c>
      <c r="X111" s="42">
        <f t="shared" si="128"/>
        <v>-59251</v>
      </c>
      <c r="Y111" s="42">
        <f t="shared" ref="Y111" si="129">Y28-Y9</f>
        <v>-65410</v>
      </c>
      <c r="Z111" s="42">
        <f t="shared" si="128"/>
        <v>-70625</v>
      </c>
      <c r="AA111" s="42">
        <f t="shared" si="128"/>
        <v>-77214</v>
      </c>
      <c r="AB111" s="42">
        <f t="shared" si="128"/>
        <v>-83080.679852999994</v>
      </c>
      <c r="AC111" s="42">
        <f t="shared" ref="AC111:AD111" si="130">AC28-AC9</f>
        <v>-88953.671798305775</v>
      </c>
      <c r="AD111" s="42">
        <f t="shared" si="130"/>
        <v>-93620.406834741472</v>
      </c>
      <c r="AE111" s="42">
        <f t="shared" ref="AE111:AF111" si="131">AE28-AE9</f>
        <v>-98296.010612540267</v>
      </c>
      <c r="AF111" s="42">
        <f t="shared" si="131"/>
        <v>-103394.35960823823</v>
      </c>
      <c r="AG111" s="42"/>
      <c r="AH111" s="317"/>
      <c r="AO111"/>
      <c r="AP111"/>
      <c r="AQ111"/>
      <c r="AR111"/>
      <c r="AS111"/>
      <c r="AT111"/>
    </row>
    <row r="112" spans="1:46" s="264" customFormat="1" hidden="1" outlineLevel="1">
      <c r="A112" t="s">
        <v>244</v>
      </c>
      <c r="B112" s="37"/>
      <c r="C112" s="37"/>
      <c r="D112" s="37"/>
      <c r="E112" s="37"/>
      <c r="F112" s="37"/>
      <c r="G112" s="37"/>
      <c r="H112" s="37"/>
      <c r="I112" s="37"/>
      <c r="J112" s="88"/>
      <c r="K112" s="37"/>
      <c r="L112" s="37"/>
      <c r="M112" s="37"/>
      <c r="N112" s="37"/>
      <c r="O112" s="37"/>
      <c r="P112" s="37"/>
      <c r="Q112" s="37"/>
      <c r="R112" s="37"/>
      <c r="S112" s="37"/>
      <c r="T112" s="37"/>
      <c r="U112" s="37"/>
      <c r="V112" s="37"/>
      <c r="W112" s="37">
        <f>SUM(Cash_Flow_Annual!W39,Cash_Flow_Annual!W41)</f>
        <v>-2320</v>
      </c>
      <c r="X112" s="37">
        <f>SUM(Cash_Flow_Annual!X39,Cash_Flow_Annual!X41)</f>
        <v>-2803</v>
      </c>
      <c r="Y112" s="37">
        <f>SUM(Cash_Flow_Annual!Y39,Cash_Flow_Annual!Y41)</f>
        <v>-12870</v>
      </c>
      <c r="Z112" s="37">
        <f>SUM(Cash_Flow_Annual!Z39,Cash_Flow_Annual!Z41)</f>
        <v>-444</v>
      </c>
      <c r="AA112" s="37">
        <f>SUM(Cash_Flow_Annual!AA39,Cash_Flow_Annual!AA41)</f>
        <v>-50</v>
      </c>
      <c r="AB112" s="37">
        <f>SUM(Cash_Flow_Annual!AB39,Cash_Flow_Annual!AB41)</f>
        <v>0</v>
      </c>
      <c r="AC112" s="37">
        <f>SUM(Cash_Flow_Annual!AC39,Cash_Flow_Annual!AC41)</f>
        <v>-4000</v>
      </c>
      <c r="AD112" s="37">
        <f>SUM(Cash_Flow_Annual!AD39,Cash_Flow_Annual!AD41)</f>
        <v>-4000</v>
      </c>
      <c r="AE112" s="37">
        <f>SUM(Cash_Flow_Annual!AE39,Cash_Flow_Annual!AE41)</f>
        <v>-4000</v>
      </c>
      <c r="AF112" s="37">
        <f>SUM(Cash_Flow_Annual!AF39,Cash_Flow_Annual!AF41)</f>
        <v>-4000</v>
      </c>
      <c r="AG112" s="37"/>
      <c r="AH112" s="317"/>
      <c r="AO112"/>
      <c r="AP112"/>
      <c r="AQ112"/>
      <c r="AR112"/>
      <c r="AS112"/>
      <c r="AT112"/>
    </row>
    <row r="113" spans="1:34" collapsed="1"/>
    <row r="119" spans="1:34">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2" spans="1:34">
      <c r="A122" s="4"/>
    </row>
    <row r="123" spans="1:34" hidden="1" outlineLevel="1">
      <c r="A123" t="s">
        <v>14</v>
      </c>
      <c r="X123" s="21">
        <f t="shared" ref="X123:AC123" si="132">X9</f>
        <v>67074</v>
      </c>
      <c r="Y123" s="21">
        <f t="shared" si="132"/>
        <v>74305</v>
      </c>
      <c r="Z123" s="21">
        <f t="shared" si="132"/>
        <v>80808</v>
      </c>
      <c r="AA123" s="21">
        <f t="shared" si="132"/>
        <v>88603</v>
      </c>
      <c r="AB123" s="21">
        <f t="shared" si="132"/>
        <v>95993.96699999999</v>
      </c>
      <c r="AC123" s="21">
        <f t="shared" si="132"/>
        <v>103186.68380025691</v>
      </c>
      <c r="AD123" s="21">
        <f t="shared" ref="AD123:AE123" si="133">AD9</f>
        <v>108987.94317532373</v>
      </c>
      <c r="AE123" s="21">
        <f t="shared" si="133"/>
        <v>114757.06746133928</v>
      </c>
      <c r="AF123" s="21"/>
      <c r="AG123" s="21"/>
    </row>
    <row r="124" spans="1:34" hidden="1" outlineLevel="1">
      <c r="A124" t="s">
        <v>54</v>
      </c>
      <c r="X124" s="52">
        <f t="shared" ref="X124:AC124" si="134">X52</f>
        <v>4.7771163197657787</v>
      </c>
      <c r="Y124" s="52">
        <f t="shared" si="134"/>
        <v>5.0640936324369514</v>
      </c>
      <c r="Z124" s="52">
        <f t="shared" si="134"/>
        <v>5.7346878403382568</v>
      </c>
      <c r="AA124" s="52">
        <f t="shared" si="134"/>
        <v>6.2894053133947265</v>
      </c>
      <c r="AB124" s="52">
        <f t="shared" si="134"/>
        <v>7.252377258665816</v>
      </c>
      <c r="AC124" s="52">
        <f t="shared" si="134"/>
        <v>7.8476999999999997</v>
      </c>
      <c r="AD124" s="52">
        <f t="shared" ref="AD124:AE124" si="135">AD52</f>
        <v>8.4971999999999976</v>
      </c>
      <c r="AE124" s="52">
        <f t="shared" si="135"/>
        <v>9.1997057943283487</v>
      </c>
      <c r="AF124" s="52"/>
      <c r="AG124" s="52"/>
    </row>
    <row r="125" spans="1:34" hidden="1" outlineLevel="1">
      <c r="A125" t="s">
        <v>9</v>
      </c>
      <c r="X125" s="21">
        <f t="shared" ref="X125:AC125" si="136">X28</f>
        <v>7823</v>
      </c>
      <c r="Y125" s="21">
        <f t="shared" si="136"/>
        <v>8895</v>
      </c>
      <c r="Z125" s="21">
        <f t="shared" si="136"/>
        <v>10183</v>
      </c>
      <c r="AA125" s="21">
        <f t="shared" si="136"/>
        <v>11389</v>
      </c>
      <c r="AB125" s="21">
        <f t="shared" si="136"/>
        <v>12913.287147000001</v>
      </c>
      <c r="AC125" s="21">
        <f t="shared" si="136"/>
        <v>14233.012001951134</v>
      </c>
      <c r="AD125" s="21">
        <f t="shared" ref="AD125:AE125" si="137">AD28</f>
        <v>15367.536340582255</v>
      </c>
      <c r="AE125" s="21">
        <f t="shared" si="137"/>
        <v>16461.056848799002</v>
      </c>
      <c r="AF125" s="21"/>
      <c r="AG125" s="21"/>
    </row>
    <row r="126" spans="1:34" hidden="1" outlineLevel="1">
      <c r="A126" t="s">
        <v>26</v>
      </c>
      <c r="X126" s="37">
        <f>Cash_Flow_Annual!X72</f>
        <v>4880</v>
      </c>
      <c r="Y126" s="37">
        <f>Cash_Flow_Annual!Y72</f>
        <v>5468</v>
      </c>
      <c r="Z126" s="37">
        <f>Cash_Flow_Annual!Z72</f>
        <v>4534</v>
      </c>
      <c r="AA126" s="37">
        <f>Cash_Flow_Annual!AA72</f>
        <v>7940</v>
      </c>
      <c r="AB126" s="37">
        <f>Cash_Flow_Annual!AB72</f>
        <v>8712.8115015116819</v>
      </c>
      <c r="AC126" s="37">
        <f>Cash_Flow_Annual!AC72</f>
        <v>10082.762856681433</v>
      </c>
      <c r="AD126" s="37">
        <f>Cash_Flow_Annual!AD72</f>
        <v>11160.138992217026</v>
      </c>
      <c r="AE126" s="37">
        <f>Cash_Flow_Annual!AG72</f>
        <v>0</v>
      </c>
      <c r="AF126" s="37"/>
      <c r="AG126" s="37"/>
    </row>
    <row r="127" spans="1:34" collapsed="1"/>
    <row r="133" spans="1:33" ht="19.5" customHeight="1">
      <c r="W133" s="98"/>
      <c r="X133" s="98"/>
      <c r="Y133" s="98"/>
      <c r="Z133" s="98"/>
      <c r="AA133" s="98"/>
      <c r="AB133" s="98"/>
      <c r="AC133" s="98"/>
      <c r="AD133" s="98"/>
      <c r="AE133" s="98"/>
      <c r="AF133" s="98"/>
      <c r="AG133" s="98"/>
    </row>
    <row r="134" spans="1:33" hidden="1" outlineLevel="1">
      <c r="A134" s="433" t="s">
        <v>46</v>
      </c>
      <c r="W134" s="436">
        <f t="shared" ref="W134:AB134" si="138">W22</f>
        <v>1796</v>
      </c>
      <c r="X134" s="436">
        <f t="shared" si="138"/>
        <v>1520</v>
      </c>
      <c r="Y134" s="436">
        <f t="shared" si="138"/>
        <v>1127</v>
      </c>
      <c r="Z134" s="436">
        <f t="shared" si="138"/>
        <v>833</v>
      </c>
      <c r="AA134" s="436">
        <f t="shared" si="138"/>
        <v>753</v>
      </c>
      <c r="AB134" s="436">
        <f t="shared" si="138"/>
        <v>650</v>
      </c>
      <c r="AC134" s="436">
        <f t="shared" ref="AC134" si="139">AC22</f>
        <v>600</v>
      </c>
      <c r="AD134" s="436"/>
      <c r="AE134" s="436"/>
      <c r="AF134" s="436"/>
      <c r="AG134" s="436"/>
    </row>
    <row r="135" spans="1:33" hidden="1" outlineLevel="1">
      <c r="A135" s="433" t="s">
        <v>312</v>
      </c>
      <c r="W135" s="437">
        <f t="shared" ref="W135:AB135" si="140">-W32</f>
        <v>1961</v>
      </c>
      <c r="X135" s="437">
        <f t="shared" si="140"/>
        <v>1896</v>
      </c>
      <c r="Y135" s="437">
        <f t="shared" si="140"/>
        <v>1782</v>
      </c>
      <c r="Z135" s="437">
        <f t="shared" si="140"/>
        <v>1538.8607594936709</v>
      </c>
      <c r="AA135" s="437">
        <f t="shared" si="140"/>
        <v>1182</v>
      </c>
      <c r="AB135" s="437">
        <f t="shared" si="140"/>
        <v>1400</v>
      </c>
      <c r="AC135" s="437">
        <f t="shared" ref="AC135" si="141">-AC32</f>
        <v>1400</v>
      </c>
      <c r="AD135" s="437"/>
      <c r="AE135" s="437"/>
      <c r="AF135" s="437"/>
      <c r="AG135" s="437"/>
    </row>
    <row r="136" spans="1:33" hidden="1" outlineLevel="1">
      <c r="A136" s="433" t="s">
        <v>52</v>
      </c>
      <c r="W136" s="433">
        <f t="shared" ref="W136:AB136" si="142">W38</f>
        <v>0.15502404454568464</v>
      </c>
      <c r="X136" s="433">
        <f t="shared" si="142"/>
        <v>0.14429468198507639</v>
      </c>
      <c r="Y136" s="433">
        <f t="shared" si="142"/>
        <v>0.18447767710948587</v>
      </c>
      <c r="Z136" s="433">
        <f t="shared" si="142"/>
        <v>0.18798364762603012</v>
      </c>
      <c r="AA136" s="433">
        <f t="shared" si="142"/>
        <v>0.17911775148136994</v>
      </c>
      <c r="AB136" s="433">
        <f t="shared" si="142"/>
        <v>0.185</v>
      </c>
      <c r="AC136" s="433">
        <f t="shared" ref="AC136" si="143">AC38</f>
        <v>0.21106160696235571</v>
      </c>
      <c r="AD136" s="433"/>
      <c r="AE136" s="433"/>
      <c r="AF136" s="433"/>
      <c r="AG136" s="433"/>
    </row>
    <row r="137" spans="1:33" hidden="1" outlineLevel="1">
      <c r="A137" s="433" t="s">
        <v>409</v>
      </c>
      <c r="W137" s="437">
        <f t="shared" ref="W137:AB137" si="144">(W134+W135)*(1-W136)</f>
        <v>3174.5746646418629</v>
      </c>
      <c r="X137" s="437">
        <f t="shared" si="144"/>
        <v>2923.0893663389793</v>
      </c>
      <c r="Y137" s="437">
        <f t="shared" si="144"/>
        <v>2372.3544372885058</v>
      </c>
      <c r="Z137" s="437">
        <f t="shared" si="144"/>
        <v>1925.9897222630045</v>
      </c>
      <c r="AA137" s="437">
        <f t="shared" si="144"/>
        <v>1588.4071508835491</v>
      </c>
      <c r="AB137" s="437">
        <f t="shared" si="144"/>
        <v>1670.75</v>
      </c>
      <c r="AC137" s="437">
        <f t="shared" ref="AC137" si="145">(AC134+AC135)*(1-AC136)</f>
        <v>1577.8767860752887</v>
      </c>
      <c r="AD137" s="437"/>
      <c r="AE137" s="437"/>
      <c r="AF137" s="437"/>
      <c r="AG137" s="437"/>
    </row>
    <row r="138" spans="1:33" hidden="1" outlineLevel="1">
      <c r="A138" s="261" t="s">
        <v>269</v>
      </c>
      <c r="W138" s="434">
        <f>Cash_Flow_Annual!W8</f>
        <v>-1414</v>
      </c>
      <c r="X138" s="434">
        <f>Cash_Flow_Annual!X8</f>
        <v>-1413</v>
      </c>
      <c r="Y138" s="434">
        <f>Cash_Flow_Annual!Y8</f>
        <v>-1555</v>
      </c>
      <c r="Z138" s="434">
        <f>Cash_Flow_Annual!Z8</f>
        <v>-1326</v>
      </c>
      <c r="AA138" s="434">
        <f>Cash_Flow_Annual!AA8</f>
        <v>-1011</v>
      </c>
      <c r="AB138" s="434">
        <f>Cash_Flow_Annual!AB8</f>
        <v>-1050</v>
      </c>
      <c r="AC138" s="434">
        <f>Cash_Flow_Annual!AG8</f>
        <v>0</v>
      </c>
      <c r="AD138" s="434"/>
      <c r="AE138" s="434"/>
      <c r="AF138" s="434"/>
      <c r="AG138" s="434"/>
    </row>
    <row r="139" spans="1:33" hidden="1" outlineLevel="1">
      <c r="A139" s="261" t="s">
        <v>272</v>
      </c>
      <c r="W139" s="434">
        <f>Cash_Flow_Annual!W18</f>
        <v>-59</v>
      </c>
      <c r="X139" s="434">
        <f>Cash_Flow_Annual!X18</f>
        <v>-94</v>
      </c>
      <c r="Y139" s="434">
        <f>Cash_Flow_Annual!Y18</f>
        <v>0</v>
      </c>
      <c r="Z139" s="434">
        <f>Cash_Flow_Annual!Z18</f>
        <v>0</v>
      </c>
      <c r="AA139" s="434">
        <f>Cash_Flow_Annual!AA18</f>
        <v>0</v>
      </c>
      <c r="AB139" s="434">
        <f>Cash_Flow_Annual!AB18</f>
        <v>0</v>
      </c>
      <c r="AC139" s="434">
        <f>Cash_Flow_Annual!AG18</f>
        <v>0</v>
      </c>
      <c r="AD139" s="434"/>
      <c r="AE139" s="434"/>
      <c r="AF139" s="434"/>
      <c r="AG139" s="434"/>
    </row>
    <row r="140" spans="1:33" hidden="1" outlineLevel="1">
      <c r="A140" s="261" t="s">
        <v>410</v>
      </c>
      <c r="W140" s="435">
        <f t="shared" ref="W140:AB140" si="146">W137+W138+W139</f>
        <v>1701.5746646418629</v>
      </c>
      <c r="X140" s="435">
        <f t="shared" si="146"/>
        <v>1416.0893663389793</v>
      </c>
      <c r="Y140" s="435">
        <f t="shared" si="146"/>
        <v>817.35443728850578</v>
      </c>
      <c r="Z140" s="435">
        <f t="shared" si="146"/>
        <v>599.98972226300452</v>
      </c>
      <c r="AA140" s="435">
        <f t="shared" si="146"/>
        <v>577.40715088354909</v>
      </c>
      <c r="AB140" s="435">
        <f t="shared" si="146"/>
        <v>620.75</v>
      </c>
      <c r="AC140" s="435">
        <f t="shared" ref="AC140" si="147">AC137+AC138+AC139</f>
        <v>1577.8767860752887</v>
      </c>
      <c r="AD140" s="435"/>
      <c r="AE140" s="435"/>
      <c r="AF140" s="435"/>
      <c r="AG140" s="435"/>
    </row>
    <row r="141" spans="1:33" hidden="1" outlineLevel="1">
      <c r="A141" s="261"/>
      <c r="W141" s="261"/>
      <c r="X141" s="261"/>
      <c r="Y141" s="261"/>
      <c r="Z141" s="261"/>
      <c r="AA141" s="261"/>
      <c r="AB141" s="261"/>
      <c r="AC141" s="261"/>
      <c r="AD141" s="261"/>
      <c r="AE141" s="261"/>
      <c r="AF141" s="261"/>
      <c r="AG141" s="261"/>
    </row>
    <row r="142" spans="1:33" hidden="1" outlineLevel="1">
      <c r="A142" s="261" t="s">
        <v>411</v>
      </c>
      <c r="W142" s="261">
        <v>1710</v>
      </c>
      <c r="X142" s="261">
        <v>1325</v>
      </c>
      <c r="Y142" s="261">
        <v>925</v>
      </c>
      <c r="Z142" s="261">
        <v>450</v>
      </c>
      <c r="AA142" s="261">
        <v>200</v>
      </c>
      <c r="AB142" s="261">
        <v>200</v>
      </c>
      <c r="AC142" s="261">
        <v>200</v>
      </c>
      <c r="AD142" s="261"/>
      <c r="AE142" s="261"/>
      <c r="AF142" s="261"/>
      <c r="AG142" s="261"/>
    </row>
    <row r="143" spans="1:33" hidden="1" outlineLevel="1">
      <c r="A143" s="428" t="s">
        <v>412</v>
      </c>
      <c r="W143" s="435">
        <f t="shared" ref="W143:AB143" si="148">W142-W140</f>
        <v>8.4253353581370902</v>
      </c>
      <c r="X143" s="435">
        <f t="shared" si="148"/>
        <v>-91.089366338979289</v>
      </c>
      <c r="Y143" s="435">
        <f t="shared" si="148"/>
        <v>107.64556271149422</v>
      </c>
      <c r="Z143" s="435">
        <f t="shared" si="148"/>
        <v>-149.98972226300452</v>
      </c>
      <c r="AA143" s="435">
        <f t="shared" si="148"/>
        <v>-377.40715088354909</v>
      </c>
      <c r="AB143" s="435">
        <f t="shared" si="148"/>
        <v>-420.75</v>
      </c>
      <c r="AC143" s="435">
        <f t="shared" ref="AC143" si="149">AC142-AC140</f>
        <v>-1377.8767860752887</v>
      </c>
      <c r="AD143" s="435"/>
      <c r="AE143" s="435"/>
      <c r="AF143" s="435"/>
      <c r="AG143" s="435"/>
    </row>
    <row r="144" spans="1:33" collapsed="1"/>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4" tint="0.39997558519241921"/>
  </sheetPr>
  <dimension ref="A1:CD123"/>
  <sheetViews>
    <sheetView showGridLines="0" zoomScale="115" zoomScaleNormal="115" workbookViewId="0">
      <pane xSplit="1" ySplit="2" topLeftCell="AY3" activePane="bottomRight" state="frozen"/>
      <selection activeCell="V84" sqref="V84"/>
      <selection pane="topRight" activeCell="V84" sqref="V84"/>
      <selection pane="bottomLeft" activeCell="V84" sqref="V84"/>
      <selection pane="bottomRight" activeCell="BJ2" sqref="BJ2"/>
    </sheetView>
  </sheetViews>
  <sheetFormatPr defaultRowHeight="15" outlineLevelRow="1" outlineLevelCol="1"/>
  <cols>
    <col min="1" max="1" width="52" customWidth="1"/>
    <col min="2" max="5" width="12.140625" style="25" hidden="1" customWidth="1" outlineLevel="1"/>
    <col min="6" max="6" width="12.140625" style="25" customWidth="1" collapsed="1"/>
    <col min="7" max="10" width="12.140625" style="25" hidden="1" customWidth="1" outlineLevel="1"/>
    <col min="11" max="11" width="12.140625" style="25" customWidth="1" collapsed="1"/>
    <col min="12" max="15" width="12.140625" style="25" hidden="1" customWidth="1" outlineLevel="1"/>
    <col min="16" max="16" width="12.140625" style="25" customWidth="1" collapsed="1"/>
    <col min="17" max="20" width="12.140625" style="25" hidden="1" customWidth="1" outlineLevel="1"/>
    <col min="21" max="21" width="12.140625" style="25" customWidth="1" collapsed="1"/>
    <col min="22" max="25" width="12.140625" style="25" customWidth="1" outlineLevel="1"/>
    <col min="26" max="26" width="12.140625" style="25" customWidth="1"/>
    <col min="27" max="30" width="12.140625" style="25" customWidth="1" outlineLevel="1"/>
    <col min="31" max="31" width="12.140625" style="25" customWidth="1"/>
    <col min="32" max="35" width="12.140625" style="25" customWidth="1" outlineLevel="1"/>
    <col min="36" max="36" width="12.140625" style="25" customWidth="1"/>
    <col min="37" max="40" width="12.140625" style="25" customWidth="1" outlineLevel="1"/>
    <col min="41" max="41" width="12.140625" style="25" customWidth="1"/>
    <col min="42" max="45" width="12.140625" style="25" customWidth="1" outlineLevel="1"/>
    <col min="46" max="46" width="12.140625" style="25" customWidth="1"/>
    <col min="47" max="50" width="12.140625" style="25" customWidth="1" outlineLevel="1"/>
    <col min="51" max="51" width="12.140625" style="25" customWidth="1"/>
    <col min="52" max="55" width="12.140625" style="25" customWidth="1" outlineLevel="1"/>
    <col min="56" max="56" width="12.140625" style="25" customWidth="1"/>
    <col min="57" max="60" width="12.140625" style="25" customWidth="1" outlineLevel="1"/>
    <col min="61" max="61" width="12.140625" style="25" customWidth="1"/>
    <col min="62" max="62" width="20.140625" style="315" customWidth="1"/>
    <col min="63" max="63" width="16" customWidth="1"/>
    <col min="64" max="64" width="13.140625" style="340" customWidth="1"/>
    <col min="65" max="65" width="12.140625" style="25" customWidth="1"/>
    <col min="66" max="68" width="9.140625" customWidth="1"/>
    <col min="69" max="69" width="45.28515625" customWidth="1" outlineLevel="1"/>
    <col min="70" max="74" width="9.140625" customWidth="1" outlineLevel="1"/>
  </cols>
  <sheetData>
    <row r="1" spans="1:82">
      <c r="A1" s="14" t="s">
        <v>19</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c r="BM1"/>
    </row>
    <row r="2" spans="1:82">
      <c r="B2" s="7" t="s">
        <v>185</v>
      </c>
      <c r="C2" s="7" t="s">
        <v>186</v>
      </c>
      <c r="D2" s="7" t="s">
        <v>187</v>
      </c>
      <c r="E2" s="7" t="s">
        <v>188</v>
      </c>
      <c r="F2" s="10" t="s">
        <v>189</v>
      </c>
      <c r="G2" s="7" t="s">
        <v>180</v>
      </c>
      <c r="H2" s="7" t="s">
        <v>181</v>
      </c>
      <c r="I2" s="7" t="s">
        <v>182</v>
      </c>
      <c r="J2" s="7" t="s">
        <v>183</v>
      </c>
      <c r="K2" s="10" t="s">
        <v>184</v>
      </c>
      <c r="L2" s="7" t="s">
        <v>175</v>
      </c>
      <c r="M2" s="7" t="s">
        <v>176</v>
      </c>
      <c r="N2" s="7" t="s">
        <v>177</v>
      </c>
      <c r="O2" s="7" t="s">
        <v>178</v>
      </c>
      <c r="P2" s="10" t="s">
        <v>179</v>
      </c>
      <c r="Q2" s="7" t="s">
        <v>170</v>
      </c>
      <c r="R2" s="7" t="s">
        <v>171</v>
      </c>
      <c r="S2" s="7" t="s">
        <v>172</v>
      </c>
      <c r="T2" s="7" t="s">
        <v>173</v>
      </c>
      <c r="U2" s="10" t="s">
        <v>174</v>
      </c>
      <c r="V2" s="7" t="s">
        <v>5</v>
      </c>
      <c r="W2" s="7" t="s">
        <v>6</v>
      </c>
      <c r="X2" s="7" t="s">
        <v>7</v>
      </c>
      <c r="Y2" s="7" t="s">
        <v>8</v>
      </c>
      <c r="Z2" s="10" t="s">
        <v>169</v>
      </c>
      <c r="AA2" s="7" t="s">
        <v>205</v>
      </c>
      <c r="AB2" s="7" t="s">
        <v>309</v>
      </c>
      <c r="AC2" s="7" t="s">
        <v>397</v>
      </c>
      <c r="AD2" s="7" t="s">
        <v>399</v>
      </c>
      <c r="AE2" s="10" t="s">
        <v>400</v>
      </c>
      <c r="AF2" s="7" t="s">
        <v>403</v>
      </c>
      <c r="AG2" s="7" t="s">
        <v>414</v>
      </c>
      <c r="AH2" s="7" t="s">
        <v>415</v>
      </c>
      <c r="AI2" s="7" t="s">
        <v>421</v>
      </c>
      <c r="AJ2" s="10" t="s">
        <v>422</v>
      </c>
      <c r="AK2" s="7" t="s">
        <v>429</v>
      </c>
      <c r="AL2" s="7" t="s">
        <v>432</v>
      </c>
      <c r="AM2" s="7" t="s">
        <v>433</v>
      </c>
      <c r="AN2" s="7" t="s">
        <v>436</v>
      </c>
      <c r="AO2" s="10" t="s">
        <v>437</v>
      </c>
      <c r="AP2" s="7" t="s">
        <v>439</v>
      </c>
      <c r="AQ2" s="7" t="s">
        <v>452</v>
      </c>
      <c r="AR2" s="7" t="s">
        <v>453</v>
      </c>
      <c r="AS2" s="7" t="s">
        <v>457</v>
      </c>
      <c r="AT2" s="10" t="s">
        <v>458</v>
      </c>
      <c r="AU2" s="7" t="s">
        <v>478</v>
      </c>
      <c r="AV2" s="7" t="s">
        <v>479</v>
      </c>
      <c r="AW2" s="7" t="s">
        <v>481</v>
      </c>
      <c r="AX2" s="7" t="s">
        <v>488</v>
      </c>
      <c r="AY2" s="10" t="s">
        <v>489</v>
      </c>
      <c r="AZ2" s="7" t="s">
        <v>490</v>
      </c>
      <c r="BA2" s="7" t="s">
        <v>492</v>
      </c>
      <c r="BB2" s="7" t="s">
        <v>493</v>
      </c>
      <c r="BC2" s="7" t="s">
        <v>509</v>
      </c>
      <c r="BD2" s="10" t="s">
        <v>508</v>
      </c>
      <c r="BE2" s="7" t="s">
        <v>515</v>
      </c>
      <c r="BF2" s="7" t="s">
        <v>516</v>
      </c>
      <c r="BG2" s="7" t="s">
        <v>505</v>
      </c>
      <c r="BH2" s="7" t="s">
        <v>504</v>
      </c>
      <c r="BI2" s="10" t="s">
        <v>419</v>
      </c>
      <c r="BJ2" s="314" t="s">
        <v>507</v>
      </c>
      <c r="BM2"/>
    </row>
    <row r="3" spans="1:82">
      <c r="A3" s="1" t="s">
        <v>294</v>
      </c>
      <c r="B3" s="37">
        <v>3548</v>
      </c>
      <c r="C3" s="37">
        <v>3632</v>
      </c>
      <c r="D3" s="37">
        <v>3457</v>
      </c>
      <c r="E3" s="37">
        <v>3667</v>
      </c>
      <c r="F3" s="38">
        <v>14304</v>
      </c>
      <c r="G3" s="37">
        <v>3505</v>
      </c>
      <c r="H3" s="37">
        <v>3716</v>
      </c>
      <c r="I3" s="37">
        <v>3646</v>
      </c>
      <c r="J3" s="37">
        <v>3598</v>
      </c>
      <c r="K3" s="38">
        <v>14465</v>
      </c>
      <c r="L3" s="37">
        <v>3611</v>
      </c>
      <c r="M3" s="37">
        <v>3640</v>
      </c>
      <c r="N3" s="37">
        <v>3637</v>
      </c>
      <c r="O3" s="37">
        <v>3803</v>
      </c>
      <c r="P3" s="38">
        <v>14691</v>
      </c>
      <c r="Q3" s="37">
        <v>3817</v>
      </c>
      <c r="R3" s="37">
        <v>3962</v>
      </c>
      <c r="S3" s="37">
        <v>3955</v>
      </c>
      <c r="T3" s="37">
        <v>4900</v>
      </c>
      <c r="U3" s="38">
        <v>16634</v>
      </c>
      <c r="V3" s="37">
        <v>6513</v>
      </c>
      <c r="W3" s="37">
        <v>6576</v>
      </c>
      <c r="X3" s="37">
        <v>6495</v>
      </c>
      <c r="Y3" s="37">
        <v>6444</v>
      </c>
      <c r="Z3" s="38">
        <v>26028</v>
      </c>
      <c r="AA3" s="37">
        <v>6460</v>
      </c>
      <c r="AB3" s="37">
        <v>4298</v>
      </c>
      <c r="AC3" s="37">
        <v>4278</v>
      </c>
      <c r="AD3" s="37">
        <v>4388</v>
      </c>
      <c r="AE3" s="38">
        <v>19424</v>
      </c>
      <c r="AF3" s="37">
        <v>4370</v>
      </c>
      <c r="AG3" s="37">
        <v>4545</v>
      </c>
      <c r="AH3" s="37">
        <v>4592</v>
      </c>
      <c r="AI3" s="37">
        <v>4942</v>
      </c>
      <c r="AJ3" s="38">
        <v>18449</v>
      </c>
      <c r="AK3" s="37">
        <v>4824</v>
      </c>
      <c r="AL3" s="37">
        <v>5011</v>
      </c>
      <c r="AM3" s="37">
        <v>5100</v>
      </c>
      <c r="AN3" s="37">
        <v>5662</v>
      </c>
      <c r="AO3" s="38">
        <v>20597</v>
      </c>
      <c r="AP3" s="37">
        <f>'Recast Collins Aerospace_Qtr'!AP16</f>
        <v>6120</v>
      </c>
      <c r="AQ3" s="37">
        <f>'Recast Collins Aerospace_Qtr'!AQ16</f>
        <v>6384</v>
      </c>
      <c r="AR3" s="37">
        <f>'Recast Collins Aerospace_Qtr'!AR16</f>
        <v>6686</v>
      </c>
      <c r="AS3" s="37">
        <f>'Recast Collins Aerospace_Qtr'!AS16</f>
        <v>7008</v>
      </c>
      <c r="AT3" s="38">
        <f>'Recast Collins Aerospace_Qtr'!AT16</f>
        <v>26198</v>
      </c>
      <c r="AU3" s="37">
        <f>'Recast Collins Aerospace_Qtr'!AU16</f>
        <v>6673</v>
      </c>
      <c r="AV3" s="37">
        <f>'Recast Collins Aerospace_Qtr'!AV16</f>
        <v>6999</v>
      </c>
      <c r="AW3" s="37">
        <f>'Recast Collins Aerospace_Qtr'!AW16</f>
        <v>7075</v>
      </c>
      <c r="AX3" s="37">
        <f>'Recast Collins Aerospace_Qtr'!AX16</f>
        <v>7537</v>
      </c>
      <c r="AY3" s="38">
        <f>'Recast Collins Aerospace_Qtr'!AY16</f>
        <v>28284</v>
      </c>
      <c r="AZ3" s="37">
        <f>'Recast Collins Aerospace_Qtr'!AZ16</f>
        <v>7217</v>
      </c>
      <c r="BA3" s="37">
        <f>'Recast Collins Aerospace_Qtr'!BA16</f>
        <v>7622</v>
      </c>
      <c r="BB3" s="37">
        <f>'Recast Collins Aerospace_Qtr'!BB16</f>
        <v>7621</v>
      </c>
      <c r="BC3" s="37">
        <f>'Recast Collins Aerospace_Qtr'!BC16</f>
        <v>7736</v>
      </c>
      <c r="BD3" s="38">
        <f>'Recast Collins Aerospace_Qtr'!BD16</f>
        <v>30196</v>
      </c>
      <c r="BE3" s="37">
        <f>'Recast Collins Aerospace_Qtr'!BE16</f>
        <v>7602</v>
      </c>
      <c r="BF3" s="37">
        <f>'Recast Collins Aerospace_Qtr'!BF16</f>
        <v>8210</v>
      </c>
      <c r="BG3" s="37">
        <f>'Recast Collins Aerospace_Qtr'!BG16</f>
        <v>8059.2075000000004</v>
      </c>
      <c r="BH3" s="37">
        <f>'Recast Collins Aerospace_Qtr'!BH16</f>
        <v>8287.5324999999975</v>
      </c>
      <c r="BI3" s="38">
        <f>'Recast Collins Aerospace_Qtr'!BI16</f>
        <v>32158.739999999998</v>
      </c>
      <c r="BJ3" s="454" t="str">
        <f>'Recast Collins Aerospace_Qtr'!BJ17</f>
        <v>MSD to HSD%</v>
      </c>
      <c r="BK3" s="493">
        <f>BI3/BD3-1</f>
        <v>6.4999999999999947E-2</v>
      </c>
      <c r="BL3" s="471"/>
      <c r="BM3" s="475"/>
      <c r="BX3" s="318"/>
      <c r="BY3" s="318"/>
      <c r="BZ3" s="318"/>
      <c r="CA3" s="318"/>
      <c r="CB3" s="318"/>
      <c r="CC3" s="318"/>
      <c r="CD3" s="318"/>
    </row>
    <row r="4" spans="1:82">
      <c r="A4" s="1" t="s">
        <v>295</v>
      </c>
      <c r="B4" s="37">
        <f>'Pratt &amp; Whitney_Qtr'!B30</f>
        <v>3332</v>
      </c>
      <c r="C4" s="37">
        <f>'Pratt &amp; Whitney_Qtr'!C30</f>
        <v>3677</v>
      </c>
      <c r="D4" s="37">
        <f>'Pratt &amp; Whitney_Qtr'!D30</f>
        <v>3234</v>
      </c>
      <c r="E4" s="37">
        <f>'Pratt &amp; Whitney_Qtr'!E30</f>
        <v>3981</v>
      </c>
      <c r="F4" s="38">
        <f>'Pratt &amp; Whitney_Qtr'!F30</f>
        <v>14224</v>
      </c>
      <c r="G4" s="37">
        <f>'Pratt &amp; Whitney_Qtr'!G30</f>
        <v>3588</v>
      </c>
      <c r="H4" s="37">
        <f>'Pratt &amp; Whitney_Qtr'!H30</f>
        <v>3813</v>
      </c>
      <c r="I4" s="37">
        <f>'Pratt &amp; Whitney_Qtr'!I30</f>
        <v>3685</v>
      </c>
      <c r="J4" s="37">
        <f>'Pratt &amp; Whitney_Qtr'!J30</f>
        <v>3992</v>
      </c>
      <c r="K4" s="38">
        <f>'Pratt &amp; Whitney_Qtr'!K30</f>
        <v>15078</v>
      </c>
      <c r="L4" s="37">
        <f>'Pratt &amp; Whitney_Qtr'!L30</f>
        <v>3758</v>
      </c>
      <c r="M4" s="37">
        <f>'Pratt &amp; Whitney_Qtr'!M30</f>
        <v>4070</v>
      </c>
      <c r="N4" s="37">
        <f>'Pratt &amp; Whitney_Qtr'!N30</f>
        <v>4256</v>
      </c>
      <c r="O4" s="37">
        <f>'Pratt &amp; Whitney_Qtr'!O30</f>
        <v>4461</v>
      </c>
      <c r="P4" s="38">
        <f>'Pratt &amp; Whitney_Qtr'!P30</f>
        <v>16545</v>
      </c>
      <c r="Q4" s="37">
        <f>'Pratt &amp; Whitney_Qtr'!Q30</f>
        <v>4329</v>
      </c>
      <c r="R4" s="37">
        <f>'Pratt &amp; Whitney_Qtr'!R30</f>
        <v>4736</v>
      </c>
      <c r="S4" s="37">
        <f>'Pratt &amp; Whitney_Qtr'!S30</f>
        <v>4789</v>
      </c>
      <c r="T4" s="37">
        <f>'Pratt &amp; Whitney_Qtr'!T30</f>
        <v>5543</v>
      </c>
      <c r="U4" s="38">
        <f>'Pratt &amp; Whitney_Qtr'!U30</f>
        <v>19397</v>
      </c>
      <c r="V4" s="37">
        <f>'Pratt &amp; Whitney_Qtr'!V30</f>
        <v>4818</v>
      </c>
      <c r="W4" s="37">
        <f>'Pratt &amp; Whitney_Qtr'!W30</f>
        <v>5154</v>
      </c>
      <c r="X4" s="37">
        <f>'Pratt &amp; Whitney_Qtr'!X30</f>
        <v>5285</v>
      </c>
      <c r="Y4" s="37">
        <f>'Pratt &amp; Whitney_Qtr'!Y30</f>
        <v>5645</v>
      </c>
      <c r="Z4" s="38">
        <f>'Pratt &amp; Whitney_Qtr'!Z30</f>
        <v>20902</v>
      </c>
      <c r="AA4" s="37">
        <f>'Pratt &amp; Whitney_Qtr'!AA30</f>
        <v>5331</v>
      </c>
      <c r="AB4" s="37">
        <f>'Pratt &amp; Whitney_Qtr'!AB30</f>
        <v>3607</v>
      </c>
      <c r="AC4" s="37">
        <f>'Pratt &amp; Whitney_Qtr'!AC30</f>
        <v>3790</v>
      </c>
      <c r="AD4" s="37">
        <f>'Pratt &amp; Whitney_Qtr'!AD30</f>
        <v>4496</v>
      </c>
      <c r="AE4" s="38">
        <f>'Pratt &amp; Whitney_Qtr'!AE30</f>
        <v>17224</v>
      </c>
      <c r="AF4" s="37">
        <f>'Pratt &amp; Whitney_Qtr'!AF30</f>
        <v>4030</v>
      </c>
      <c r="AG4" s="37">
        <f>'Pratt &amp; Whitney_Qtr'!AG30</f>
        <v>4280</v>
      </c>
      <c r="AH4" s="37">
        <f>'Pratt &amp; Whitney_Qtr'!AH30</f>
        <v>4725</v>
      </c>
      <c r="AI4" s="37">
        <f>'Pratt &amp; Whitney_Qtr'!AI30</f>
        <v>5115</v>
      </c>
      <c r="AJ4" s="38">
        <f>'Pratt &amp; Whitney_Qtr'!AJ30</f>
        <v>18150</v>
      </c>
      <c r="AK4" s="37">
        <f>'Pratt &amp; Whitney_Qtr'!AK30</f>
        <v>4529</v>
      </c>
      <c r="AL4" s="37">
        <f>'Pratt &amp; Whitney_Qtr'!AL30</f>
        <v>4969</v>
      </c>
      <c r="AM4" s="37">
        <f>'Pratt &amp; Whitney_Qtr'!AM30</f>
        <v>5380</v>
      </c>
      <c r="AN4" s="37">
        <f>'Pratt &amp; Whitney_Qtr'!AN30</f>
        <v>5652</v>
      </c>
      <c r="AO4" s="38">
        <f>'Pratt &amp; Whitney_Qtr'!AO30</f>
        <v>20530</v>
      </c>
      <c r="AP4" s="37">
        <f>'Pratt &amp; Whitney_Qtr'!AP30</f>
        <v>5230</v>
      </c>
      <c r="AQ4" s="37">
        <f>'Pratt &amp; Whitney_Qtr'!AQ30</f>
        <v>5701</v>
      </c>
      <c r="AR4" s="37">
        <f>'Pratt &amp; Whitney_Qtr'!AR30</f>
        <v>6327</v>
      </c>
      <c r="AS4" s="37">
        <f>'Pratt &amp; Whitney_Qtr'!AS30</f>
        <v>6439</v>
      </c>
      <c r="AT4" s="38">
        <f>'Pratt &amp; Whitney_Qtr'!AT30</f>
        <v>23697</v>
      </c>
      <c r="AU4" s="37">
        <f>'Pratt &amp; Whitney_Qtr'!AU30</f>
        <v>6456</v>
      </c>
      <c r="AV4" s="37">
        <f>'Pratt &amp; Whitney_Qtr'!AV30</f>
        <v>6802</v>
      </c>
      <c r="AW4" s="37">
        <f>'Pratt &amp; Whitney_Qtr'!AW30</f>
        <v>7239</v>
      </c>
      <c r="AX4" s="37">
        <f>'Pratt &amp; Whitney_Qtr'!AX30</f>
        <v>7569</v>
      </c>
      <c r="AY4" s="38">
        <f>'Pratt &amp; Whitney_Qtr'!AY30</f>
        <v>28066</v>
      </c>
      <c r="AZ4" s="37">
        <f>'Pratt &amp; Whitney_Qtr'!AZ30</f>
        <v>7366</v>
      </c>
      <c r="BA4" s="37">
        <f>'Pratt &amp; Whitney_Qtr'!BA30</f>
        <v>7631</v>
      </c>
      <c r="BB4" s="37">
        <f>'Pratt &amp; Whitney_Qtr'!BB30</f>
        <v>8423</v>
      </c>
      <c r="BC4" s="37">
        <f>'Pratt &amp; Whitney_Qtr'!BC30</f>
        <v>9496</v>
      </c>
      <c r="BD4" s="38">
        <f>'Pratt &amp; Whitney_Qtr'!BD30</f>
        <v>32916</v>
      </c>
      <c r="BE4" s="37">
        <f>'Pratt &amp; Whitney_Qtr'!BE30</f>
        <v>8173</v>
      </c>
      <c r="BF4" s="37">
        <f>'Pratt &amp; Whitney_Qtr'!BF30</f>
        <v>8881</v>
      </c>
      <c r="BG4" s="37">
        <f>'Pratt &amp; Whitney_Qtr'!BG30</f>
        <v>9093.36</v>
      </c>
      <c r="BH4" s="37">
        <f>'Pratt &amp; Whitney_Qtr'!BH30</f>
        <v>9500.3520000000008</v>
      </c>
      <c r="BI4" s="38">
        <f>'Pratt &amp; Whitney_Qtr'!BI30</f>
        <v>35647.712</v>
      </c>
      <c r="BJ4" s="454" t="str">
        <f>'Pratt &amp; Whitney_Qtr'!BJ31</f>
        <v>HSD%</v>
      </c>
      <c r="BK4" s="493">
        <f>BI4/BD4-1</f>
        <v>8.2990399805565662E-2</v>
      </c>
      <c r="BL4" s="471"/>
      <c r="BM4" s="475"/>
      <c r="BX4" s="318"/>
      <c r="BY4" s="318"/>
      <c r="BZ4" s="318"/>
      <c r="CA4" s="318"/>
      <c r="CB4" s="318"/>
      <c r="CC4" s="318"/>
      <c r="CD4" s="318"/>
    </row>
    <row r="5" spans="1:82">
      <c r="A5" s="1" t="s">
        <v>296</v>
      </c>
      <c r="B5" s="37">
        <v>2819</v>
      </c>
      <c r="C5" s="37">
        <v>3010</v>
      </c>
      <c r="D5" s="37">
        <v>2965</v>
      </c>
      <c r="E5" s="37">
        <v>3113</v>
      </c>
      <c r="F5" s="38">
        <v>11907</v>
      </c>
      <c r="G5" s="37">
        <v>2977</v>
      </c>
      <c r="H5" s="37">
        <v>3134</v>
      </c>
      <c r="I5" s="37">
        <v>3124</v>
      </c>
      <c r="J5" s="37">
        <v>3116</v>
      </c>
      <c r="K5" s="38">
        <v>12351</v>
      </c>
      <c r="L5" s="37">
        <v>3062</v>
      </c>
      <c r="M5" s="37">
        <v>3163</v>
      </c>
      <c r="N5" s="37">
        <v>3140</v>
      </c>
      <c r="O5" s="37">
        <v>3242</v>
      </c>
      <c r="P5" s="38">
        <v>12607</v>
      </c>
      <c r="Q5" s="37">
        <v>3150</v>
      </c>
      <c r="R5" s="37">
        <v>3292</v>
      </c>
      <c r="S5" s="37">
        <v>3437</v>
      </c>
      <c r="T5" s="37">
        <v>3591</v>
      </c>
      <c r="U5" s="38">
        <v>13470</v>
      </c>
      <c r="V5" s="37">
        <v>3397</v>
      </c>
      <c r="W5" s="37">
        <v>3557</v>
      </c>
      <c r="X5" s="37">
        <v>3761</v>
      </c>
      <c r="Y5" s="37">
        <v>3730</v>
      </c>
      <c r="Z5" s="38">
        <v>14445</v>
      </c>
      <c r="AA5" s="37">
        <v>3676</v>
      </c>
      <c r="AB5" s="37">
        <v>3601</v>
      </c>
      <c r="AC5" s="37">
        <v>3749</v>
      </c>
      <c r="AD5" s="37">
        <v>3933</v>
      </c>
      <c r="AE5" s="38">
        <v>14959</v>
      </c>
      <c r="AF5" s="37">
        <v>3765</v>
      </c>
      <c r="AG5" s="37">
        <v>3805</v>
      </c>
      <c r="AH5" s="37">
        <v>3740</v>
      </c>
      <c r="AI5" s="37">
        <v>3870</v>
      </c>
      <c r="AJ5" s="38">
        <v>15180</v>
      </c>
      <c r="AK5" s="37">
        <v>3572</v>
      </c>
      <c r="AL5" s="37">
        <v>3570</v>
      </c>
      <c r="AM5" s="37">
        <v>3626</v>
      </c>
      <c r="AN5" s="37">
        <v>3544</v>
      </c>
      <c r="AO5" s="38">
        <v>14312</v>
      </c>
      <c r="AP5" s="37"/>
      <c r="AQ5" s="37"/>
      <c r="AR5" s="37"/>
      <c r="AS5" s="37"/>
      <c r="AT5" s="38"/>
      <c r="AU5" s="37"/>
      <c r="AV5" s="37"/>
      <c r="AW5" s="37"/>
      <c r="AX5" s="37"/>
      <c r="AY5" s="38"/>
      <c r="AZ5" s="37"/>
      <c r="BA5" s="37"/>
      <c r="BB5" s="37"/>
      <c r="BC5" s="37"/>
      <c r="BD5" s="38"/>
      <c r="BE5" s="37"/>
      <c r="BF5" s="37"/>
      <c r="BG5" s="37"/>
      <c r="BH5" s="37"/>
      <c r="BI5" s="38"/>
      <c r="BJ5" s="454"/>
      <c r="BK5" s="335"/>
      <c r="BL5" s="419"/>
      <c r="BM5"/>
      <c r="BX5" s="318"/>
      <c r="BY5" s="318"/>
      <c r="BZ5" s="318"/>
      <c r="CA5" s="318"/>
      <c r="CB5" s="318"/>
      <c r="CC5" s="318"/>
      <c r="CD5" s="318"/>
    </row>
    <row r="6" spans="1:82">
      <c r="A6" s="1" t="s">
        <v>297</v>
      </c>
      <c r="B6" s="37">
        <v>2780</v>
      </c>
      <c r="C6" s="37">
        <v>3124</v>
      </c>
      <c r="D6" s="37">
        <v>3062</v>
      </c>
      <c r="E6" s="37">
        <v>3437</v>
      </c>
      <c r="F6" s="38">
        <v>12403</v>
      </c>
      <c r="G6" s="37">
        <v>3059</v>
      </c>
      <c r="H6" s="37">
        <v>3105</v>
      </c>
      <c r="I6" s="37">
        <v>3104</v>
      </c>
      <c r="J6" s="37">
        <v>3357</v>
      </c>
      <c r="K6" s="38">
        <v>12625</v>
      </c>
      <c r="L6" s="37">
        <v>3154</v>
      </c>
      <c r="M6" s="37">
        <v>3363</v>
      </c>
      <c r="N6" s="37">
        <v>3336</v>
      </c>
      <c r="O6" s="37">
        <v>3738</v>
      </c>
      <c r="P6" s="38">
        <v>13591</v>
      </c>
      <c r="Q6" s="37">
        <v>3337</v>
      </c>
      <c r="R6" s="37">
        <v>3565</v>
      </c>
      <c r="S6" s="37">
        <v>3575</v>
      </c>
      <c r="T6" s="37">
        <v>4001</v>
      </c>
      <c r="U6" s="38">
        <v>14478</v>
      </c>
      <c r="V6" s="37">
        <v>3519</v>
      </c>
      <c r="W6" s="37">
        <v>3804</v>
      </c>
      <c r="X6" s="37">
        <v>3882</v>
      </c>
      <c r="Y6" s="37">
        <v>4289</v>
      </c>
      <c r="Z6" s="38">
        <v>15494</v>
      </c>
      <c r="AA6" s="37">
        <v>3693</v>
      </c>
      <c r="AB6" s="37">
        <v>3658</v>
      </c>
      <c r="AC6" s="37">
        <v>3706</v>
      </c>
      <c r="AD6" s="37">
        <v>4303</v>
      </c>
      <c r="AE6" s="38">
        <v>15360</v>
      </c>
      <c r="AF6" s="37">
        <v>3793</v>
      </c>
      <c r="AG6" s="37">
        <v>3985</v>
      </c>
      <c r="AH6" s="37">
        <v>3902</v>
      </c>
      <c r="AI6" s="37">
        <v>3859</v>
      </c>
      <c r="AJ6" s="38">
        <v>15539</v>
      </c>
      <c r="AK6" s="37">
        <v>3527</v>
      </c>
      <c r="AL6" s="37">
        <v>3558</v>
      </c>
      <c r="AM6" s="37">
        <v>3678</v>
      </c>
      <c r="AN6" s="37">
        <v>4100</v>
      </c>
      <c r="AO6" s="38">
        <v>14863</v>
      </c>
      <c r="AP6" s="37"/>
      <c r="AQ6" s="37"/>
      <c r="AR6" s="37"/>
      <c r="AS6" s="37"/>
      <c r="AT6" s="38"/>
      <c r="AU6" s="37"/>
      <c r="AV6" s="37"/>
      <c r="AW6" s="37"/>
      <c r="AX6" s="37"/>
      <c r="AY6" s="38"/>
      <c r="AZ6" s="37"/>
      <c r="BA6" s="37"/>
      <c r="BB6" s="37"/>
      <c r="BC6" s="37"/>
      <c r="BD6" s="38"/>
      <c r="BE6" s="37"/>
      <c r="BF6" s="37"/>
      <c r="BG6" s="37"/>
      <c r="BH6" s="37"/>
      <c r="BI6" s="38"/>
      <c r="BJ6" s="543"/>
      <c r="BK6" s="335"/>
      <c r="BL6" s="419"/>
      <c r="BM6"/>
      <c r="BX6" s="318"/>
      <c r="BY6" s="318"/>
      <c r="BZ6" s="318"/>
      <c r="CA6" s="318"/>
      <c r="CB6" s="318"/>
      <c r="CC6" s="318"/>
      <c r="CD6" s="318"/>
    </row>
    <row r="7" spans="1:82">
      <c r="A7" s="1" t="s">
        <v>451</v>
      </c>
      <c r="B7" s="37"/>
      <c r="C7" s="37"/>
      <c r="D7" s="37"/>
      <c r="E7" s="37"/>
      <c r="F7" s="38"/>
      <c r="G7" s="37"/>
      <c r="H7" s="37"/>
      <c r="I7" s="37"/>
      <c r="J7" s="37"/>
      <c r="K7" s="38"/>
      <c r="L7" s="37"/>
      <c r="M7" s="37"/>
      <c r="N7" s="37"/>
      <c r="O7" s="37"/>
      <c r="P7" s="38"/>
      <c r="Q7" s="37"/>
      <c r="R7" s="37"/>
      <c r="S7" s="37"/>
      <c r="T7" s="37"/>
      <c r="U7" s="38"/>
      <c r="V7" s="37"/>
      <c r="W7" s="37"/>
      <c r="X7" s="37"/>
      <c r="Y7" s="37"/>
      <c r="Z7" s="38"/>
      <c r="AA7" s="37"/>
      <c r="AB7" s="37"/>
      <c r="AC7" s="37"/>
      <c r="AD7" s="37"/>
      <c r="AE7" s="38"/>
      <c r="AF7" s="37"/>
      <c r="AG7" s="37"/>
      <c r="AH7" s="37"/>
      <c r="AI7" s="37"/>
      <c r="AJ7" s="38"/>
      <c r="AK7" s="37"/>
      <c r="AL7" s="37"/>
      <c r="AM7" s="37"/>
      <c r="AN7" s="37"/>
      <c r="AO7" s="38"/>
      <c r="AP7" s="37">
        <f>'Recast Raytheon_Qtr'!AP15</f>
        <v>6292</v>
      </c>
      <c r="AQ7" s="37">
        <f>'Recast Raytheon_Qtr'!AQ15</f>
        <v>6700</v>
      </c>
      <c r="AR7" s="37">
        <f>'Recast Raytheon_Qtr'!AR15</f>
        <v>6472</v>
      </c>
      <c r="AS7" s="37">
        <f>'Recast Raytheon_Qtr'!AS15</f>
        <v>6886</v>
      </c>
      <c r="AT7" s="38">
        <f>'Recast Raytheon_Qtr'!AT15</f>
        <v>26350</v>
      </c>
      <c r="AU7" s="37">
        <f>'Recast Raytheon_Qtr'!AU15</f>
        <v>6659</v>
      </c>
      <c r="AV7" s="37">
        <f>'Recast Raytheon_Qtr'!AV15</f>
        <v>6581</v>
      </c>
      <c r="AW7" s="37">
        <f>'Recast Raytheon_Qtr'!AW15</f>
        <v>6386</v>
      </c>
      <c r="AX7" s="37">
        <f>'Recast Raytheon_Qtr'!AX15</f>
        <v>7157</v>
      </c>
      <c r="AY7" s="38">
        <f>'Recast Raytheon_Qtr'!AY15</f>
        <v>26783</v>
      </c>
      <c r="AZ7" s="37">
        <f>'Recast Raytheon_Qtr'!AZ15</f>
        <v>6340</v>
      </c>
      <c r="BA7" s="37">
        <f>'Recast Raytheon_Qtr'!BA15</f>
        <v>7001</v>
      </c>
      <c r="BB7" s="37">
        <f>'Recast Raytheon_Qtr'!BB15</f>
        <v>7045</v>
      </c>
      <c r="BC7" s="37">
        <f>'Recast Raytheon_Qtr'!BC15</f>
        <v>7657</v>
      </c>
      <c r="BD7" s="38">
        <f>'Recast Raytheon_Qtr'!BD15</f>
        <v>28043</v>
      </c>
      <c r="BE7" s="37">
        <f>'Recast Raytheon_Qtr'!BE15</f>
        <v>6945</v>
      </c>
      <c r="BF7" s="37">
        <f>'Recast Raytheon_Qtr'!BF15</f>
        <v>8269</v>
      </c>
      <c r="BG7" s="37">
        <f>'Recast Raytheon_Qtr'!BG15</f>
        <v>7520.5374999999995</v>
      </c>
      <c r="BH7" s="37">
        <f>'Recast Raytheon_Qtr'!BH15</f>
        <v>8252.9775000000009</v>
      </c>
      <c r="BI7" s="38">
        <f>'Recast Raytheon_Qtr'!BI15</f>
        <v>30987.514999999999</v>
      </c>
      <c r="BJ7" s="543" t="str">
        <f>'Recast Raytheon_Qtr'!BJ16</f>
        <v>HSD to LDD</v>
      </c>
      <c r="BK7" s="493">
        <f>BI7/BD7-1</f>
        <v>0.10499999999999998</v>
      </c>
      <c r="BL7" s="471"/>
      <c r="BM7"/>
      <c r="BX7" s="318"/>
      <c r="BY7" s="318"/>
      <c r="BZ7" s="318"/>
      <c r="CA7" s="318"/>
      <c r="CB7" s="318"/>
      <c r="CC7" s="318"/>
      <c r="CD7" s="318"/>
    </row>
    <row r="8" spans="1:82">
      <c r="A8" s="1" t="s">
        <v>298</v>
      </c>
      <c r="B8" s="41" t="s">
        <v>371</v>
      </c>
      <c r="C8" s="41" t="s">
        <v>371</v>
      </c>
      <c r="D8" s="41" t="s">
        <v>371</v>
      </c>
      <c r="E8" s="41" t="s">
        <v>371</v>
      </c>
      <c r="F8" s="43" t="s">
        <v>371</v>
      </c>
      <c r="G8" s="41" t="s">
        <v>371</v>
      </c>
      <c r="H8" s="41" t="s">
        <v>371</v>
      </c>
      <c r="I8" s="41" t="s">
        <v>371</v>
      </c>
      <c r="J8" s="41" t="s">
        <v>371</v>
      </c>
      <c r="K8" s="43" t="s">
        <v>371</v>
      </c>
      <c r="L8" s="41" t="s">
        <v>371</v>
      </c>
      <c r="M8" s="41" t="s">
        <v>371</v>
      </c>
      <c r="N8" s="41" t="s">
        <v>371</v>
      </c>
      <c r="O8" s="41" t="s">
        <v>371</v>
      </c>
      <c r="P8" s="43" t="s">
        <v>371</v>
      </c>
      <c r="Q8" s="41" t="s">
        <v>371</v>
      </c>
      <c r="R8" s="41" t="s">
        <v>371</v>
      </c>
      <c r="S8" s="41" t="s">
        <v>371</v>
      </c>
      <c r="T8" s="41" t="s">
        <v>371</v>
      </c>
      <c r="U8" s="43" t="s">
        <v>371</v>
      </c>
      <c r="V8" s="41">
        <v>-625</v>
      </c>
      <c r="W8" s="41">
        <v>-675</v>
      </c>
      <c r="X8" s="41">
        <v>-671</v>
      </c>
      <c r="Y8" s="21">
        <f>Z8-SUM(V8,W8,X8)</f>
        <v>-661</v>
      </c>
      <c r="Z8" s="43">
        <v>-2632</v>
      </c>
      <c r="AA8" s="41">
        <f>-431-326</f>
        <v>-757</v>
      </c>
      <c r="AB8" s="41">
        <v>-532</v>
      </c>
      <c r="AC8" s="41">
        <f>-489+13</f>
        <v>-476</v>
      </c>
      <c r="AD8" s="41">
        <f>-549+12</f>
        <v>-537</v>
      </c>
      <c r="AE8" s="22">
        <f>SUM(AA8:AD8)</f>
        <v>-2302</v>
      </c>
      <c r="AF8" s="41">
        <v>-707</v>
      </c>
      <c r="AG8" s="41">
        <v>-735</v>
      </c>
      <c r="AH8" s="41">
        <v>-746</v>
      </c>
      <c r="AI8" s="41">
        <v>-742</v>
      </c>
      <c r="AJ8" s="22">
        <f>SUM(AF8:AI8)</f>
        <v>-2930</v>
      </c>
      <c r="AK8" s="41">
        <v>-736</v>
      </c>
      <c r="AL8" s="41">
        <v>-794</v>
      </c>
      <c r="AM8" s="41">
        <v>-833</v>
      </c>
      <c r="AN8" s="21">
        <f>AO8-SUM(AK8:AM8)</f>
        <v>-865</v>
      </c>
      <c r="AO8" s="43">
        <v>-3228</v>
      </c>
      <c r="AP8" s="41">
        <v>-428</v>
      </c>
      <c r="AQ8" s="41">
        <v>-470</v>
      </c>
      <c r="AR8" s="41">
        <v>-533</v>
      </c>
      <c r="AS8" s="21">
        <f>AT8-SUM(AP8:AR8)</f>
        <v>-509</v>
      </c>
      <c r="AT8" s="43">
        <v>-1940</v>
      </c>
      <c r="AU8" s="41">
        <v>-483</v>
      </c>
      <c r="AV8" s="41">
        <v>-591</v>
      </c>
      <c r="AW8" s="41">
        <v>-611</v>
      </c>
      <c r="AX8" s="21">
        <f>AY8-SUM(AU8:AW8)</f>
        <v>-640</v>
      </c>
      <c r="AY8" s="43">
        <v>-2325</v>
      </c>
      <c r="AZ8" s="41">
        <v>-617</v>
      </c>
      <c r="BA8" s="41">
        <v>-673</v>
      </c>
      <c r="BB8" s="41">
        <v>-611</v>
      </c>
      <c r="BC8" s="21">
        <f>BD8-SUM(AZ8:BB8)</f>
        <v>-651</v>
      </c>
      <c r="BD8" s="43">
        <v>-2552</v>
      </c>
      <c r="BE8" s="41">
        <v>-644</v>
      </c>
      <c r="BF8" s="41">
        <v>-660</v>
      </c>
      <c r="BG8" s="41">
        <f t="shared" ref="BG8" si="0">$BI8/4</f>
        <v>-700</v>
      </c>
      <c r="BH8" s="21">
        <f>BI8-SUM(BE8:BG8)</f>
        <v>-796</v>
      </c>
      <c r="BI8" s="158">
        <v>-2800</v>
      </c>
      <c r="BJ8" s="542"/>
      <c r="BK8" s="112"/>
      <c r="BM8"/>
      <c r="BX8" s="318"/>
      <c r="BY8" s="318"/>
      <c r="BZ8" s="318"/>
      <c r="CA8" s="318"/>
      <c r="CB8" s="318"/>
      <c r="CC8" s="318"/>
      <c r="CD8" s="318"/>
    </row>
    <row r="9" spans="1:82">
      <c r="A9" s="8" t="s">
        <v>14</v>
      </c>
      <c r="B9" s="23">
        <f t="shared" ref="B9:AO9" si="1">SUM(B3:B8)</f>
        <v>12479</v>
      </c>
      <c r="C9" s="23">
        <f t="shared" si="1"/>
        <v>13443</v>
      </c>
      <c r="D9" s="23">
        <f t="shared" si="1"/>
        <v>12718</v>
      </c>
      <c r="E9" s="23">
        <f t="shared" si="1"/>
        <v>14198</v>
      </c>
      <c r="F9" s="24">
        <f t="shared" si="1"/>
        <v>52838</v>
      </c>
      <c r="G9" s="23">
        <f t="shared" si="1"/>
        <v>13129</v>
      </c>
      <c r="H9" s="23">
        <f t="shared" si="1"/>
        <v>13768</v>
      </c>
      <c r="I9" s="23">
        <f t="shared" si="1"/>
        <v>13559</v>
      </c>
      <c r="J9" s="23">
        <f t="shared" si="1"/>
        <v>14063</v>
      </c>
      <c r="K9" s="24">
        <f t="shared" si="1"/>
        <v>54519</v>
      </c>
      <c r="L9" s="23">
        <f t="shared" si="1"/>
        <v>13585</v>
      </c>
      <c r="M9" s="23">
        <f t="shared" si="1"/>
        <v>14236</v>
      </c>
      <c r="N9" s="23">
        <f t="shared" si="1"/>
        <v>14369</v>
      </c>
      <c r="O9" s="23">
        <f t="shared" si="1"/>
        <v>15244</v>
      </c>
      <c r="P9" s="24">
        <f t="shared" si="1"/>
        <v>57434</v>
      </c>
      <c r="Q9" s="23">
        <f t="shared" si="1"/>
        <v>14633</v>
      </c>
      <c r="R9" s="23">
        <f t="shared" si="1"/>
        <v>15555</v>
      </c>
      <c r="S9" s="23">
        <f t="shared" si="1"/>
        <v>15756</v>
      </c>
      <c r="T9" s="23">
        <f t="shared" si="1"/>
        <v>18035</v>
      </c>
      <c r="U9" s="24">
        <f t="shared" si="1"/>
        <v>63979</v>
      </c>
      <c r="V9" s="23">
        <f t="shared" si="1"/>
        <v>17622</v>
      </c>
      <c r="W9" s="23">
        <f t="shared" si="1"/>
        <v>18416</v>
      </c>
      <c r="X9" s="23">
        <f t="shared" si="1"/>
        <v>18752</v>
      </c>
      <c r="Y9" s="23">
        <f t="shared" si="1"/>
        <v>19447</v>
      </c>
      <c r="Z9" s="24">
        <f t="shared" si="1"/>
        <v>74237</v>
      </c>
      <c r="AA9" s="23">
        <f t="shared" si="1"/>
        <v>18403</v>
      </c>
      <c r="AB9" s="23">
        <f t="shared" si="1"/>
        <v>14632</v>
      </c>
      <c r="AC9" s="23">
        <f t="shared" si="1"/>
        <v>15047</v>
      </c>
      <c r="AD9" s="23">
        <f t="shared" si="1"/>
        <v>16583</v>
      </c>
      <c r="AE9" s="24">
        <f t="shared" si="1"/>
        <v>64665</v>
      </c>
      <c r="AF9" s="23">
        <f t="shared" si="1"/>
        <v>15251</v>
      </c>
      <c r="AG9" s="23">
        <f t="shared" si="1"/>
        <v>15880</v>
      </c>
      <c r="AH9" s="23">
        <f t="shared" ref="AH9" si="2">SUM(AH3:AH8)</f>
        <v>16213</v>
      </c>
      <c r="AI9" s="23">
        <f t="shared" si="1"/>
        <v>17044</v>
      </c>
      <c r="AJ9" s="24">
        <f t="shared" si="1"/>
        <v>64388</v>
      </c>
      <c r="AK9" s="23">
        <f t="shared" si="1"/>
        <v>15716</v>
      </c>
      <c r="AL9" s="23">
        <f t="shared" ref="AL9" si="3">SUM(AL3:AL8)</f>
        <v>16314</v>
      </c>
      <c r="AM9" s="23">
        <f t="shared" si="1"/>
        <v>16951</v>
      </c>
      <c r="AN9" s="23">
        <f t="shared" si="1"/>
        <v>18093</v>
      </c>
      <c r="AO9" s="24">
        <f t="shared" si="1"/>
        <v>67074</v>
      </c>
      <c r="AP9" s="23">
        <f t="shared" ref="AP9:AR9" si="4">SUM(AP3:AP8)</f>
        <v>17214</v>
      </c>
      <c r="AQ9" s="23">
        <f t="shared" si="4"/>
        <v>18315</v>
      </c>
      <c r="AR9" s="23">
        <f t="shared" si="4"/>
        <v>18952</v>
      </c>
      <c r="AS9" s="23">
        <f t="shared" ref="AS9:AV9" si="5">SUM(AS3:AS8)</f>
        <v>19824</v>
      </c>
      <c r="AT9" s="24">
        <f t="shared" si="5"/>
        <v>74305</v>
      </c>
      <c r="AU9" s="23">
        <f t="shared" si="5"/>
        <v>19305</v>
      </c>
      <c r="AV9" s="23">
        <f t="shared" si="5"/>
        <v>19791</v>
      </c>
      <c r="AW9" s="23">
        <f t="shared" ref="AW9:BA9" si="6">SUM(AW3:AW8)</f>
        <v>20089</v>
      </c>
      <c r="AX9" s="23">
        <f t="shared" si="6"/>
        <v>21623</v>
      </c>
      <c r="AY9" s="24">
        <f t="shared" si="6"/>
        <v>80808</v>
      </c>
      <c r="AZ9" s="23">
        <f t="shared" si="6"/>
        <v>20306</v>
      </c>
      <c r="BA9" s="23">
        <f t="shared" si="6"/>
        <v>21581</v>
      </c>
      <c r="BB9" s="23">
        <f t="shared" ref="BB9:BE9" si="7">SUM(BB3:BB8)</f>
        <v>22478</v>
      </c>
      <c r="BC9" s="23">
        <f t="shared" si="7"/>
        <v>24238</v>
      </c>
      <c r="BD9" s="24">
        <f t="shared" si="7"/>
        <v>88603</v>
      </c>
      <c r="BE9" s="23">
        <f t="shared" si="7"/>
        <v>22076</v>
      </c>
      <c r="BF9" s="23">
        <f t="shared" ref="BF9:BG9" si="8">SUM(BF3:BF8)</f>
        <v>24700</v>
      </c>
      <c r="BG9" s="23">
        <f t="shared" si="8"/>
        <v>23973.105</v>
      </c>
      <c r="BH9" s="23">
        <f t="shared" ref="BH9" si="9">SUM(BH3:BH8)</f>
        <v>25244.862000000001</v>
      </c>
      <c r="BI9" s="24">
        <f>SUM(BI3:BI8)</f>
        <v>95993.96699999999</v>
      </c>
      <c r="BJ9" s="544" t="s">
        <v>522</v>
      </c>
      <c r="BK9" s="112"/>
      <c r="BM9"/>
    </row>
    <row r="10" spans="1:82">
      <c r="A10" s="1" t="s">
        <v>4</v>
      </c>
      <c r="B10" s="34"/>
      <c r="C10" s="35"/>
      <c r="D10" s="35"/>
      <c r="E10" s="35"/>
      <c r="F10" s="36">
        <f>F9/ProForma_IS_Annual!P9-1</f>
        <v>-4.5216473868646689E-3</v>
      </c>
      <c r="G10" s="34">
        <f t="shared" ref="G10:Z10" si="10">G9/B9-1</f>
        <v>5.2087507011779888E-2</v>
      </c>
      <c r="H10" s="35">
        <f t="shared" si="10"/>
        <v>2.417615115673577E-2</v>
      </c>
      <c r="I10" s="35">
        <f t="shared" si="10"/>
        <v>6.6126749488913283E-2</v>
      </c>
      <c r="J10" s="35">
        <f t="shared" si="10"/>
        <v>-9.5083814621778062E-3</v>
      </c>
      <c r="K10" s="36">
        <f t="shared" si="10"/>
        <v>3.1814224611075304E-2</v>
      </c>
      <c r="L10" s="34">
        <f t="shared" si="10"/>
        <v>3.4732272069464498E-2</v>
      </c>
      <c r="M10" s="35">
        <f t="shared" si="10"/>
        <v>3.3991865194654247E-2</v>
      </c>
      <c r="N10" s="35">
        <f t="shared" si="10"/>
        <v>5.9738918799321583E-2</v>
      </c>
      <c r="O10" s="35">
        <f t="shared" si="10"/>
        <v>8.3979236293820758E-2</v>
      </c>
      <c r="P10" s="36">
        <f t="shared" si="10"/>
        <v>5.3467598451915954E-2</v>
      </c>
      <c r="Q10" s="34">
        <f t="shared" si="10"/>
        <v>7.7143908722856036E-2</v>
      </c>
      <c r="R10" s="35">
        <f t="shared" si="10"/>
        <v>9.2652430457993873E-2</v>
      </c>
      <c r="S10" s="35">
        <f t="shared" si="10"/>
        <v>9.6527246154916924E-2</v>
      </c>
      <c r="T10" s="35">
        <f t="shared" si="10"/>
        <v>0.18308842823405924</v>
      </c>
      <c r="U10" s="36">
        <f t="shared" si="10"/>
        <v>0.11395688964724737</v>
      </c>
      <c r="V10" s="34">
        <f t="shared" si="10"/>
        <v>0.20426433403949984</v>
      </c>
      <c r="W10" s="35">
        <f t="shared" si="10"/>
        <v>0.18392799742847954</v>
      </c>
      <c r="X10" s="35">
        <f t="shared" si="10"/>
        <v>0.19014978420919015</v>
      </c>
      <c r="Y10" s="35">
        <f t="shared" si="10"/>
        <v>7.8292209592459194E-2</v>
      </c>
      <c r="Z10" s="36">
        <f t="shared" si="10"/>
        <v>0.16033385954766399</v>
      </c>
      <c r="AA10" s="34">
        <f t="shared" ref="AA10:AL10" si="11">AA9/V9-1</f>
        <v>4.4319600499375778E-2</v>
      </c>
      <c r="AB10" s="35">
        <f t="shared" si="11"/>
        <v>-0.20547350130321462</v>
      </c>
      <c r="AC10" s="35">
        <f t="shared" si="11"/>
        <v>-0.19757892491467577</v>
      </c>
      <c r="AD10" s="35">
        <f t="shared" si="11"/>
        <v>-0.14727207281328736</v>
      </c>
      <c r="AE10" s="36">
        <f t="shared" si="11"/>
        <v>-0.12893839998922374</v>
      </c>
      <c r="AF10" s="35">
        <f t="shared" si="11"/>
        <v>-0.17127642232244744</v>
      </c>
      <c r="AG10" s="35">
        <f t="shared" si="11"/>
        <v>8.5292509568069885E-2</v>
      </c>
      <c r="AH10" s="35">
        <f t="shared" si="11"/>
        <v>7.749052967368919E-2</v>
      </c>
      <c r="AI10" s="35">
        <f t="shared" si="11"/>
        <v>2.7799553759874529E-2</v>
      </c>
      <c r="AJ10" s="36">
        <f t="shared" si="11"/>
        <v>-4.283615557101994E-3</v>
      </c>
      <c r="AK10" s="35">
        <f t="shared" ref="AK10" si="12">AK9/AF9-1</f>
        <v>3.0489803947282068E-2</v>
      </c>
      <c r="AL10" s="35">
        <f t="shared" si="11"/>
        <v>2.7329974811083124E-2</v>
      </c>
      <c r="AM10" s="35">
        <f t="shared" ref="AM10" si="13">AM9/AH9-1</f>
        <v>4.5519027940541523E-2</v>
      </c>
      <c r="AN10" s="35">
        <f t="shared" ref="AN10" si="14">AN9/AI9-1</f>
        <v>6.1546585308613011E-2</v>
      </c>
      <c r="AO10" s="36">
        <f t="shared" ref="AO10:AR10" si="15">AO9/AJ9-1</f>
        <v>4.1715847673479578E-2</v>
      </c>
      <c r="AP10" s="35">
        <f t="shared" si="15"/>
        <v>9.531687452277926E-2</v>
      </c>
      <c r="AQ10" s="35">
        <f t="shared" si="15"/>
        <v>0.12265538801029785</v>
      </c>
      <c r="AR10" s="35">
        <f t="shared" si="15"/>
        <v>0.11804613297150612</v>
      </c>
      <c r="AS10" s="35">
        <f t="shared" ref="AS10" si="16">AS9/AN9-1</f>
        <v>9.5672359476040469E-2</v>
      </c>
      <c r="AT10" s="36">
        <f t="shared" ref="AT10:AU10" si="17">AT9/AO9-1</f>
        <v>0.10780630348570241</v>
      </c>
      <c r="AU10" s="35">
        <f t="shared" si="17"/>
        <v>0.12147089578250259</v>
      </c>
      <c r="AV10" s="35">
        <f t="shared" ref="AV10" si="18">AV9/AQ9-1</f>
        <v>8.0589680589680635E-2</v>
      </c>
      <c r="AW10" s="35">
        <f t="shared" ref="AW10:BB10" si="19">AW9/AR9-1</f>
        <v>5.9993668214436413E-2</v>
      </c>
      <c r="AX10" s="35">
        <f t="shared" ref="AX10" si="20">AX9/AS9-1</f>
        <v>9.0748587570621542E-2</v>
      </c>
      <c r="AY10" s="36">
        <f t="shared" ref="AY10:BA10" si="21">AY9/AT9-1</f>
        <v>8.7517663683466695E-2</v>
      </c>
      <c r="AZ10" s="35">
        <f t="shared" si="21"/>
        <v>5.1851851851851816E-2</v>
      </c>
      <c r="BA10" s="35">
        <f t="shared" si="21"/>
        <v>9.0445151836693549E-2</v>
      </c>
      <c r="BB10" s="35">
        <f t="shared" si="19"/>
        <v>0.11892080242919012</v>
      </c>
      <c r="BC10" s="35">
        <f t="shared" ref="BC10" si="22">BC9/AX9-1</f>
        <v>0.12093604032742911</v>
      </c>
      <c r="BD10" s="36">
        <f t="shared" ref="BD10:BE10" si="23">BD9/AY9-1</f>
        <v>9.6463221463221505E-2</v>
      </c>
      <c r="BE10" s="35">
        <f t="shared" si="23"/>
        <v>8.716635477198853E-2</v>
      </c>
      <c r="BF10" s="35">
        <f t="shared" ref="BF10:BG10" si="24">BF9/BA9-1</f>
        <v>0.14452527686390804</v>
      </c>
      <c r="BG10" s="35">
        <f t="shared" si="24"/>
        <v>6.6514147166117921E-2</v>
      </c>
      <c r="BH10" s="35">
        <f t="shared" ref="BH10" si="25">BH9/BC9-1</f>
        <v>4.1540638666556662E-2</v>
      </c>
      <c r="BI10" s="36">
        <f t="shared" ref="BI10" si="26">BI9/BD9-1</f>
        <v>8.3416667607191464E-2</v>
      </c>
      <c r="BJ10" s="541"/>
      <c r="BK10" s="112"/>
      <c r="BM10"/>
      <c r="BX10" s="315"/>
      <c r="BY10" s="315"/>
      <c r="BZ10" s="315"/>
      <c r="CA10" s="315"/>
    </row>
    <row r="11" spans="1:82">
      <c r="F11" s="26"/>
      <c r="K11" s="26"/>
      <c r="P11" s="26"/>
      <c r="U11" s="26"/>
      <c r="Z11" s="22"/>
      <c r="AB11" s="77"/>
      <c r="AD11" s="273"/>
      <c r="AE11" s="22"/>
      <c r="AI11" s="273"/>
      <c r="AJ11" s="26"/>
      <c r="AN11" s="273"/>
      <c r="AO11" s="26"/>
      <c r="AS11" s="273"/>
      <c r="AT11" s="26"/>
      <c r="AX11" s="273"/>
      <c r="AY11" s="26"/>
      <c r="BC11" s="273"/>
      <c r="BD11" s="26"/>
      <c r="BH11" s="273"/>
      <c r="BI11" s="26"/>
      <c r="BJ11" s="541"/>
      <c r="BK11" s="112"/>
      <c r="BM11"/>
      <c r="BX11" s="315"/>
      <c r="BY11" s="315"/>
      <c r="BZ11" s="315"/>
      <c r="CA11" s="315"/>
    </row>
    <row r="12" spans="1:82">
      <c r="A12" s="1" t="s">
        <v>294</v>
      </c>
      <c r="B12" s="37">
        <v>619</v>
      </c>
      <c r="C12" s="37">
        <v>580</v>
      </c>
      <c r="D12" s="37">
        <v>586</v>
      </c>
      <c r="E12" s="37">
        <v>570</v>
      </c>
      <c r="F12" s="38">
        <v>2355</v>
      </c>
      <c r="G12" s="37">
        <v>551</v>
      </c>
      <c r="H12" s="37">
        <v>590</v>
      </c>
      <c r="I12" s="37">
        <v>611</v>
      </c>
      <c r="J12" s="37">
        <v>595</v>
      </c>
      <c r="K12" s="38">
        <v>2347</v>
      </c>
      <c r="L12" s="37">
        <v>554</v>
      </c>
      <c r="M12" s="37">
        <v>557</v>
      </c>
      <c r="N12" s="37">
        <v>587</v>
      </c>
      <c r="O12" s="37">
        <v>570</v>
      </c>
      <c r="P12" s="38">
        <v>2268</v>
      </c>
      <c r="Q12" s="37">
        <v>615</v>
      </c>
      <c r="R12" s="37">
        <v>650</v>
      </c>
      <c r="S12" s="37">
        <v>627</v>
      </c>
      <c r="T12" s="37">
        <v>721</v>
      </c>
      <c r="U12" s="38">
        <v>2613</v>
      </c>
      <c r="V12" s="37">
        <v>1209</v>
      </c>
      <c r="W12" s="37">
        <v>1293</v>
      </c>
      <c r="X12" s="37">
        <v>1286</v>
      </c>
      <c r="Y12" s="37">
        <v>1061</v>
      </c>
      <c r="Z12" s="38">
        <v>4849</v>
      </c>
      <c r="AA12" s="37">
        <v>1284</v>
      </c>
      <c r="AB12" s="37">
        <v>24</v>
      </c>
      <c r="AC12" s="37">
        <v>73</v>
      </c>
      <c r="AD12" s="37">
        <v>89</v>
      </c>
      <c r="AE12" s="38">
        <v>1470</v>
      </c>
      <c r="AF12" s="37">
        <v>332</v>
      </c>
      <c r="AG12" s="37">
        <v>518</v>
      </c>
      <c r="AH12" s="37">
        <v>480</v>
      </c>
      <c r="AI12" s="37">
        <v>469</v>
      </c>
      <c r="AJ12" s="38">
        <v>1799</v>
      </c>
      <c r="AK12" s="37">
        <v>584</v>
      </c>
      <c r="AL12" s="37">
        <v>617</v>
      </c>
      <c r="AM12" s="37">
        <v>630</v>
      </c>
      <c r="AN12" s="37">
        <v>743</v>
      </c>
      <c r="AO12" s="38">
        <v>2574</v>
      </c>
      <c r="AP12" s="37">
        <f>'Recast Collins Aerospace_Qtr'!AP29</f>
        <v>903</v>
      </c>
      <c r="AQ12" s="37">
        <f>'Recast Collins Aerospace_Qtr'!AQ29</f>
        <v>915</v>
      </c>
      <c r="AR12" s="37">
        <f>'Recast Collins Aerospace_Qtr'!AR29</f>
        <v>1043</v>
      </c>
      <c r="AS12" s="37">
        <f>'Recast Collins Aerospace_Qtr'!AS29</f>
        <v>1035</v>
      </c>
      <c r="AT12" s="38">
        <f>'Recast Collins Aerospace_Qtr'!AT29</f>
        <v>3896</v>
      </c>
      <c r="AU12" s="37">
        <f>'Recast Collins Aerospace_Qtr'!AU29</f>
        <v>1048</v>
      </c>
      <c r="AV12" s="37">
        <f>'Recast Collins Aerospace_Qtr'!AV29</f>
        <v>1145</v>
      </c>
      <c r="AW12" s="37">
        <f>'Recast Collins Aerospace_Qtr'!AW29</f>
        <v>1096</v>
      </c>
      <c r="AX12" s="37">
        <f>'Recast Collins Aerospace_Qtr'!AX29</f>
        <v>1207</v>
      </c>
      <c r="AY12" s="38">
        <f>'Recast Collins Aerospace_Qtr'!AY29</f>
        <v>4496</v>
      </c>
      <c r="AZ12" s="37">
        <f>'Recast Collins Aerospace_Qtr'!AZ29</f>
        <v>1227</v>
      </c>
      <c r="BA12" s="37">
        <f>'Recast Collins Aerospace_Qtr'!BA29</f>
        <v>1249</v>
      </c>
      <c r="BB12" s="37">
        <f>'Recast Collins Aerospace_Qtr'!BB29</f>
        <v>1194</v>
      </c>
      <c r="BC12" s="37">
        <f>'Recast Collins Aerospace_Qtr'!BC29</f>
        <v>1223</v>
      </c>
      <c r="BD12" s="38">
        <f>'Recast Collins Aerospace_Qtr'!BD29</f>
        <v>4893</v>
      </c>
      <c r="BE12" s="37">
        <f>'Recast Collins Aerospace_Qtr'!BE29</f>
        <v>1298</v>
      </c>
      <c r="BF12" s="37">
        <f>'Recast Collins Aerospace_Qtr'!BF29</f>
        <v>1370</v>
      </c>
      <c r="BG12" s="37">
        <f>'Recast Collins Aerospace_Qtr'!BG29</f>
        <v>1378.1244825000001</v>
      </c>
      <c r="BH12" s="37">
        <f>'Recast Collins Aerospace_Qtr'!BH29</f>
        <v>1453.0200574999999</v>
      </c>
      <c r="BI12" s="38">
        <f>'Recast Collins Aerospace_Qtr'!BI29</f>
        <v>5499.1445400000002</v>
      </c>
      <c r="BJ12" s="543" t="str">
        <f>'Recast Collins Aerospace_Qtr'!BJ29</f>
        <v>550 to 625</v>
      </c>
      <c r="BK12" s="112">
        <f>BI12-BD12</f>
        <v>606.14454000000023</v>
      </c>
      <c r="BL12" s="339"/>
      <c r="BM12"/>
      <c r="BX12" s="318"/>
      <c r="BY12" s="318"/>
      <c r="BZ12" s="318"/>
      <c r="CA12" s="318"/>
      <c r="CB12" s="318"/>
      <c r="CC12" s="318"/>
      <c r="CD12" s="318"/>
    </row>
    <row r="13" spans="1:82">
      <c r="A13" s="1" t="s">
        <v>295</v>
      </c>
      <c r="B13" s="37">
        <f>+'Pratt &amp; Whitney_Qtr'!B43</f>
        <v>432</v>
      </c>
      <c r="C13" s="37">
        <f>+'Pratt &amp; Whitney_Qtr'!C43</f>
        <v>489</v>
      </c>
      <c r="D13" s="37">
        <f>+'Pratt &amp; Whitney_Qtr'!D43</f>
        <v>441</v>
      </c>
      <c r="E13" s="37">
        <f>+'Pratt &amp; Whitney_Qtr'!E43</f>
        <v>551</v>
      </c>
      <c r="F13" s="38">
        <f>+'Pratt &amp; Whitney_Qtr'!F43</f>
        <v>1913</v>
      </c>
      <c r="G13" s="37">
        <f>+'Pratt &amp; Whitney_Qtr'!G43</f>
        <v>415</v>
      </c>
      <c r="H13" s="37">
        <f>+'Pratt &amp; Whitney_Qtr'!H43</f>
        <v>452</v>
      </c>
      <c r="I13" s="37">
        <f>+'Pratt &amp; Whitney_Qtr'!I43</f>
        <v>414</v>
      </c>
      <c r="J13" s="37">
        <f>+'Pratt &amp; Whitney_Qtr'!J43</f>
        <v>470</v>
      </c>
      <c r="K13" s="38">
        <f>+'Pratt &amp; Whitney_Qtr'!K43</f>
        <v>1751</v>
      </c>
      <c r="L13" s="37">
        <f>+'Pratt &amp; Whitney_Qtr'!L43</f>
        <v>356</v>
      </c>
      <c r="M13" s="37">
        <f>+'Pratt &amp; Whitney_Qtr'!M43</f>
        <v>370</v>
      </c>
      <c r="N13" s="37">
        <f>+'Pratt &amp; Whitney_Qtr'!N43</f>
        <v>382</v>
      </c>
      <c r="O13" s="37">
        <f>+'Pratt &amp; Whitney_Qtr'!O43</f>
        <v>393</v>
      </c>
      <c r="P13" s="38">
        <f>+'Pratt &amp; Whitney_Qtr'!P43</f>
        <v>1501</v>
      </c>
      <c r="Q13" s="37">
        <f>+'Pratt &amp; Whitney_Qtr'!Q43</f>
        <v>413</v>
      </c>
      <c r="R13" s="37">
        <f>+'Pratt &amp; Whitney_Qtr'!R43</f>
        <v>400</v>
      </c>
      <c r="S13" s="37">
        <f>+'Pratt &amp; Whitney_Qtr'!S43</f>
        <v>409</v>
      </c>
      <c r="T13" s="37">
        <f>+'Pratt &amp; Whitney_Qtr'!T43</f>
        <v>340</v>
      </c>
      <c r="U13" s="38">
        <f>+'Pratt &amp; Whitney_Qtr'!U43</f>
        <v>1562</v>
      </c>
      <c r="V13" s="37">
        <f>+'Pratt &amp; Whitney_Qtr'!V43</f>
        <v>492</v>
      </c>
      <c r="W13" s="37">
        <f>+'Pratt &amp; Whitney_Qtr'!W43</f>
        <v>452</v>
      </c>
      <c r="X13" s="37">
        <f>+'Pratt &amp; Whitney_Qtr'!X43</f>
        <v>520</v>
      </c>
      <c r="Y13" s="37">
        <f>+'Pratt &amp; Whitney_Qtr'!Y43</f>
        <v>470</v>
      </c>
      <c r="Z13" s="38">
        <f>+'Pratt &amp; Whitney_Qtr'!Z43</f>
        <v>1934</v>
      </c>
      <c r="AA13" s="37">
        <f>+'Pratt &amp; Whitney_Qtr'!AA43</f>
        <v>515</v>
      </c>
      <c r="AB13" s="37">
        <f>+'Pratt &amp; Whitney_Qtr'!AB43</f>
        <v>-151</v>
      </c>
      <c r="AC13" s="37">
        <f>+'Pratt &amp; Whitney_Qtr'!AC43</f>
        <v>-43</v>
      </c>
      <c r="AD13" s="37">
        <f>+'Pratt &amp; Whitney_Qtr'!AD43</f>
        <v>105</v>
      </c>
      <c r="AE13" s="38">
        <f>+'Pratt &amp; Whitney_Qtr'!AE43</f>
        <v>426</v>
      </c>
      <c r="AF13" s="37">
        <f>+'Pratt &amp; Whitney_Qtr'!AF43</f>
        <v>40</v>
      </c>
      <c r="AG13" s="37">
        <f>+'Pratt &amp; Whitney_Qtr'!AG43</f>
        <v>96</v>
      </c>
      <c r="AH13" s="37">
        <f>+'Pratt &amp; Whitney_Qtr'!AH43</f>
        <v>189</v>
      </c>
      <c r="AI13" s="37">
        <f>+'Pratt &amp; Whitney_Qtr'!AI43</f>
        <v>162</v>
      </c>
      <c r="AJ13" s="38">
        <f>+'Pratt &amp; Whitney_Qtr'!AJ43</f>
        <v>487</v>
      </c>
      <c r="AK13" s="37">
        <f>+'Pratt &amp; Whitney_Qtr'!AK43</f>
        <v>308</v>
      </c>
      <c r="AL13" s="37">
        <f>+'Pratt &amp; Whitney_Qtr'!AL43</f>
        <v>303</v>
      </c>
      <c r="AM13" s="37">
        <f>+'Pratt &amp; Whitney_Qtr'!AM43</f>
        <v>318</v>
      </c>
      <c r="AN13" s="37">
        <f>+'Pratt &amp; Whitney_Qtr'!AN43</f>
        <v>321</v>
      </c>
      <c r="AO13" s="38">
        <f>+'Pratt &amp; Whitney_Qtr'!AO43</f>
        <v>1250</v>
      </c>
      <c r="AP13" s="37">
        <f>+'Pratt &amp; Whitney_Qtr'!AP43</f>
        <v>434</v>
      </c>
      <c r="AQ13" s="37">
        <f>+'Pratt &amp; Whitney_Qtr'!AQ43</f>
        <v>436</v>
      </c>
      <c r="AR13" s="37">
        <f>+'Pratt &amp; Whitney_Qtr'!AR43</f>
        <v>413</v>
      </c>
      <c r="AS13" s="37">
        <f>+'Pratt &amp; Whitney_Qtr'!AS43</f>
        <v>405</v>
      </c>
      <c r="AT13" s="38">
        <f>+'Pratt &amp; Whitney_Qtr'!AT43</f>
        <v>1688</v>
      </c>
      <c r="AU13" s="37">
        <f>+'Pratt &amp; Whitney_Qtr'!AU43</f>
        <v>430</v>
      </c>
      <c r="AV13" s="37">
        <f>+'Pratt &amp; Whitney_Qtr'!AV43</f>
        <v>537</v>
      </c>
      <c r="AW13" s="37">
        <f>+'Pratt &amp; Whitney_Qtr'!AW43</f>
        <v>597</v>
      </c>
      <c r="AX13" s="37">
        <f>+'Pratt &amp; Whitney_Qtr'!AX43</f>
        <v>717</v>
      </c>
      <c r="AY13" s="38">
        <f>+'Pratt &amp; Whitney_Qtr'!AY43</f>
        <v>2281</v>
      </c>
      <c r="AZ13" s="37">
        <f>+'Pratt &amp; Whitney_Qtr'!AZ43</f>
        <v>590</v>
      </c>
      <c r="BA13" s="37">
        <f>+'Pratt &amp; Whitney_Qtr'!BA43</f>
        <v>608</v>
      </c>
      <c r="BB13" s="37">
        <f>+'Pratt &amp; Whitney_Qtr'!BB43</f>
        <v>751</v>
      </c>
      <c r="BC13" s="37">
        <f>+'Pratt &amp; Whitney_Qtr'!BC43</f>
        <v>776</v>
      </c>
      <c r="BD13" s="38">
        <f>+'Pratt &amp; Whitney_Qtr'!BD43</f>
        <v>2725</v>
      </c>
      <c r="BE13" s="37">
        <f>+'Pratt &amp; Whitney_Qtr'!BE43</f>
        <v>711</v>
      </c>
      <c r="BF13" s="37">
        <f>+'Pratt &amp; Whitney_Qtr'!BF43</f>
        <v>740</v>
      </c>
      <c r="BG13" s="37">
        <f>+'Pratt &amp; Whitney_Qtr'!BG43</f>
        <v>791.12231999999995</v>
      </c>
      <c r="BH13" s="37">
        <f>+'Pratt &amp; Whitney_Qtr'!BH43</f>
        <v>823.5809119999999</v>
      </c>
      <c r="BI13" s="38">
        <f>+'Pratt &amp; Whitney_Qtr'!BI43</f>
        <v>3065.7032319999998</v>
      </c>
      <c r="BJ13" s="543" t="str">
        <f>'Pratt &amp; Whitney_Qtr'!BJ43</f>
        <v>275 to 350</v>
      </c>
      <c r="BK13" s="112">
        <f t="shared" ref="BK13:BK16" si="27">BI13-BD13</f>
        <v>340.70323199999984</v>
      </c>
      <c r="BL13" s="339"/>
      <c r="BM13"/>
      <c r="BX13" s="318"/>
      <c r="BY13" s="318"/>
      <c r="BZ13" s="318"/>
      <c r="CA13" s="318"/>
      <c r="CB13" s="318"/>
      <c r="CC13" s="318"/>
      <c r="CD13" s="318"/>
    </row>
    <row r="14" spans="1:82" hidden="1" outlineLevel="1">
      <c r="A14" s="1" t="s">
        <v>296</v>
      </c>
      <c r="B14" s="37">
        <v>296</v>
      </c>
      <c r="C14" s="37">
        <v>317</v>
      </c>
      <c r="D14" s="37">
        <v>331</v>
      </c>
      <c r="E14" s="37">
        <v>350</v>
      </c>
      <c r="F14" s="38">
        <v>1294</v>
      </c>
      <c r="G14" s="37">
        <v>271</v>
      </c>
      <c r="H14" s="37">
        <v>325</v>
      </c>
      <c r="I14" s="37">
        <v>338</v>
      </c>
      <c r="J14" s="37">
        <v>341</v>
      </c>
      <c r="K14" s="38">
        <v>1275</v>
      </c>
      <c r="L14" s="37">
        <v>301</v>
      </c>
      <c r="M14" s="37">
        <v>333</v>
      </c>
      <c r="N14" s="37">
        <v>324</v>
      </c>
      <c r="O14" s="37">
        <v>359</v>
      </c>
      <c r="P14" s="38">
        <v>1317</v>
      </c>
      <c r="Q14" s="37">
        <v>310</v>
      </c>
      <c r="R14" s="37">
        <v>334</v>
      </c>
      <c r="S14" s="37">
        <v>372</v>
      </c>
      <c r="T14" s="37">
        <v>406</v>
      </c>
      <c r="U14" s="38">
        <v>1422</v>
      </c>
      <c r="V14" s="37">
        <v>398</v>
      </c>
      <c r="W14" s="37">
        <v>386</v>
      </c>
      <c r="X14" s="37">
        <v>428</v>
      </c>
      <c r="Y14" s="37">
        <v>425</v>
      </c>
      <c r="Z14" s="38">
        <v>1637</v>
      </c>
      <c r="AA14" s="37">
        <v>399</v>
      </c>
      <c r="AB14" s="37">
        <v>329</v>
      </c>
      <c r="AC14" s="37">
        <v>350</v>
      </c>
      <c r="AD14" s="37">
        <v>361</v>
      </c>
      <c r="AE14" s="38">
        <v>1439</v>
      </c>
      <c r="AF14" s="37">
        <v>388</v>
      </c>
      <c r="AG14" s="37">
        <v>415</v>
      </c>
      <c r="AH14" s="37">
        <v>391</v>
      </c>
      <c r="AI14" s="37">
        <v>400</v>
      </c>
      <c r="AJ14" s="38">
        <v>1594</v>
      </c>
      <c r="AK14" s="37">
        <v>378</v>
      </c>
      <c r="AL14" s="37">
        <v>315</v>
      </c>
      <c r="AM14" s="37">
        <v>371</v>
      </c>
      <c r="AN14" s="37">
        <v>278</v>
      </c>
      <c r="AO14" s="38">
        <v>1342</v>
      </c>
      <c r="AP14" s="37"/>
      <c r="AQ14" s="37"/>
      <c r="AR14" s="37"/>
      <c r="AS14" s="37"/>
      <c r="AT14" s="38"/>
      <c r="AU14" s="37"/>
      <c r="AV14" s="37"/>
      <c r="AW14" s="37"/>
      <c r="AX14" s="37"/>
      <c r="AY14" s="38"/>
      <c r="AZ14" s="37"/>
      <c r="BA14" s="37"/>
      <c r="BB14" s="37"/>
      <c r="BC14" s="37"/>
      <c r="BD14" s="38"/>
      <c r="BE14" s="37"/>
      <c r="BF14" s="37"/>
      <c r="BG14" s="37"/>
      <c r="BH14" s="37"/>
      <c r="BI14" s="38"/>
      <c r="BJ14" s="543"/>
      <c r="BK14" s="112">
        <f t="shared" si="27"/>
        <v>0</v>
      </c>
      <c r="BL14" s="339"/>
      <c r="BM14"/>
      <c r="BX14" s="318"/>
      <c r="BY14" s="318"/>
      <c r="BZ14" s="318"/>
      <c r="CA14" s="318"/>
      <c r="CB14" s="318"/>
      <c r="CC14" s="318"/>
      <c r="CD14" s="318"/>
    </row>
    <row r="15" spans="1:82" hidden="1" outlineLevel="1">
      <c r="A15" s="1" t="s">
        <v>297</v>
      </c>
      <c r="B15" s="37">
        <v>390</v>
      </c>
      <c r="C15" s="37">
        <v>386</v>
      </c>
      <c r="D15" s="37">
        <v>417</v>
      </c>
      <c r="E15" s="37">
        <v>539</v>
      </c>
      <c r="F15" s="38">
        <v>1732</v>
      </c>
      <c r="G15" s="37">
        <v>338</v>
      </c>
      <c r="H15" s="37">
        <v>451</v>
      </c>
      <c r="I15" s="37">
        <v>446</v>
      </c>
      <c r="J15" s="37">
        <v>499</v>
      </c>
      <c r="K15" s="38">
        <v>1734</v>
      </c>
      <c r="L15" s="37">
        <v>428</v>
      </c>
      <c r="M15" s="37">
        <v>481</v>
      </c>
      <c r="N15" s="37">
        <v>511</v>
      </c>
      <c r="O15" s="37">
        <v>525</v>
      </c>
      <c r="P15" s="38">
        <v>1945</v>
      </c>
      <c r="Q15" s="37">
        <v>485</v>
      </c>
      <c r="R15" s="37">
        <v>493</v>
      </c>
      <c r="S15" s="37">
        <v>498</v>
      </c>
      <c r="T15" s="37">
        <v>520</v>
      </c>
      <c r="U15" s="38">
        <v>1996</v>
      </c>
      <c r="V15" s="37">
        <v>441</v>
      </c>
      <c r="W15" s="37">
        <v>508</v>
      </c>
      <c r="X15" s="37">
        <v>494</v>
      </c>
      <c r="Y15" s="37">
        <v>597</v>
      </c>
      <c r="Z15" s="38">
        <v>2040</v>
      </c>
      <c r="AA15" s="37">
        <v>539</v>
      </c>
      <c r="AB15" s="37">
        <v>411</v>
      </c>
      <c r="AC15" s="37">
        <v>431</v>
      </c>
      <c r="AD15" s="37">
        <v>579</v>
      </c>
      <c r="AE15" s="38">
        <v>1960</v>
      </c>
      <c r="AF15" s="37">
        <v>496</v>
      </c>
      <c r="AG15" s="37">
        <v>532</v>
      </c>
      <c r="AH15" s="37">
        <v>490</v>
      </c>
      <c r="AI15" s="37">
        <v>486</v>
      </c>
      <c r="AJ15" s="38">
        <v>2004</v>
      </c>
      <c r="AK15" s="37">
        <v>387</v>
      </c>
      <c r="AL15" s="37">
        <v>348</v>
      </c>
      <c r="AM15" s="37">
        <v>416</v>
      </c>
      <c r="AN15" s="37">
        <v>418</v>
      </c>
      <c r="AO15" s="38">
        <v>1569</v>
      </c>
      <c r="AP15" s="37"/>
      <c r="AQ15" s="37"/>
      <c r="AR15" s="37"/>
      <c r="AS15" s="37"/>
      <c r="AT15" s="38"/>
      <c r="AU15" s="37"/>
      <c r="AV15" s="37"/>
      <c r="AW15" s="37"/>
      <c r="AX15" s="37"/>
      <c r="AY15" s="38"/>
      <c r="AZ15" s="37"/>
      <c r="BA15" s="37"/>
      <c r="BB15" s="37"/>
      <c r="BC15" s="37"/>
      <c r="BD15" s="38"/>
      <c r="BE15" s="37"/>
      <c r="BF15" s="37"/>
      <c r="BG15" s="37"/>
      <c r="BH15" s="37"/>
      <c r="BI15" s="38"/>
      <c r="BJ15" s="543"/>
      <c r="BK15" s="112">
        <f t="shared" si="27"/>
        <v>0</v>
      </c>
      <c r="BL15" s="339"/>
      <c r="BM15"/>
      <c r="BX15" s="318"/>
      <c r="BY15" s="318"/>
      <c r="BZ15" s="318"/>
      <c r="CA15" s="318"/>
      <c r="CB15" s="318"/>
      <c r="CC15" s="318"/>
      <c r="CD15" s="318"/>
    </row>
    <row r="16" spans="1:82" collapsed="1">
      <c r="A16" s="1" t="s">
        <v>451</v>
      </c>
      <c r="B16" s="37"/>
      <c r="C16" s="37"/>
      <c r="D16" s="37"/>
      <c r="E16" s="37"/>
      <c r="F16" s="38"/>
      <c r="G16" s="37"/>
      <c r="H16" s="37"/>
      <c r="I16" s="37"/>
      <c r="J16" s="37"/>
      <c r="K16" s="38"/>
      <c r="L16" s="37"/>
      <c r="M16" s="37"/>
      <c r="N16" s="37"/>
      <c r="O16" s="37"/>
      <c r="P16" s="38"/>
      <c r="Q16" s="37"/>
      <c r="R16" s="37"/>
      <c r="S16" s="37"/>
      <c r="T16" s="37"/>
      <c r="U16" s="38"/>
      <c r="V16" s="37"/>
      <c r="W16" s="37"/>
      <c r="X16" s="37"/>
      <c r="Y16" s="37"/>
      <c r="Z16" s="38"/>
      <c r="AA16" s="37"/>
      <c r="AB16" s="37"/>
      <c r="AC16" s="37"/>
      <c r="AD16" s="37"/>
      <c r="AE16" s="38"/>
      <c r="AF16" s="37"/>
      <c r="AG16" s="37"/>
      <c r="AH16" s="37"/>
      <c r="AI16" s="37"/>
      <c r="AJ16" s="38"/>
      <c r="AK16" s="37"/>
      <c r="AL16" s="37"/>
      <c r="AM16" s="37"/>
      <c r="AN16" s="37"/>
      <c r="AO16" s="38"/>
      <c r="AP16" s="37">
        <f>'Recast Raytheon_Qtr'!AP28</f>
        <v>584</v>
      </c>
      <c r="AQ16" s="37">
        <f>'Recast Raytheon_Qtr'!AQ28</f>
        <v>662</v>
      </c>
      <c r="AR16" s="37">
        <f>'Recast Raytheon_Qtr'!AR28</f>
        <v>570</v>
      </c>
      <c r="AS16" s="37">
        <f>'Recast Raytheon_Qtr'!AS28</f>
        <v>618</v>
      </c>
      <c r="AT16" s="38">
        <f>'Recast Raytheon_Qtr'!AT28</f>
        <v>2434</v>
      </c>
      <c r="AU16" s="37">
        <f>'Recast Raytheon_Qtr'!AU28</f>
        <v>630</v>
      </c>
      <c r="AV16" s="37">
        <f>'Recast Raytheon_Qtr'!AV28</f>
        <v>709</v>
      </c>
      <c r="AW16" s="37">
        <f>'Recast Raytheon_Qtr'!AW28</f>
        <v>661</v>
      </c>
      <c r="AX16" s="37">
        <f>'Recast Raytheon_Qtr'!AX28</f>
        <v>728</v>
      </c>
      <c r="AY16" s="38">
        <f>'Recast Raytheon_Qtr'!AY28</f>
        <v>2728</v>
      </c>
      <c r="AZ16" s="37">
        <f>'Recast Raytheon_Qtr'!AZ28</f>
        <v>678</v>
      </c>
      <c r="BA16" s="37">
        <f>'Recast Raytheon_Qtr'!BA28</f>
        <v>809</v>
      </c>
      <c r="BB16" s="37">
        <f>'Recast Raytheon_Qtr'!BB28</f>
        <v>859</v>
      </c>
      <c r="BC16" s="37">
        <f>'Recast Raytheon_Qtr'!BC28</f>
        <v>885</v>
      </c>
      <c r="BD16" s="38">
        <f>'Recast Raytheon_Qtr'!BD28</f>
        <v>3231</v>
      </c>
      <c r="BE16" s="37">
        <f>'Recast Raytheon_Qtr'!BE28</f>
        <v>845</v>
      </c>
      <c r="BF16" s="37">
        <f>'Recast Raytheon_Qtr'!BF28</f>
        <v>1043</v>
      </c>
      <c r="BG16" s="37">
        <f>'Recast Raytheon_Qtr'!BG28</f>
        <v>947.58772499999998</v>
      </c>
      <c r="BH16" s="37">
        <f>'Recast Raytheon_Qtr'!BH28</f>
        <v>1037.8516500000001</v>
      </c>
      <c r="BI16" s="38">
        <f>'Recast Raytheon_Qtr'!BI28</f>
        <v>3873.4393749999999</v>
      </c>
      <c r="BJ16" s="543" t="str">
        <f>'Recast Raytheon_Qtr'!BJ28</f>
        <v>575-650</v>
      </c>
      <c r="BK16" s="112">
        <f t="shared" si="27"/>
        <v>642.43937499999993</v>
      </c>
      <c r="BL16" s="339"/>
      <c r="BM16"/>
      <c r="BX16" s="318"/>
      <c r="BY16" s="318"/>
      <c r="BZ16" s="318"/>
      <c r="CA16" s="318"/>
      <c r="CB16" s="318"/>
      <c r="CC16" s="318"/>
      <c r="CD16" s="318"/>
    </row>
    <row r="17" spans="1:82">
      <c r="A17" s="1" t="s">
        <v>207</v>
      </c>
      <c r="B17" s="41" t="s">
        <v>371</v>
      </c>
      <c r="C17" s="41" t="s">
        <v>371</v>
      </c>
      <c r="D17" s="41" t="s">
        <v>371</v>
      </c>
      <c r="E17" s="41" t="s">
        <v>371</v>
      </c>
      <c r="F17" s="43" t="s">
        <v>371</v>
      </c>
      <c r="G17" s="41" t="s">
        <v>371</v>
      </c>
      <c r="H17" s="41" t="s">
        <v>371</v>
      </c>
      <c r="I17" s="41" t="s">
        <v>371</v>
      </c>
      <c r="J17" s="41" t="s">
        <v>371</v>
      </c>
      <c r="K17" s="43" t="s">
        <v>371</v>
      </c>
      <c r="L17" s="41" t="s">
        <v>371</v>
      </c>
      <c r="M17" s="41" t="s">
        <v>371</v>
      </c>
      <c r="N17" s="41" t="s">
        <v>371</v>
      </c>
      <c r="O17" s="41" t="s">
        <v>371</v>
      </c>
      <c r="P17" s="43" t="s">
        <v>371</v>
      </c>
      <c r="Q17" s="41" t="s">
        <v>371</v>
      </c>
      <c r="R17" s="41" t="s">
        <v>371</v>
      </c>
      <c r="S17" s="41" t="s">
        <v>371</v>
      </c>
      <c r="T17" s="41" t="s">
        <v>371</v>
      </c>
      <c r="U17" s="43" t="s">
        <v>371</v>
      </c>
      <c r="V17" s="41">
        <v>0</v>
      </c>
      <c r="W17" s="41">
        <v>0</v>
      </c>
      <c r="X17" s="41">
        <v>0</v>
      </c>
      <c r="Y17" s="21">
        <f>Z17-SUM(V17,W17,X17)</f>
        <v>0</v>
      </c>
      <c r="Z17" s="43">
        <v>0</v>
      </c>
      <c r="AA17" s="41">
        <v>0</v>
      </c>
      <c r="AB17" s="41">
        <v>0</v>
      </c>
      <c r="AC17" s="41">
        <f>X17</f>
        <v>0</v>
      </c>
      <c r="AD17" s="41">
        <f>Y17</f>
        <v>0</v>
      </c>
      <c r="AE17" s="22">
        <f>SUM(AA17:AD17)</f>
        <v>0</v>
      </c>
      <c r="AF17" s="41">
        <f>AA17</f>
        <v>0</v>
      </c>
      <c r="AG17" s="41">
        <f>AB17</f>
        <v>0</v>
      </c>
      <c r="AH17" s="41">
        <f>AC17</f>
        <v>0</v>
      </c>
      <c r="AI17" s="41">
        <f>AD17</f>
        <v>0</v>
      </c>
      <c r="AJ17" s="22">
        <f>SUM(AF17:AI17)</f>
        <v>0</v>
      </c>
      <c r="AK17" s="41">
        <f>AF17</f>
        <v>0</v>
      </c>
      <c r="AL17" s="41">
        <f>AG17</f>
        <v>0</v>
      </c>
      <c r="AM17" s="41">
        <f>AH17</f>
        <v>0</v>
      </c>
      <c r="AN17" s="41">
        <f>AI17</f>
        <v>0</v>
      </c>
      <c r="AO17" s="22">
        <f>SUM(AK17:AN17)</f>
        <v>0</v>
      </c>
      <c r="AP17" s="41">
        <f>AK17</f>
        <v>0</v>
      </c>
      <c r="AQ17" s="41">
        <f>AL17</f>
        <v>0</v>
      </c>
      <c r="AR17" s="41">
        <f>AM17</f>
        <v>0</v>
      </c>
      <c r="AS17" s="41">
        <f>AN17</f>
        <v>0</v>
      </c>
      <c r="AT17" s="22">
        <f>SUM(AP17:AS17)</f>
        <v>0</v>
      </c>
      <c r="AU17" s="41">
        <f>AP17</f>
        <v>0</v>
      </c>
      <c r="AV17" s="41">
        <v>0</v>
      </c>
      <c r="AW17" s="41">
        <v>0</v>
      </c>
      <c r="AX17" s="41">
        <f>AS17</f>
        <v>0</v>
      </c>
      <c r="AY17" s="22">
        <f>SUM(AU17:AX17)</f>
        <v>0</v>
      </c>
      <c r="AZ17" s="41">
        <f>AU17</f>
        <v>0</v>
      </c>
      <c r="BA17" s="41">
        <v>0</v>
      </c>
      <c r="BB17" s="41">
        <v>0</v>
      </c>
      <c r="BC17" s="41">
        <f>AX17</f>
        <v>0</v>
      </c>
      <c r="BD17" s="22">
        <f>SUM(AZ17:BC17)</f>
        <v>0</v>
      </c>
      <c r="BE17" s="41">
        <f>AZ17</f>
        <v>0</v>
      </c>
      <c r="BF17" s="37">
        <f>'Recast Collins Aerospace_Qtr'!BF69+'Pratt &amp; Whitney_Qtr'!BF64</f>
        <v>0</v>
      </c>
      <c r="BG17" s="37">
        <f>'Recast Collins Aerospace_Qtr'!BG69+'Pratt &amp; Whitney_Qtr'!BG64</f>
        <v>0</v>
      </c>
      <c r="BH17" s="37">
        <f>'Recast Collins Aerospace_Qtr'!BH69+'Pratt &amp; Whitney_Qtr'!BH64</f>
        <v>0</v>
      </c>
      <c r="BI17" s="22">
        <f>SUM(BE17:BH17)</f>
        <v>0</v>
      </c>
      <c r="BJ17" s="541"/>
      <c r="BK17" s="490"/>
      <c r="BM17"/>
      <c r="BX17" s="318"/>
      <c r="BY17" s="318"/>
      <c r="BZ17" s="318"/>
      <c r="CA17" s="318"/>
      <c r="CB17" s="318"/>
      <c r="CC17" s="318"/>
      <c r="CD17" s="318"/>
    </row>
    <row r="18" spans="1:82">
      <c r="A18" s="4" t="s">
        <v>17</v>
      </c>
      <c r="B18" s="80">
        <f t="shared" ref="B18:AJ18" si="28">SUM(B12:B17)</f>
        <v>1737</v>
      </c>
      <c r="C18" s="80">
        <f t="shared" si="28"/>
        <v>1772</v>
      </c>
      <c r="D18" s="80">
        <f t="shared" si="28"/>
        <v>1775</v>
      </c>
      <c r="E18" s="80">
        <f t="shared" si="28"/>
        <v>2010</v>
      </c>
      <c r="F18" s="81">
        <f t="shared" si="28"/>
        <v>7294</v>
      </c>
      <c r="G18" s="80">
        <f t="shared" si="28"/>
        <v>1575</v>
      </c>
      <c r="H18" s="80">
        <f t="shared" si="28"/>
        <v>1818</v>
      </c>
      <c r="I18" s="80">
        <f t="shared" si="28"/>
        <v>1809</v>
      </c>
      <c r="J18" s="80">
        <f t="shared" si="28"/>
        <v>1905</v>
      </c>
      <c r="K18" s="81">
        <f t="shared" si="28"/>
        <v>7107</v>
      </c>
      <c r="L18" s="80">
        <f t="shared" si="28"/>
        <v>1639</v>
      </c>
      <c r="M18" s="80">
        <f t="shared" si="28"/>
        <v>1741</v>
      </c>
      <c r="N18" s="80">
        <f t="shared" si="28"/>
        <v>1804</v>
      </c>
      <c r="O18" s="80">
        <f t="shared" si="28"/>
        <v>1847</v>
      </c>
      <c r="P18" s="81">
        <f t="shared" si="28"/>
        <v>7031</v>
      </c>
      <c r="Q18" s="80">
        <f t="shared" si="28"/>
        <v>1823</v>
      </c>
      <c r="R18" s="80">
        <f t="shared" si="28"/>
        <v>1877</v>
      </c>
      <c r="S18" s="80">
        <f t="shared" si="28"/>
        <v>1906</v>
      </c>
      <c r="T18" s="80">
        <f t="shared" si="28"/>
        <v>1987</v>
      </c>
      <c r="U18" s="81">
        <f t="shared" si="28"/>
        <v>7593</v>
      </c>
      <c r="V18" s="80">
        <f t="shared" si="28"/>
        <v>2540</v>
      </c>
      <c r="W18" s="80">
        <f t="shared" si="28"/>
        <v>2639</v>
      </c>
      <c r="X18" s="80">
        <f t="shared" si="28"/>
        <v>2728</v>
      </c>
      <c r="Y18" s="80">
        <f t="shared" si="28"/>
        <v>2553</v>
      </c>
      <c r="Z18" s="81">
        <f t="shared" si="28"/>
        <v>10460</v>
      </c>
      <c r="AA18" s="80">
        <f t="shared" si="28"/>
        <v>2737</v>
      </c>
      <c r="AB18" s="80">
        <f t="shared" si="28"/>
        <v>613</v>
      </c>
      <c r="AC18" s="80">
        <f t="shared" si="28"/>
        <v>811</v>
      </c>
      <c r="AD18" s="80">
        <f t="shared" si="28"/>
        <v>1134</v>
      </c>
      <c r="AE18" s="81">
        <f t="shared" si="28"/>
        <v>5295</v>
      </c>
      <c r="AF18" s="80">
        <f t="shared" si="28"/>
        <v>1256</v>
      </c>
      <c r="AG18" s="80">
        <f t="shared" si="28"/>
        <v>1561</v>
      </c>
      <c r="AH18" s="80">
        <f t="shared" ref="AH18" si="29">SUM(AH12:AH17)</f>
        <v>1550</v>
      </c>
      <c r="AI18" s="80">
        <f t="shared" si="28"/>
        <v>1517</v>
      </c>
      <c r="AJ18" s="81">
        <f t="shared" si="28"/>
        <v>5884</v>
      </c>
      <c r="AK18" s="80">
        <f t="shared" ref="AK18:AR18" si="30">SUM(AK12:AK17)</f>
        <v>1657</v>
      </c>
      <c r="AL18" s="80">
        <f t="shared" si="30"/>
        <v>1583</v>
      </c>
      <c r="AM18" s="80">
        <f t="shared" si="30"/>
        <v>1735</v>
      </c>
      <c r="AN18" s="80">
        <f t="shared" si="30"/>
        <v>1760</v>
      </c>
      <c r="AO18" s="81">
        <f t="shared" si="30"/>
        <v>6735</v>
      </c>
      <c r="AP18" s="80">
        <f t="shared" si="30"/>
        <v>1921</v>
      </c>
      <c r="AQ18" s="80">
        <f t="shared" ref="AQ18" si="31">SUM(AQ12:AQ17)</f>
        <v>2013</v>
      </c>
      <c r="AR18" s="80">
        <f t="shared" si="30"/>
        <v>2026</v>
      </c>
      <c r="AS18" s="80">
        <f t="shared" ref="AS18:AW18" si="32">SUM(AS12:AS17)</f>
        <v>2058</v>
      </c>
      <c r="AT18" s="81">
        <f t="shared" si="32"/>
        <v>8018</v>
      </c>
      <c r="AU18" s="80">
        <f t="shared" si="32"/>
        <v>2108</v>
      </c>
      <c r="AV18" s="80">
        <f t="shared" si="32"/>
        <v>2391</v>
      </c>
      <c r="AW18" s="80">
        <f t="shared" si="32"/>
        <v>2354</v>
      </c>
      <c r="AX18" s="80">
        <f t="shared" ref="AX18:BB18" si="33">SUM(AX12:AX17)</f>
        <v>2652</v>
      </c>
      <c r="AY18" s="81">
        <f t="shared" si="33"/>
        <v>9505</v>
      </c>
      <c r="AZ18" s="80">
        <f t="shared" si="33"/>
        <v>2495</v>
      </c>
      <c r="BA18" s="80">
        <f t="shared" si="33"/>
        <v>2666</v>
      </c>
      <c r="BB18" s="80">
        <f t="shared" si="33"/>
        <v>2804</v>
      </c>
      <c r="BC18" s="80">
        <f t="shared" ref="BC18:BE18" si="34">SUM(BC12:BC17)</f>
        <v>2884</v>
      </c>
      <c r="BD18" s="81">
        <f t="shared" si="34"/>
        <v>10849</v>
      </c>
      <c r="BE18" s="80">
        <f t="shared" si="34"/>
        <v>2854</v>
      </c>
      <c r="BF18" s="80">
        <f t="shared" ref="BF18:BG18" si="35">SUM(BF12:BF17)</f>
        <v>3153</v>
      </c>
      <c r="BG18" s="80">
        <f t="shared" si="35"/>
        <v>3116.8345274999997</v>
      </c>
      <c r="BH18" s="80">
        <f t="shared" ref="BH18:BI18" si="36">SUM(BH12:BH17)</f>
        <v>3314.4526194999999</v>
      </c>
      <c r="BI18" s="81">
        <f t="shared" si="36"/>
        <v>12438.287147000001</v>
      </c>
      <c r="BJ18" s="541"/>
      <c r="BK18" s="112"/>
      <c r="BM18"/>
    </row>
    <row r="19" spans="1:82">
      <c r="A19" s="13"/>
      <c r="B19" s="68"/>
      <c r="C19" s="69"/>
      <c r="D19" s="69"/>
      <c r="E19" s="49"/>
      <c r="F19" s="40"/>
      <c r="G19" s="68"/>
      <c r="H19" s="69"/>
      <c r="I19" s="69"/>
      <c r="J19" s="49"/>
      <c r="K19" s="40"/>
      <c r="L19" s="68"/>
      <c r="M19" s="69"/>
      <c r="N19" s="69"/>
      <c r="O19" s="49"/>
      <c r="P19" s="40"/>
      <c r="Q19" s="68"/>
      <c r="R19" s="69"/>
      <c r="S19" s="69"/>
      <c r="T19" s="49"/>
      <c r="U19" s="40"/>
      <c r="V19" s="68"/>
      <c r="W19" s="69"/>
      <c r="X19" s="69"/>
      <c r="Y19" s="49"/>
      <c r="Z19" s="40"/>
      <c r="AA19" s="68"/>
      <c r="AB19" s="69"/>
      <c r="AC19" s="69"/>
      <c r="AD19" s="49"/>
      <c r="AE19" s="381"/>
      <c r="AF19" s="69"/>
      <c r="AG19" s="69"/>
      <c r="AH19" s="69"/>
      <c r="AI19" s="49"/>
      <c r="AJ19" s="40"/>
      <c r="AK19" s="69"/>
      <c r="AL19" s="69"/>
      <c r="AM19" s="69"/>
      <c r="AN19" s="49"/>
      <c r="AO19" s="40"/>
      <c r="AP19" s="69"/>
      <c r="AQ19" s="69"/>
      <c r="AR19" s="69"/>
      <c r="AS19" s="49"/>
      <c r="AT19" s="40"/>
      <c r="AU19" s="69"/>
      <c r="AV19" s="69"/>
      <c r="AW19" s="69"/>
      <c r="AX19" s="49"/>
      <c r="AY19" s="40"/>
      <c r="AZ19" s="69"/>
      <c r="BA19" s="69"/>
      <c r="BB19" s="69"/>
      <c r="BC19" s="49"/>
      <c r="BD19" s="40"/>
      <c r="BE19" s="69"/>
      <c r="BF19" s="69"/>
      <c r="BG19" s="69"/>
      <c r="BH19" s="49"/>
      <c r="BI19" s="40"/>
      <c r="BJ19" s="545"/>
      <c r="BK19" s="112"/>
      <c r="BM19"/>
      <c r="BX19" s="315"/>
      <c r="BY19" s="315"/>
      <c r="BZ19" s="315"/>
      <c r="CA19" s="315"/>
    </row>
    <row r="20" spans="1:82">
      <c r="A20" s="1" t="s">
        <v>44</v>
      </c>
      <c r="B20" s="256"/>
      <c r="C20" s="266"/>
      <c r="D20" s="266"/>
      <c r="E20" s="298"/>
      <c r="F20" s="43"/>
      <c r="G20" s="256"/>
      <c r="H20" s="266"/>
      <c r="I20" s="266"/>
      <c r="J20" s="298"/>
      <c r="K20" s="43"/>
      <c r="L20" s="256"/>
      <c r="M20" s="266"/>
      <c r="N20" s="266"/>
      <c r="O20" s="298"/>
      <c r="P20" s="43"/>
      <c r="Q20" s="256"/>
      <c r="R20" s="266"/>
      <c r="S20" s="266"/>
      <c r="T20" s="298"/>
      <c r="U20" s="43"/>
      <c r="V20" s="65" t="s">
        <v>310</v>
      </c>
      <c r="W20" s="66" t="s">
        <v>310</v>
      </c>
      <c r="X20" s="66" t="s">
        <v>310</v>
      </c>
      <c r="Y20" s="66" t="s">
        <v>310</v>
      </c>
      <c r="Z20" s="43" t="s">
        <v>310</v>
      </c>
      <c r="AA20" s="294">
        <f>AB20</f>
        <v>-118</v>
      </c>
      <c r="AB20" s="356">
        <v>-118</v>
      </c>
      <c r="AC20" s="356">
        <v>-118</v>
      </c>
      <c r="AD20" s="356">
        <f>AC20</f>
        <v>-118</v>
      </c>
      <c r="AE20" s="22">
        <f>SUM(AA20:AD20)</f>
        <v>-472</v>
      </c>
      <c r="AF20" s="66">
        <v>-101</v>
      </c>
      <c r="AG20" s="66">
        <v>-101</v>
      </c>
      <c r="AH20" s="66">
        <v>-102</v>
      </c>
      <c r="AI20" s="266">
        <v>-101</v>
      </c>
      <c r="AJ20" s="22">
        <f>SUM(AF20:AI20)</f>
        <v>-405</v>
      </c>
      <c r="AK20" s="453">
        <v>-91</v>
      </c>
      <c r="AL20" s="266">
        <v>-92</v>
      </c>
      <c r="AM20" s="266">
        <v>-91</v>
      </c>
      <c r="AN20" s="266">
        <v>-91</v>
      </c>
      <c r="AO20" s="22">
        <f>SUM(AK20:AN20)</f>
        <v>-365</v>
      </c>
      <c r="AP20" s="453">
        <v>-40</v>
      </c>
      <c r="AQ20" s="266">
        <v>-92</v>
      </c>
      <c r="AR20" s="266">
        <v>-38</v>
      </c>
      <c r="AS20" s="500">
        <v>24.999999999999982</v>
      </c>
      <c r="AT20" s="22">
        <f>SUM(AP20:AS20)</f>
        <v>-145.00000000000003</v>
      </c>
      <c r="AU20" s="453">
        <v>-35</v>
      </c>
      <c r="AV20" s="266">
        <v>-34</v>
      </c>
      <c r="AW20" s="266">
        <v>-34</v>
      </c>
      <c r="AX20" s="266">
        <v>-34.999999999999993</v>
      </c>
      <c r="AY20" s="22">
        <f>SUM(AU20:AX20)</f>
        <v>-138</v>
      </c>
      <c r="AZ20" s="453">
        <v>-30</v>
      </c>
      <c r="BA20" s="266">
        <v>-30</v>
      </c>
      <c r="BB20" s="266">
        <v>-30</v>
      </c>
      <c r="BC20" s="266">
        <v>-30</v>
      </c>
      <c r="BD20" s="22">
        <f>SUM(AZ20:BC20)</f>
        <v>-120</v>
      </c>
      <c r="BE20" s="453">
        <v>-28</v>
      </c>
      <c r="BF20" s="266">
        <v>-29</v>
      </c>
      <c r="BG20" s="41">
        <f>$BI20/4</f>
        <v>-37.5</v>
      </c>
      <c r="BH20" s="21">
        <f>BI20-SUM(BE20:BG20)</f>
        <v>-55.5</v>
      </c>
      <c r="BI20" s="43">
        <v>-150</v>
      </c>
      <c r="BJ20" s="541"/>
      <c r="BK20" s="112"/>
      <c r="BM20"/>
      <c r="BX20" s="386"/>
      <c r="BY20" s="386"/>
      <c r="BZ20" s="386"/>
      <c r="CA20" s="386"/>
      <c r="CB20" s="386"/>
      <c r="CC20" s="386"/>
      <c r="CD20" s="386"/>
    </row>
    <row r="21" spans="1:82">
      <c r="A21" s="1" t="s">
        <v>45</v>
      </c>
      <c r="B21" s="256"/>
      <c r="C21" s="266"/>
      <c r="D21" s="266"/>
      <c r="E21" s="298"/>
      <c r="F21" s="43"/>
      <c r="G21" s="256"/>
      <c r="H21" s="266"/>
      <c r="I21" s="266"/>
      <c r="J21" s="298"/>
      <c r="K21" s="43"/>
      <c r="L21" s="256"/>
      <c r="M21" s="266"/>
      <c r="N21" s="266"/>
      <c r="O21" s="298"/>
      <c r="P21" s="43"/>
      <c r="Q21" s="256"/>
      <c r="R21" s="266"/>
      <c r="S21" s="266"/>
      <c r="T21" s="298"/>
      <c r="U21" s="43"/>
      <c r="V21" s="65" t="s">
        <v>310</v>
      </c>
      <c r="W21" s="66" t="s">
        <v>310</v>
      </c>
      <c r="X21" s="66" t="s">
        <v>310</v>
      </c>
      <c r="Y21" s="66" t="s">
        <v>310</v>
      </c>
      <c r="Z21" s="43" t="s">
        <v>310</v>
      </c>
      <c r="AA21" s="294">
        <f>AA22-AA20</f>
        <v>499</v>
      </c>
      <c r="AB21" s="70">
        <f>+AB22-AB20</f>
        <v>497</v>
      </c>
      <c r="AC21" s="70">
        <f t="shared" ref="AC21:AD21" si="37">+AC22-AC20</f>
        <v>498</v>
      </c>
      <c r="AD21" s="70">
        <f t="shared" si="37"/>
        <v>488</v>
      </c>
      <c r="AE21" s="22">
        <f>SUM(AA21:AD21)</f>
        <v>1982</v>
      </c>
      <c r="AF21" s="70">
        <f t="shared" ref="AF21:AH21" si="38">+AF22-AF20</f>
        <v>524</v>
      </c>
      <c r="AG21" s="70">
        <f t="shared" si="38"/>
        <v>526</v>
      </c>
      <c r="AH21" s="70">
        <f t="shared" si="38"/>
        <v>601</v>
      </c>
      <c r="AI21" s="70">
        <f>+AI22-AI20</f>
        <v>550</v>
      </c>
      <c r="AJ21" s="22">
        <f>SUM(AF21:AI21)</f>
        <v>2201</v>
      </c>
      <c r="AK21" s="476">
        <f t="shared" ref="AK21:AM21" si="39">+AK22-AK20</f>
        <v>469</v>
      </c>
      <c r="AL21" s="298">
        <f t="shared" si="39"/>
        <v>471</v>
      </c>
      <c r="AM21" s="298">
        <f t="shared" si="39"/>
        <v>469</v>
      </c>
      <c r="AN21" s="70">
        <f>+AN22-AN20</f>
        <v>476</v>
      </c>
      <c r="AO21" s="22">
        <f>SUM(AK21:AN21)</f>
        <v>1885</v>
      </c>
      <c r="AP21" s="476">
        <f>+AP22-AP20</f>
        <v>329</v>
      </c>
      <c r="AQ21" s="298">
        <f t="shared" ref="AQ21:AR21" si="40">+AQ22-AQ20</f>
        <v>376</v>
      </c>
      <c r="AR21" s="298">
        <f t="shared" si="40"/>
        <v>310</v>
      </c>
      <c r="AS21" s="70">
        <f>+AS22-AS20</f>
        <v>257</v>
      </c>
      <c r="AT21" s="22">
        <f>SUM(AP21:AS21)</f>
        <v>1272</v>
      </c>
      <c r="AU21" s="476">
        <f>+AU22-AU20</f>
        <v>249</v>
      </c>
      <c r="AV21" s="298">
        <f t="shared" ref="AV21:AW21" si="41">+AV22-AV20</f>
        <v>246</v>
      </c>
      <c r="AW21" s="298">
        <f t="shared" si="41"/>
        <v>244</v>
      </c>
      <c r="AX21" s="70">
        <f>+AX22-AX20</f>
        <v>232</v>
      </c>
      <c r="AY21" s="22">
        <f>SUM(AU21:AX21)</f>
        <v>971</v>
      </c>
      <c r="AZ21" s="476">
        <f>+AZ22-AZ20</f>
        <v>215</v>
      </c>
      <c r="BA21" s="298">
        <f t="shared" ref="BA21:BB21" si="42">+BA22-BA20</f>
        <v>216</v>
      </c>
      <c r="BB21" s="298">
        <f t="shared" si="42"/>
        <v>229</v>
      </c>
      <c r="BC21" s="70">
        <f>+BC22-BC20</f>
        <v>213</v>
      </c>
      <c r="BD21" s="22">
        <f>SUM(AZ21:BC21)</f>
        <v>873</v>
      </c>
      <c r="BE21" s="476">
        <f>+BE22-BE20</f>
        <v>200</v>
      </c>
      <c r="BF21" s="298">
        <f t="shared" ref="BF21" si="43">+BF22-BF20</f>
        <v>200</v>
      </c>
      <c r="BG21" s="41">
        <f t="shared" ref="BG21" si="44">$BI21/4</f>
        <v>200</v>
      </c>
      <c r="BH21" s="21">
        <f>BI21-SUM(BE21:BG21)</f>
        <v>200</v>
      </c>
      <c r="BI21" s="43">
        <v>800</v>
      </c>
      <c r="BJ21" s="541"/>
      <c r="BK21" s="112"/>
      <c r="BM21"/>
      <c r="BX21" s="386"/>
      <c r="BY21" s="386"/>
      <c r="BZ21" s="386"/>
      <c r="CA21" s="386"/>
      <c r="CB21" s="386"/>
      <c r="CC21" s="386"/>
      <c r="CD21" s="386"/>
    </row>
    <row r="22" spans="1:82">
      <c r="A22" s="4" t="s">
        <v>46</v>
      </c>
      <c r="B22" s="80"/>
      <c r="C22" s="80"/>
      <c r="D22" s="80"/>
      <c r="E22" s="80"/>
      <c r="F22" s="81"/>
      <c r="G22" s="80"/>
      <c r="H22" s="80"/>
      <c r="I22" s="80"/>
      <c r="J22" s="80"/>
      <c r="K22" s="81"/>
      <c r="L22" s="80"/>
      <c r="M22" s="80"/>
      <c r="N22" s="80"/>
      <c r="O22" s="80"/>
      <c r="P22" s="81"/>
      <c r="Q22" s="80"/>
      <c r="R22" s="80"/>
      <c r="S22" s="80"/>
      <c r="T22" s="80"/>
      <c r="U22" s="81"/>
      <c r="V22" s="274">
        <v>356</v>
      </c>
      <c r="W22" s="274">
        <v>353</v>
      </c>
      <c r="X22" s="274">
        <v>351</v>
      </c>
      <c r="Y22" s="80">
        <f>+Z22-SUM(V22:X22)</f>
        <v>354</v>
      </c>
      <c r="Z22" s="275">
        <v>1414</v>
      </c>
      <c r="AA22" s="274">
        <v>381</v>
      </c>
      <c r="AB22" s="274">
        <v>379</v>
      </c>
      <c r="AC22" s="274">
        <v>380</v>
      </c>
      <c r="AD22" s="274">
        <v>370</v>
      </c>
      <c r="AE22" s="81">
        <f>+SUM(AE20:AE21)</f>
        <v>1510</v>
      </c>
      <c r="AF22" s="274">
        <v>423</v>
      </c>
      <c r="AG22" s="274">
        <v>425</v>
      </c>
      <c r="AH22" s="274">
        <v>499</v>
      </c>
      <c r="AI22" s="274">
        <v>449</v>
      </c>
      <c r="AJ22" s="81">
        <f>+SUM(AJ20:AJ21)</f>
        <v>1796</v>
      </c>
      <c r="AK22" s="274">
        <v>378</v>
      </c>
      <c r="AL22" s="274">
        <v>379</v>
      </c>
      <c r="AM22" s="274">
        <v>378</v>
      </c>
      <c r="AN22" s="274">
        <v>385</v>
      </c>
      <c r="AO22" s="81">
        <f>+SUM(AO20:AO21)</f>
        <v>1520</v>
      </c>
      <c r="AP22" s="274">
        <v>289</v>
      </c>
      <c r="AQ22" s="274">
        <v>284</v>
      </c>
      <c r="AR22" s="274">
        <v>272</v>
      </c>
      <c r="AS22" s="274">
        <v>282</v>
      </c>
      <c r="AT22" s="81">
        <f>+SUM(AT20:AT21)</f>
        <v>1127</v>
      </c>
      <c r="AU22" s="274">
        <v>214</v>
      </c>
      <c r="AV22" s="274">
        <v>212</v>
      </c>
      <c r="AW22" s="274">
        <v>210</v>
      </c>
      <c r="AX22" s="274">
        <v>197</v>
      </c>
      <c r="AY22" s="81">
        <f>+SUM(AY20:AY21)</f>
        <v>833</v>
      </c>
      <c r="AZ22" s="274">
        <v>185</v>
      </c>
      <c r="BA22" s="274">
        <v>186</v>
      </c>
      <c r="BB22" s="274">
        <v>199</v>
      </c>
      <c r="BC22" s="274">
        <v>183</v>
      </c>
      <c r="BD22" s="81">
        <f>+SUM(BD20:BD21)</f>
        <v>753</v>
      </c>
      <c r="BE22" s="274">
        <v>172</v>
      </c>
      <c r="BF22" s="274">
        <v>171</v>
      </c>
      <c r="BG22" s="96">
        <f t="shared" ref="BG22" si="45">+SUM(BG20:BG21)</f>
        <v>162.5</v>
      </c>
      <c r="BH22" s="96">
        <f t="shared" ref="BH22" si="46">+SUM(BH20:BH21)</f>
        <v>144.5</v>
      </c>
      <c r="BI22" s="81">
        <f>+SUM(BI20:BI21)</f>
        <v>650</v>
      </c>
      <c r="BJ22" s="542" t="s">
        <v>511</v>
      </c>
      <c r="BK22" s="112"/>
      <c r="BM22"/>
      <c r="BX22" s="386"/>
      <c r="BY22" s="386"/>
      <c r="BZ22" s="386"/>
      <c r="CA22" s="386"/>
      <c r="CB22" s="386"/>
      <c r="CC22" s="386"/>
      <c r="CD22" s="386"/>
    </row>
    <row r="23" spans="1:82">
      <c r="A23" s="1" t="s">
        <v>298</v>
      </c>
      <c r="B23" s="256"/>
      <c r="C23" s="266"/>
      <c r="D23" s="266"/>
      <c r="E23" s="308"/>
      <c r="F23" s="265"/>
      <c r="G23" s="256"/>
      <c r="H23" s="266"/>
      <c r="I23" s="266"/>
      <c r="J23" s="308"/>
      <c r="K23" s="265"/>
      <c r="L23" s="256"/>
      <c r="M23" s="266"/>
      <c r="N23" s="266"/>
      <c r="O23" s="308"/>
      <c r="P23" s="265"/>
      <c r="Q23" s="256"/>
      <c r="R23" s="266"/>
      <c r="S23" s="266"/>
      <c r="T23" s="308"/>
      <c r="U23" s="265"/>
      <c r="V23" s="65">
        <v>-84</v>
      </c>
      <c r="W23" s="66">
        <v>-85</v>
      </c>
      <c r="X23" s="66">
        <v>-75</v>
      </c>
      <c r="Y23" s="64">
        <f>+Z23-SUM(V23:X23)</f>
        <v>-63</v>
      </c>
      <c r="Z23" s="67">
        <v>-307</v>
      </c>
      <c r="AA23" s="65">
        <v>-221</v>
      </c>
      <c r="AB23" s="66">
        <v>-60</v>
      </c>
      <c r="AC23" s="66">
        <v>-36</v>
      </c>
      <c r="AD23" s="66">
        <v>-70</v>
      </c>
      <c r="AE23" s="22">
        <f>SUM(AA23:AD23)</f>
        <v>-387</v>
      </c>
      <c r="AF23" s="66">
        <v>-31</v>
      </c>
      <c r="AG23" s="66">
        <v>-40</v>
      </c>
      <c r="AH23" s="66">
        <v>-27</v>
      </c>
      <c r="AI23" s="66">
        <v>-35</v>
      </c>
      <c r="AJ23" s="22">
        <f>SUM(AF23:AI23)</f>
        <v>-133</v>
      </c>
      <c r="AK23" s="66">
        <v>-40</v>
      </c>
      <c r="AL23" s="66">
        <v>-47</v>
      </c>
      <c r="AM23" s="66">
        <v>-50</v>
      </c>
      <c r="AN23" s="66">
        <v>-43</v>
      </c>
      <c r="AO23" s="22">
        <f>SUM(AK23:AN23)</f>
        <v>-180</v>
      </c>
      <c r="AP23" s="66">
        <v>-17</v>
      </c>
      <c r="AQ23" s="66">
        <v>-26</v>
      </c>
      <c r="AR23" s="66">
        <v>-39</v>
      </c>
      <c r="AS23" s="66">
        <v>1</v>
      </c>
      <c r="AT23" s="22">
        <f>SUM(AP23:AS23)</f>
        <v>-81</v>
      </c>
      <c r="AU23" s="66">
        <v>-5</v>
      </c>
      <c r="AV23" s="66">
        <v>-36</v>
      </c>
      <c r="AW23" s="66">
        <v>-14</v>
      </c>
      <c r="AX23" s="66">
        <v>7</v>
      </c>
      <c r="AY23" s="22">
        <f>SUM(AU23:AX23)</f>
        <v>-48</v>
      </c>
      <c r="AZ23" s="66">
        <v>12</v>
      </c>
      <c r="BA23" s="66">
        <v>-17</v>
      </c>
      <c r="BB23" s="66">
        <v>-14</v>
      </c>
      <c r="BC23" s="66">
        <v>32</v>
      </c>
      <c r="BD23" s="22">
        <f>SUM(AZ23:BC23)</f>
        <v>13</v>
      </c>
      <c r="BE23" s="66">
        <v>38</v>
      </c>
      <c r="BF23" s="41">
        <v>28</v>
      </c>
      <c r="BG23" s="41">
        <f>(BI23-SUM(BE23:BF23))/2</f>
        <v>-8</v>
      </c>
      <c r="BH23" s="21">
        <f>BI23-SUM(BE23:BG23)</f>
        <v>-8</v>
      </c>
      <c r="BI23" s="158">
        <v>50</v>
      </c>
      <c r="BJ23" s="541"/>
      <c r="BK23" s="316"/>
      <c r="BM23"/>
      <c r="BX23" s="386"/>
      <c r="BY23" s="386"/>
      <c r="BZ23" s="386"/>
      <c r="CA23" s="386"/>
      <c r="CB23" s="386"/>
      <c r="CC23" s="386"/>
      <c r="CD23" s="386"/>
    </row>
    <row r="24" spans="1:82">
      <c r="A24" s="1" t="s">
        <v>326</v>
      </c>
      <c r="B24" s="256"/>
      <c r="C24" s="266"/>
      <c r="D24" s="266"/>
      <c r="E24" s="308"/>
      <c r="F24" s="265"/>
      <c r="G24" s="256"/>
      <c r="H24" s="266"/>
      <c r="I24" s="266"/>
      <c r="J24" s="308"/>
      <c r="K24" s="265"/>
      <c r="L24" s="256"/>
      <c r="M24" s="266"/>
      <c r="N24" s="266"/>
      <c r="O24" s="308"/>
      <c r="P24" s="265"/>
      <c r="Q24" s="256"/>
      <c r="R24" s="266"/>
      <c r="S24" s="266"/>
      <c r="T24" s="308"/>
      <c r="U24" s="265"/>
      <c r="V24" s="65">
        <v>-51</v>
      </c>
      <c r="W24" s="66">
        <v>-40</v>
      </c>
      <c r="X24" s="66">
        <v>-40</v>
      </c>
      <c r="Y24" s="64">
        <f>+Z24-SUM(V24:X24)</f>
        <v>-129</v>
      </c>
      <c r="Z24" s="67">
        <v>-260</v>
      </c>
      <c r="AA24" s="65">
        <v>0</v>
      </c>
      <c r="AB24" s="66">
        <v>0</v>
      </c>
      <c r="AC24" s="66">
        <v>0</v>
      </c>
      <c r="AD24" s="66">
        <v>0</v>
      </c>
      <c r="AE24" s="22">
        <f>SUM(AA24:AD24)</f>
        <v>0</v>
      </c>
      <c r="AF24" s="266">
        <f>-81+5+8+17</f>
        <v>-51</v>
      </c>
      <c r="AG24" s="66">
        <f>-149+60</f>
        <v>-89</v>
      </c>
      <c r="AH24" s="66">
        <f>-89+15</f>
        <v>-74</v>
      </c>
      <c r="AI24" s="66">
        <v>-70</v>
      </c>
      <c r="AJ24" s="22">
        <f>SUM(AF24:AI24)</f>
        <v>-284</v>
      </c>
      <c r="AK24" s="266">
        <v>-97</v>
      </c>
      <c r="AL24" s="66">
        <v>-33</v>
      </c>
      <c r="AM24" s="66">
        <v>-77</v>
      </c>
      <c r="AN24" s="66">
        <v>-45</v>
      </c>
      <c r="AO24" s="22">
        <f>SUM(AK24:AN24)</f>
        <v>-252</v>
      </c>
      <c r="AP24" s="266">
        <v>-40</v>
      </c>
      <c r="AQ24" s="66">
        <v>-28</v>
      </c>
      <c r="AR24" s="66">
        <v>-31</v>
      </c>
      <c r="AS24" s="66">
        <v>-70</v>
      </c>
      <c r="AT24" s="22">
        <f>SUM(AP24:AS24)</f>
        <v>-169</v>
      </c>
      <c r="AU24" s="266">
        <v>-25</v>
      </c>
      <c r="AV24" s="66">
        <v>-7</v>
      </c>
      <c r="AW24" s="66">
        <v>-71</v>
      </c>
      <c r="AX24" s="66">
        <v>-4</v>
      </c>
      <c r="AY24" s="22">
        <f>SUM(AU24:AX24)</f>
        <v>-107</v>
      </c>
      <c r="AZ24" s="266">
        <v>-29</v>
      </c>
      <c r="BA24" s="66">
        <v>-42</v>
      </c>
      <c r="BB24" s="66">
        <v>-23</v>
      </c>
      <c r="BC24" s="66">
        <v>-132</v>
      </c>
      <c r="BD24" s="22">
        <f>SUM(AZ24:BC24)</f>
        <v>-226</v>
      </c>
      <c r="BE24" s="266">
        <v>-41</v>
      </c>
      <c r="BF24" s="41">
        <v>7</v>
      </c>
      <c r="BG24" s="41">
        <f t="shared" ref="BF24:BG25" si="47">$BI24/4</f>
        <v>-56.25</v>
      </c>
      <c r="BH24" s="21">
        <f>BI24-SUM(BE24:BG24)</f>
        <v>-134.75</v>
      </c>
      <c r="BI24" s="158">
        <v>-225</v>
      </c>
      <c r="BJ24" s="542" t="s">
        <v>526</v>
      </c>
      <c r="BK24" s="112"/>
      <c r="BM24"/>
      <c r="BX24" s="386"/>
      <c r="BY24" s="386"/>
      <c r="BZ24" s="386"/>
      <c r="CA24" s="386"/>
      <c r="CB24" s="386"/>
      <c r="CC24" s="386"/>
      <c r="CD24" s="386"/>
    </row>
    <row r="25" spans="1:82">
      <c r="A25" s="1" t="s">
        <v>327</v>
      </c>
      <c r="B25" s="256"/>
      <c r="C25" s="266"/>
      <c r="D25" s="266"/>
      <c r="E25" s="308"/>
      <c r="F25" s="265"/>
      <c r="G25" s="256"/>
      <c r="H25" s="266"/>
      <c r="I25" s="266"/>
      <c r="J25" s="308"/>
      <c r="K25" s="265"/>
      <c r="L25" s="256"/>
      <c r="M25" s="266"/>
      <c r="N25" s="266"/>
      <c r="O25" s="308"/>
      <c r="P25" s="265"/>
      <c r="Q25" s="256"/>
      <c r="R25" s="266"/>
      <c r="S25" s="266"/>
      <c r="T25" s="308"/>
      <c r="U25" s="265"/>
      <c r="V25" s="65">
        <f>-588+588</f>
        <v>0</v>
      </c>
      <c r="W25" s="66">
        <f>-571+571</f>
        <v>0</v>
      </c>
      <c r="X25" s="66">
        <f>-581+581</f>
        <v>0</v>
      </c>
      <c r="Y25" s="64">
        <f>+Z25-SUM(V25:X25)</f>
        <v>0</v>
      </c>
      <c r="Z25" s="67">
        <f>-2332+2332</f>
        <v>0</v>
      </c>
      <c r="AA25" s="65">
        <f>-644+644</f>
        <v>0</v>
      </c>
      <c r="AB25" s="66">
        <f>-3745+17+3183+545</f>
        <v>0</v>
      </c>
      <c r="AC25" s="66">
        <f>AB25</f>
        <v>0</v>
      </c>
      <c r="AD25" s="66">
        <f>AC25</f>
        <v>0</v>
      </c>
      <c r="AE25" s="22">
        <f>SUM(AA25:AD25)</f>
        <v>0</v>
      </c>
      <c r="AF25" s="266">
        <v>0</v>
      </c>
      <c r="AG25" s="66">
        <f>AF25</f>
        <v>0</v>
      </c>
      <c r="AH25" s="66">
        <v>0</v>
      </c>
      <c r="AI25" s="66">
        <f>AH25</f>
        <v>0</v>
      </c>
      <c r="AJ25" s="22">
        <f>SUM(AF25:AI25)</f>
        <v>0</v>
      </c>
      <c r="AK25" s="266">
        <v>0</v>
      </c>
      <c r="AL25" s="66">
        <f>AK25</f>
        <v>0</v>
      </c>
      <c r="AM25" s="66">
        <v>0</v>
      </c>
      <c r="AN25" s="66">
        <f>AM25</f>
        <v>0</v>
      </c>
      <c r="AO25" s="22">
        <f>SUM(AK25:AN25)</f>
        <v>0</v>
      </c>
      <c r="AP25" s="266">
        <v>0</v>
      </c>
      <c r="AQ25" s="66">
        <f>AP25</f>
        <v>0</v>
      </c>
      <c r="AR25" s="66">
        <v>0</v>
      </c>
      <c r="AS25" s="266">
        <v>0</v>
      </c>
      <c r="AT25" s="22">
        <f>SUM(AP25:AS25)</f>
        <v>0</v>
      </c>
      <c r="AU25" s="266">
        <v>0</v>
      </c>
      <c r="AV25" s="66">
        <v>0</v>
      </c>
      <c r="AW25" s="66">
        <v>0</v>
      </c>
      <c r="AX25" s="266">
        <v>0</v>
      </c>
      <c r="AY25" s="22">
        <f>SUM(AU25:AX25)</f>
        <v>0</v>
      </c>
      <c r="AZ25" s="266">
        <v>0</v>
      </c>
      <c r="BA25" s="66">
        <v>0</v>
      </c>
      <c r="BB25" s="66">
        <v>0</v>
      </c>
      <c r="BC25" s="266">
        <v>0</v>
      </c>
      <c r="BD25" s="22">
        <f>SUM(AZ25:BC25)</f>
        <v>0</v>
      </c>
      <c r="BE25" s="266">
        <v>0</v>
      </c>
      <c r="BF25" s="41">
        <f t="shared" si="47"/>
        <v>0</v>
      </c>
      <c r="BG25" s="41">
        <f t="shared" si="47"/>
        <v>0</v>
      </c>
      <c r="BH25" s="21">
        <f>BI25-SUM(BE25:BG25)</f>
        <v>0</v>
      </c>
      <c r="BI25" s="43">
        <v>0</v>
      </c>
      <c r="BJ25" s="542"/>
      <c r="BK25" s="112"/>
      <c r="BM25"/>
    </row>
    <row r="26" spans="1:82">
      <c r="A26" s="4" t="s">
        <v>48</v>
      </c>
      <c r="B26" s="80"/>
      <c r="C26" s="80"/>
      <c r="D26" s="80"/>
      <c r="E26" s="80"/>
      <c r="F26" s="81"/>
      <c r="G26" s="80"/>
      <c r="H26" s="80"/>
      <c r="I26" s="80"/>
      <c r="J26" s="80"/>
      <c r="K26" s="81"/>
      <c r="L26" s="80"/>
      <c r="M26" s="80"/>
      <c r="N26" s="80"/>
      <c r="O26" s="80"/>
      <c r="P26" s="81"/>
      <c r="Q26" s="80"/>
      <c r="R26" s="80"/>
      <c r="S26" s="80"/>
      <c r="T26" s="80"/>
      <c r="U26" s="81"/>
      <c r="V26" s="80">
        <f>SUM(V22:V25)</f>
        <v>221</v>
      </c>
      <c r="W26" s="80">
        <f>SUM(W22:W25)</f>
        <v>228</v>
      </c>
      <c r="X26" s="80">
        <f>SUM(X22:X25)</f>
        <v>236</v>
      </c>
      <c r="Y26" s="80">
        <f>+Z26-SUM(V26:X26)</f>
        <v>162</v>
      </c>
      <c r="Z26" s="81">
        <f>SUM(Z22:Z25)</f>
        <v>847</v>
      </c>
      <c r="AA26" s="80">
        <f t="shared" ref="AA26:AG26" si="48">SUM(AA22:AA25)</f>
        <v>160</v>
      </c>
      <c r="AB26" s="80">
        <f t="shared" si="48"/>
        <v>319</v>
      </c>
      <c r="AC26" s="80">
        <f t="shared" si="48"/>
        <v>344</v>
      </c>
      <c r="AD26" s="80">
        <f t="shared" si="48"/>
        <v>300</v>
      </c>
      <c r="AE26" s="81">
        <f t="shared" si="48"/>
        <v>1123</v>
      </c>
      <c r="AF26" s="80">
        <f t="shared" si="48"/>
        <v>341</v>
      </c>
      <c r="AG26" s="80">
        <f t="shared" si="48"/>
        <v>296</v>
      </c>
      <c r="AH26" s="80">
        <f t="shared" ref="AH26:AL26" si="49">SUM(AH22:AH25)</f>
        <v>398</v>
      </c>
      <c r="AI26" s="80">
        <f t="shared" si="49"/>
        <v>344</v>
      </c>
      <c r="AJ26" s="81">
        <f t="shared" si="49"/>
        <v>1379</v>
      </c>
      <c r="AK26" s="80">
        <f t="shared" si="49"/>
        <v>241</v>
      </c>
      <c r="AL26" s="80">
        <f t="shared" si="49"/>
        <v>299</v>
      </c>
      <c r="AM26" s="80">
        <f>SUM(AM22:AM25)</f>
        <v>251</v>
      </c>
      <c r="AN26" s="80">
        <f t="shared" ref="AN26:AQ26" si="50">SUM(AN22:AN25)</f>
        <v>297</v>
      </c>
      <c r="AO26" s="81">
        <f t="shared" si="50"/>
        <v>1088</v>
      </c>
      <c r="AP26" s="80">
        <f t="shared" si="50"/>
        <v>232</v>
      </c>
      <c r="AQ26" s="80">
        <f t="shared" si="50"/>
        <v>230</v>
      </c>
      <c r="AR26" s="80">
        <f>SUM(AR22:AR25)</f>
        <v>202</v>
      </c>
      <c r="AS26" s="80">
        <f t="shared" ref="AS26:AV26" si="51">SUM(AS22:AS25)</f>
        <v>213</v>
      </c>
      <c r="AT26" s="81">
        <f t="shared" si="51"/>
        <v>877</v>
      </c>
      <c r="AU26" s="80">
        <f t="shared" si="51"/>
        <v>184</v>
      </c>
      <c r="AV26" s="80">
        <f t="shared" si="51"/>
        <v>169</v>
      </c>
      <c r="AW26" s="80">
        <f>SUM(AW22:AW25)</f>
        <v>125</v>
      </c>
      <c r="AX26" s="80">
        <f t="shared" ref="AX26:BA26" si="52">SUM(AX22:AX25)</f>
        <v>200</v>
      </c>
      <c r="AY26" s="81">
        <f t="shared" si="52"/>
        <v>678</v>
      </c>
      <c r="AZ26" s="80">
        <f t="shared" si="52"/>
        <v>168</v>
      </c>
      <c r="BA26" s="80">
        <f t="shared" si="52"/>
        <v>127</v>
      </c>
      <c r="BB26" s="80">
        <f>SUM(BB22:BB25)</f>
        <v>162</v>
      </c>
      <c r="BC26" s="80">
        <f t="shared" ref="BC26:BE26" si="53">SUM(BC22:BC25)</f>
        <v>83</v>
      </c>
      <c r="BD26" s="81">
        <f t="shared" si="53"/>
        <v>540</v>
      </c>
      <c r="BE26" s="80">
        <f t="shared" si="53"/>
        <v>169</v>
      </c>
      <c r="BF26" s="80">
        <f t="shared" ref="BF26:BG26" si="54">SUM(BF22:BF25)</f>
        <v>206</v>
      </c>
      <c r="BG26" s="80">
        <f t="shared" si="54"/>
        <v>98.25</v>
      </c>
      <c r="BH26" s="80">
        <f t="shared" ref="BH26:BI26" si="55">SUM(BH22:BH25)</f>
        <v>1.75</v>
      </c>
      <c r="BI26" s="81">
        <f t="shared" si="55"/>
        <v>475</v>
      </c>
      <c r="BJ26" s="541"/>
      <c r="BK26" s="112"/>
      <c r="BM26"/>
    </row>
    <row r="27" spans="1:82">
      <c r="A27" s="1"/>
      <c r="B27" s="41"/>
      <c r="C27" s="41"/>
      <c r="D27" s="41"/>
      <c r="E27" s="42"/>
      <c r="F27" s="43"/>
      <c r="G27" s="41"/>
      <c r="H27" s="41"/>
      <c r="I27" s="41"/>
      <c r="J27" s="42"/>
      <c r="K27" s="43"/>
      <c r="L27" s="41"/>
      <c r="M27" s="41"/>
      <c r="N27" s="41"/>
      <c r="O27" s="42"/>
      <c r="P27" s="43"/>
      <c r="Q27" s="41"/>
      <c r="R27" s="41"/>
      <c r="S27" s="41"/>
      <c r="T27" s="42"/>
      <c r="U27" s="43"/>
      <c r="V27" s="41"/>
      <c r="W27" s="41"/>
      <c r="X27" s="41"/>
      <c r="Y27" s="42"/>
      <c r="Z27" s="43"/>
      <c r="AA27" s="41"/>
      <c r="AB27" s="41"/>
      <c r="AC27" s="41"/>
      <c r="AD27" s="42"/>
      <c r="AE27" s="43"/>
      <c r="AF27" s="41"/>
      <c r="AG27" s="41"/>
      <c r="AH27" s="41"/>
      <c r="AI27" s="42"/>
      <c r="AJ27" s="43"/>
      <c r="AK27" s="41"/>
      <c r="AL27" s="41"/>
      <c r="AM27" s="41"/>
      <c r="AN27" s="42"/>
      <c r="AO27" s="43"/>
      <c r="AP27" s="41"/>
      <c r="AQ27" s="41"/>
      <c r="AR27" s="41"/>
      <c r="AS27" s="42"/>
      <c r="AT27" s="43"/>
      <c r="AU27" s="41"/>
      <c r="AV27" s="41"/>
      <c r="AW27" s="41"/>
      <c r="AX27" s="42"/>
      <c r="AY27" s="43"/>
      <c r="AZ27" s="41"/>
      <c r="BA27" s="41"/>
      <c r="BB27" s="41"/>
      <c r="BC27" s="42"/>
      <c r="BD27" s="43"/>
      <c r="BE27" s="41"/>
      <c r="BF27" s="41"/>
      <c r="BG27" s="41"/>
      <c r="BH27" s="42"/>
      <c r="BI27" s="43"/>
      <c r="BJ27" s="541"/>
      <c r="BK27" s="532"/>
      <c r="BM27"/>
    </row>
    <row r="28" spans="1:82">
      <c r="A28" s="8" t="s">
        <v>9</v>
      </c>
      <c r="B28" s="23"/>
      <c r="C28" s="23"/>
      <c r="D28" s="23"/>
      <c r="E28" s="23"/>
      <c r="F28" s="24"/>
      <c r="G28" s="23"/>
      <c r="H28" s="23"/>
      <c r="I28" s="23"/>
      <c r="J28" s="23"/>
      <c r="K28" s="24"/>
      <c r="L28" s="23"/>
      <c r="M28" s="23"/>
      <c r="N28" s="23"/>
      <c r="O28" s="23"/>
      <c r="P28" s="24"/>
      <c r="Q28" s="23"/>
      <c r="R28" s="23"/>
      <c r="S28" s="23"/>
      <c r="T28" s="23"/>
      <c r="U28" s="24"/>
      <c r="V28" s="23">
        <f t="shared" ref="V28:AG28" si="56">+V18+V26</f>
        <v>2761</v>
      </c>
      <c r="W28" s="23">
        <f t="shared" si="56"/>
        <v>2867</v>
      </c>
      <c r="X28" s="23">
        <f t="shared" si="56"/>
        <v>2964</v>
      </c>
      <c r="Y28" s="23">
        <f t="shared" si="56"/>
        <v>2715</v>
      </c>
      <c r="Z28" s="24">
        <f t="shared" si="56"/>
        <v>11307</v>
      </c>
      <c r="AA28" s="23">
        <f t="shared" si="56"/>
        <v>2897</v>
      </c>
      <c r="AB28" s="23">
        <f t="shared" si="56"/>
        <v>932</v>
      </c>
      <c r="AC28" s="23">
        <f>+AC18+AC26</f>
        <v>1155</v>
      </c>
      <c r="AD28" s="23">
        <f t="shared" si="56"/>
        <v>1434</v>
      </c>
      <c r="AE28" s="24">
        <f t="shared" si="56"/>
        <v>6418</v>
      </c>
      <c r="AF28" s="23">
        <f t="shared" si="56"/>
        <v>1597</v>
      </c>
      <c r="AG28" s="23">
        <f t="shared" si="56"/>
        <v>1857</v>
      </c>
      <c r="AH28" s="23">
        <f>+AH18+AH26</f>
        <v>1948</v>
      </c>
      <c r="AI28" s="23">
        <f t="shared" ref="AI28:AL28" si="57">+AI18+AI26</f>
        <v>1861</v>
      </c>
      <c r="AJ28" s="24">
        <f t="shared" si="57"/>
        <v>7263</v>
      </c>
      <c r="AK28" s="23">
        <f t="shared" si="57"/>
        <v>1898</v>
      </c>
      <c r="AL28" s="23">
        <f t="shared" si="57"/>
        <v>1882</v>
      </c>
      <c r="AM28" s="23">
        <f>+AM18+AM26</f>
        <v>1986</v>
      </c>
      <c r="AN28" s="23">
        <f t="shared" ref="AN28:AQ28" si="58">+AN18+AN26</f>
        <v>2057</v>
      </c>
      <c r="AO28" s="24">
        <f t="shared" si="58"/>
        <v>7823</v>
      </c>
      <c r="AP28" s="23">
        <f t="shared" si="58"/>
        <v>2153</v>
      </c>
      <c r="AQ28" s="23">
        <f t="shared" si="58"/>
        <v>2243</v>
      </c>
      <c r="AR28" s="23">
        <f>+AR18+AR26</f>
        <v>2228</v>
      </c>
      <c r="AS28" s="23">
        <f t="shared" ref="AS28:AV28" si="59">+AS18+AS26</f>
        <v>2271</v>
      </c>
      <c r="AT28" s="24">
        <f t="shared" si="59"/>
        <v>8895</v>
      </c>
      <c r="AU28" s="23">
        <f t="shared" si="59"/>
        <v>2292</v>
      </c>
      <c r="AV28" s="23">
        <f t="shared" si="59"/>
        <v>2560</v>
      </c>
      <c r="AW28" s="23">
        <f>+AW18+AW26</f>
        <v>2479</v>
      </c>
      <c r="AX28" s="23">
        <f t="shared" ref="AX28:BA28" si="60">+AX18+AX26</f>
        <v>2852</v>
      </c>
      <c r="AY28" s="24">
        <f t="shared" si="60"/>
        <v>10183</v>
      </c>
      <c r="AZ28" s="23">
        <f t="shared" si="60"/>
        <v>2663</v>
      </c>
      <c r="BA28" s="23">
        <f t="shared" si="60"/>
        <v>2793</v>
      </c>
      <c r="BB28" s="23">
        <f>+BB18+BB26</f>
        <v>2966</v>
      </c>
      <c r="BC28" s="23">
        <f t="shared" ref="BC28:BE28" si="61">+BC18+BC26</f>
        <v>2967</v>
      </c>
      <c r="BD28" s="24">
        <f t="shared" si="61"/>
        <v>11389</v>
      </c>
      <c r="BE28" s="23">
        <f t="shared" si="61"/>
        <v>3023</v>
      </c>
      <c r="BF28" s="23">
        <f>+BF18+BF26</f>
        <v>3359</v>
      </c>
      <c r="BG28" s="23">
        <f>+BG18+BG26</f>
        <v>3215.0845274999997</v>
      </c>
      <c r="BH28" s="23">
        <f t="shared" ref="BH28:BI28" si="62">+BH18+BH26</f>
        <v>3316.2026194999999</v>
      </c>
      <c r="BI28" s="24">
        <f t="shared" si="62"/>
        <v>12913.287147000001</v>
      </c>
      <c r="BJ28" s="546"/>
      <c r="BK28" s="532"/>
      <c r="BM28"/>
    </row>
    <row r="29" spans="1:82">
      <c r="A29" s="1" t="s">
        <v>3</v>
      </c>
      <c r="B29" s="44"/>
      <c r="C29" s="35"/>
      <c r="D29" s="35"/>
      <c r="E29" s="35"/>
      <c r="F29" s="36"/>
      <c r="G29" s="44"/>
      <c r="H29" s="35"/>
      <c r="I29" s="35"/>
      <c r="J29" s="35"/>
      <c r="K29" s="36"/>
      <c r="L29" s="44"/>
      <c r="M29" s="35"/>
      <c r="N29" s="35"/>
      <c r="O29" s="35"/>
      <c r="P29" s="36"/>
      <c r="Q29" s="44"/>
      <c r="R29" s="35"/>
      <c r="S29" s="35"/>
      <c r="T29" s="35"/>
      <c r="U29" s="36"/>
      <c r="V29" s="44">
        <f t="shared" ref="V29:AG29" si="63">V28/V9</f>
        <v>0.15667915106117353</v>
      </c>
      <c r="W29" s="35">
        <f t="shared" si="63"/>
        <v>0.15567984361424847</v>
      </c>
      <c r="X29" s="35">
        <f t="shared" si="63"/>
        <v>0.15806313993174062</v>
      </c>
      <c r="Y29" s="35">
        <f t="shared" si="63"/>
        <v>0.13961022265645087</v>
      </c>
      <c r="Z29" s="36">
        <f t="shared" si="63"/>
        <v>0.15230949526516427</v>
      </c>
      <c r="AA29" s="113">
        <f t="shared" si="63"/>
        <v>0.15741998587186873</v>
      </c>
      <c r="AB29" s="35">
        <f t="shared" si="63"/>
        <v>6.3696008747949701E-2</v>
      </c>
      <c r="AC29" s="35">
        <f t="shared" si="63"/>
        <v>7.6759486940918456E-2</v>
      </c>
      <c r="AD29" s="35">
        <f t="shared" si="63"/>
        <v>8.6474099981909178E-2</v>
      </c>
      <c r="AE29" s="36">
        <f t="shared" si="63"/>
        <v>9.9249980669604887E-2</v>
      </c>
      <c r="AF29" s="35">
        <f t="shared" si="63"/>
        <v>0.10471444495442922</v>
      </c>
      <c r="AG29" s="35">
        <f t="shared" si="63"/>
        <v>0.11693954659949622</v>
      </c>
      <c r="AH29" s="35">
        <f t="shared" ref="AH29:AL29" si="64">AH28/AH9</f>
        <v>0.12015049651514217</v>
      </c>
      <c r="AI29" s="35">
        <f t="shared" si="64"/>
        <v>0.10918798404130486</v>
      </c>
      <c r="AJ29" s="36">
        <f t="shared" si="64"/>
        <v>0.11280052183636702</v>
      </c>
      <c r="AK29" s="35">
        <f t="shared" si="64"/>
        <v>0.12076864342071773</v>
      </c>
      <c r="AL29" s="35">
        <f t="shared" si="64"/>
        <v>0.11536103959789139</v>
      </c>
      <c r="AM29" s="35">
        <f t="shared" ref="AM29:AQ29" si="65">AM28/AM9</f>
        <v>0.11716122942599257</v>
      </c>
      <c r="AN29" s="35">
        <f t="shared" si="65"/>
        <v>0.11369037749405847</v>
      </c>
      <c r="AO29" s="36">
        <f t="shared" si="65"/>
        <v>0.11663237618153084</v>
      </c>
      <c r="AP29" s="35">
        <f t="shared" si="65"/>
        <v>0.12507261531311722</v>
      </c>
      <c r="AQ29" s="35">
        <f t="shared" si="65"/>
        <v>0.12246792246792247</v>
      </c>
      <c r="AR29" s="35">
        <f t="shared" ref="AR29:AV29" si="66">AR28/AR9</f>
        <v>0.11756015196285352</v>
      </c>
      <c r="AS29" s="35">
        <f t="shared" si="66"/>
        <v>0.11455811138014528</v>
      </c>
      <c r="AT29" s="36">
        <f t="shared" si="66"/>
        <v>0.11970930623780365</v>
      </c>
      <c r="AU29" s="35">
        <f t="shared" si="66"/>
        <v>0.11872571872571873</v>
      </c>
      <c r="AV29" s="35">
        <f t="shared" si="66"/>
        <v>0.12935172553180738</v>
      </c>
      <c r="AW29" s="35">
        <f t="shared" ref="AW29:BA29" si="67">AW28/AW9</f>
        <v>0.12340086614565185</v>
      </c>
      <c r="AX29" s="35">
        <f t="shared" si="67"/>
        <v>0.13189659159228601</v>
      </c>
      <c r="AY29" s="36">
        <f t="shared" si="67"/>
        <v>0.12601475101475101</v>
      </c>
      <c r="AZ29" s="35">
        <f t="shared" si="67"/>
        <v>0.13114350438294101</v>
      </c>
      <c r="BA29" s="35">
        <f t="shared" si="67"/>
        <v>0.12941939669153421</v>
      </c>
      <c r="BB29" s="35">
        <f t="shared" ref="BB29:BE29" si="68">BB28/BB9</f>
        <v>0.13195124121363111</v>
      </c>
      <c r="BC29" s="35">
        <f t="shared" si="68"/>
        <v>0.12241109002392937</v>
      </c>
      <c r="BD29" s="36">
        <f t="shared" si="68"/>
        <v>0.12853966569980702</v>
      </c>
      <c r="BE29" s="35">
        <f t="shared" si="68"/>
        <v>0.13693603913752492</v>
      </c>
      <c r="BF29" s="35">
        <f t="shared" ref="BF29:BG29" si="69">BF28/BF9</f>
        <v>0.13599190283400811</v>
      </c>
      <c r="BG29" s="35">
        <f t="shared" si="69"/>
        <v>0.13411214473469329</v>
      </c>
      <c r="BH29" s="35">
        <f t="shared" ref="BH29:BI29" si="70">BH28/BH9</f>
        <v>0.13136148731967714</v>
      </c>
      <c r="BI29" s="36">
        <f t="shared" si="70"/>
        <v>0.13452186163949242</v>
      </c>
      <c r="BJ29" s="541"/>
      <c r="BK29" s="532"/>
      <c r="BM29"/>
    </row>
    <row r="30" spans="1:82">
      <c r="F30" s="26"/>
      <c r="K30" s="26"/>
      <c r="P30" s="26"/>
      <c r="U30" s="26"/>
      <c r="Z30" s="26"/>
      <c r="AB30" s="77"/>
      <c r="AC30" s="77"/>
      <c r="AE30" s="26"/>
      <c r="AH30" s="77"/>
      <c r="AJ30" s="26"/>
      <c r="AM30" s="77"/>
      <c r="AO30" s="26"/>
      <c r="AR30" s="77"/>
      <c r="AT30" s="26"/>
      <c r="AW30" s="77"/>
      <c r="AY30" s="26"/>
      <c r="BB30" s="77"/>
      <c r="BD30" s="26"/>
      <c r="BF30" s="77"/>
      <c r="BG30" s="77"/>
      <c r="BI30" s="26"/>
      <c r="BJ30" s="541"/>
      <c r="BK30" s="532"/>
      <c r="BM30"/>
    </row>
    <row r="31" spans="1:82">
      <c r="A31" s="1" t="s">
        <v>311</v>
      </c>
      <c r="B31" s="65"/>
      <c r="C31" s="66"/>
      <c r="D31" s="66"/>
      <c r="E31" s="64"/>
      <c r="F31" s="67"/>
      <c r="G31" s="65"/>
      <c r="H31" s="66"/>
      <c r="I31" s="66"/>
      <c r="J31" s="64"/>
      <c r="K31" s="67"/>
      <c r="L31" s="65"/>
      <c r="M31" s="66"/>
      <c r="N31" s="66"/>
      <c r="O31" s="64"/>
      <c r="P31" s="67"/>
      <c r="Q31" s="256"/>
      <c r="R31" s="266"/>
      <c r="S31" s="266"/>
      <c r="T31" s="308"/>
      <c r="U31" s="265"/>
      <c r="V31" s="294">
        <v>-451</v>
      </c>
      <c r="W31" s="294">
        <v>-448</v>
      </c>
      <c r="X31" s="294">
        <v>-442</v>
      </c>
      <c r="Y31" s="64">
        <f>+Z31-SUM(V31:X31)</f>
        <v>-451</v>
      </c>
      <c r="Z31" s="296">
        <v>-1792</v>
      </c>
      <c r="AA31" s="65">
        <v>-252</v>
      </c>
      <c r="AB31" s="66">
        <v>-341</v>
      </c>
      <c r="AC31" s="66">
        <v>-350</v>
      </c>
      <c r="AD31" s="388">
        <v>-349</v>
      </c>
      <c r="AE31" s="22">
        <f>SUM(AA31:AD31)</f>
        <v>-1292</v>
      </c>
      <c r="AF31" s="41">
        <v>-346</v>
      </c>
      <c r="AG31" s="41">
        <v>-342</v>
      </c>
      <c r="AH31" s="66">
        <f>-358+32</f>
        <v>-326</v>
      </c>
      <c r="AI31" s="388">
        <v>-308</v>
      </c>
      <c r="AJ31" s="22">
        <f>SUM(AF31:AI31)</f>
        <v>-1322</v>
      </c>
      <c r="AK31" s="41">
        <v>-318</v>
      </c>
      <c r="AL31" s="41">
        <v>-329</v>
      </c>
      <c r="AM31" s="66">
        <v>-311</v>
      </c>
      <c r="AN31" s="388">
        <v>-318</v>
      </c>
      <c r="AO31" s="22">
        <f>SUM(AK31:AN31)</f>
        <v>-1276</v>
      </c>
      <c r="AP31" s="41">
        <v>-315</v>
      </c>
      <c r="AQ31" s="41">
        <v>-333</v>
      </c>
      <c r="AR31" s="66">
        <v>-369</v>
      </c>
      <c r="AS31" s="482">
        <f>-488-11</f>
        <v>-499</v>
      </c>
      <c r="AT31" s="22">
        <f>SUM(AP31:AS31)</f>
        <v>-1516</v>
      </c>
      <c r="AU31" s="41">
        <f>-405-(78/0.79)</f>
        <v>-503.7341772151899</v>
      </c>
      <c r="AV31" s="41">
        <v>-475</v>
      </c>
      <c r="AW31" s="266">
        <f>-496+11</f>
        <v>-485</v>
      </c>
      <c r="AX31" s="76">
        <v>-486</v>
      </c>
      <c r="AY31" s="22">
        <f>SUM(AU31:AX31)</f>
        <v>-1949.7341772151899</v>
      </c>
      <c r="AZ31" s="41">
        <f>-443-(43/0.79)+(35/0.79)+2</f>
        <v>-451.12658227848101</v>
      </c>
      <c r="BA31" s="41">
        <f>-457-(11/0.79)+3</f>
        <v>-467.92405063291142</v>
      </c>
      <c r="BB31" s="266">
        <f>-449</f>
        <v>-449</v>
      </c>
      <c r="BC31" s="76">
        <v>-400</v>
      </c>
      <c r="BD31" s="22">
        <f>SUM(AZ31:BC31)</f>
        <v>-1768.0506329113923</v>
      </c>
      <c r="BE31" s="41">
        <v>-390</v>
      </c>
      <c r="BF31" s="41">
        <v>-417</v>
      </c>
      <c r="BG31" s="37">
        <f>-Debt_Qtr!BG199</f>
        <v>-412.45281249999999</v>
      </c>
      <c r="BH31" s="179">
        <f>-Debt_Qtr!BH199</f>
        <v>-405.12737499999997</v>
      </c>
      <c r="BI31" s="22">
        <f>SUM(BE31:BH31)</f>
        <v>-1624.5801875</v>
      </c>
      <c r="BJ31" s="547" t="s">
        <v>524</v>
      </c>
      <c r="BK31" s="112"/>
      <c r="BM31"/>
    </row>
    <row r="32" spans="1:82">
      <c r="A32" s="1" t="s">
        <v>312</v>
      </c>
      <c r="B32" s="65"/>
      <c r="C32" s="66"/>
      <c r="D32" s="66"/>
      <c r="E32" s="64"/>
      <c r="F32" s="67"/>
      <c r="G32" s="65"/>
      <c r="H32" s="66"/>
      <c r="I32" s="66"/>
      <c r="J32" s="64"/>
      <c r="K32" s="67"/>
      <c r="L32" s="65"/>
      <c r="M32" s="66"/>
      <c r="N32" s="66"/>
      <c r="O32" s="64"/>
      <c r="P32" s="67"/>
      <c r="Q32" s="256"/>
      <c r="R32" s="266"/>
      <c r="S32" s="266"/>
      <c r="T32" s="308"/>
      <c r="U32" s="265"/>
      <c r="V32" s="294">
        <v>-11</v>
      </c>
      <c r="W32" s="294">
        <v>-19</v>
      </c>
      <c r="X32" s="294">
        <v>-39</v>
      </c>
      <c r="Y32" s="64">
        <f>+Z32-SUM(V32:X32)</f>
        <v>-3</v>
      </c>
      <c r="Z32" s="296">
        <v>-72</v>
      </c>
      <c r="AA32" s="65">
        <v>-276</v>
      </c>
      <c r="AB32" s="66">
        <v>-250</v>
      </c>
      <c r="AC32" s="66">
        <v>-266</v>
      </c>
      <c r="AD32" s="66">
        <v>-252</v>
      </c>
      <c r="AE32" s="22">
        <f>SUM(AA32:AD32)</f>
        <v>-1044</v>
      </c>
      <c r="AF32" s="266">
        <v>-491</v>
      </c>
      <c r="AG32" s="66">
        <v>-490</v>
      </c>
      <c r="AH32" s="66">
        <v>-491</v>
      </c>
      <c r="AI32" s="66">
        <v>-489</v>
      </c>
      <c r="AJ32" s="22">
        <f>SUM(AF32:AI32)</f>
        <v>-1961</v>
      </c>
      <c r="AK32" s="266">
        <v>-480</v>
      </c>
      <c r="AL32" s="66">
        <v>-474</v>
      </c>
      <c r="AM32" s="66">
        <v>-468</v>
      </c>
      <c r="AN32" s="266">
        <f>-7-467</f>
        <v>-474</v>
      </c>
      <c r="AO32" s="22">
        <f>SUM(AK32:AN32)</f>
        <v>-1896</v>
      </c>
      <c r="AP32" s="453">
        <f>-444-2</f>
        <v>-446</v>
      </c>
      <c r="AQ32" s="66">
        <v>-447</v>
      </c>
      <c r="AR32" s="66">
        <v>-443</v>
      </c>
      <c r="AS32" s="266">
        <v>-446</v>
      </c>
      <c r="AT32" s="22">
        <f>SUM(AP32:AS32)</f>
        <v>-1782</v>
      </c>
      <c r="AU32" s="266">
        <f>-386+(2/0.79)-(9/0.79)-5</f>
        <v>-399.86075949367091</v>
      </c>
      <c r="AV32" s="66">
        <f>-374-3</f>
        <v>-377</v>
      </c>
      <c r="AW32" s="266">
        <f>-374-4</f>
        <v>-378</v>
      </c>
      <c r="AX32" s="266">
        <v>-384</v>
      </c>
      <c r="AY32" s="22">
        <f>SUM(AU32:AX32)</f>
        <v>-1538.8607594936709</v>
      </c>
      <c r="AZ32" s="266">
        <v>-366</v>
      </c>
      <c r="BA32" s="66">
        <v>-351</v>
      </c>
      <c r="BB32" s="266">
        <v>-364</v>
      </c>
      <c r="BC32" s="266">
        <v>-101</v>
      </c>
      <c r="BD32" s="22">
        <f>SUM(AZ32:BC32)</f>
        <v>-1182</v>
      </c>
      <c r="BE32" s="266">
        <f>-355-2</f>
        <v>-357</v>
      </c>
      <c r="BF32" s="66">
        <f>-348-2</f>
        <v>-350</v>
      </c>
      <c r="BG32" s="41">
        <f>(BI32-SUM(BE32:BF32))/2</f>
        <v>-346.5</v>
      </c>
      <c r="BH32" s="21">
        <f>BI32-SUM(BE32:BG32)</f>
        <v>-346.5</v>
      </c>
      <c r="BI32" s="43">
        <v>-1400</v>
      </c>
      <c r="BJ32" s="542" t="s">
        <v>525</v>
      </c>
      <c r="BK32" s="112"/>
      <c r="BM32"/>
    </row>
    <row r="33" spans="1:74">
      <c r="A33" s="1" t="s">
        <v>50</v>
      </c>
      <c r="B33" s="65"/>
      <c r="C33" s="66"/>
      <c r="D33" s="66"/>
      <c r="E33" s="64"/>
      <c r="F33" s="67"/>
      <c r="G33" s="65"/>
      <c r="H33" s="66"/>
      <c r="I33" s="66"/>
      <c r="J33" s="64"/>
      <c r="K33" s="67"/>
      <c r="L33" s="65"/>
      <c r="M33" s="66"/>
      <c r="N33" s="66"/>
      <c r="O33" s="64"/>
      <c r="P33" s="67"/>
      <c r="Q33" s="256"/>
      <c r="R33" s="266"/>
      <c r="S33" s="266"/>
      <c r="T33" s="308"/>
      <c r="U33" s="265"/>
      <c r="V33" s="294">
        <v>20</v>
      </c>
      <c r="W33" s="294">
        <v>8</v>
      </c>
      <c r="X33" s="294">
        <v>17</v>
      </c>
      <c r="Y33" s="45">
        <f>+Z33-SUM(V33:X33)</f>
        <v>-7</v>
      </c>
      <c r="Z33" s="297">
        <v>38</v>
      </c>
      <c r="AA33" s="65">
        <v>0</v>
      </c>
      <c r="AB33" s="66">
        <v>0</v>
      </c>
      <c r="AC33" s="66">
        <v>0</v>
      </c>
      <c r="AD33" s="66">
        <v>0</v>
      </c>
      <c r="AE33" s="22">
        <f>SUM(AA33:AD33)</f>
        <v>0</v>
      </c>
      <c r="AF33" s="356">
        <v>0</v>
      </c>
      <c r="AG33" s="356">
        <v>0</v>
      </c>
      <c r="AH33" s="66">
        <v>0</v>
      </c>
      <c r="AI33" s="453">
        <v>0</v>
      </c>
      <c r="AJ33" s="22">
        <f>SUM(AF33:AI33)</f>
        <v>0</v>
      </c>
      <c r="AK33" s="356">
        <v>0</v>
      </c>
      <c r="AL33" s="356">
        <v>0</v>
      </c>
      <c r="AM33" s="66">
        <v>0</v>
      </c>
      <c r="AN33" s="453">
        <v>0</v>
      </c>
      <c r="AO33" s="22">
        <f>SUM(AK33:AN33)</f>
        <v>0</v>
      </c>
      <c r="AP33" s="66">
        <v>0</v>
      </c>
      <c r="AQ33" s="356">
        <v>0</v>
      </c>
      <c r="AR33" s="66">
        <v>0</v>
      </c>
      <c r="AS33" s="453">
        <v>0</v>
      </c>
      <c r="AT33" s="22">
        <f>SUM(AP33:AS33)</f>
        <v>0</v>
      </c>
      <c r="AU33" s="66">
        <v>0</v>
      </c>
      <c r="AV33" s="66">
        <v>0</v>
      </c>
      <c r="AW33" s="66">
        <v>0</v>
      </c>
      <c r="AX33" s="453">
        <v>0</v>
      </c>
      <c r="AY33" s="22">
        <f>SUM(AU33:AX33)</f>
        <v>0</v>
      </c>
      <c r="AZ33" s="66">
        <v>0</v>
      </c>
      <c r="BA33" s="66">
        <v>0</v>
      </c>
      <c r="BB33" s="66">
        <v>0</v>
      </c>
      <c r="BC33" s="453">
        <v>0</v>
      </c>
      <c r="BD33" s="22">
        <f>SUM(AZ33:BC33)</f>
        <v>0</v>
      </c>
      <c r="BE33" s="66">
        <v>0</v>
      </c>
      <c r="BF33" s="66">
        <v>0</v>
      </c>
      <c r="BG33" s="356">
        <v>0</v>
      </c>
      <c r="BH33" s="356">
        <v>0</v>
      </c>
      <c r="BI33" s="22">
        <f>SUM(BE33:BH33)</f>
        <v>0</v>
      </c>
      <c r="BJ33" s="544"/>
      <c r="BK33" s="112"/>
      <c r="BM33"/>
    </row>
    <row r="34" spans="1:74">
      <c r="A34" s="8" t="s">
        <v>51</v>
      </c>
      <c r="B34" s="23"/>
      <c r="C34" s="23"/>
      <c r="D34" s="23"/>
      <c r="E34" s="23"/>
      <c r="F34" s="24"/>
      <c r="G34" s="23"/>
      <c r="H34" s="23"/>
      <c r="I34" s="23"/>
      <c r="J34" s="23"/>
      <c r="K34" s="24"/>
      <c r="L34" s="23"/>
      <c r="M34" s="23"/>
      <c r="N34" s="23"/>
      <c r="O34" s="23"/>
      <c r="P34" s="24"/>
      <c r="Q34" s="23"/>
      <c r="R34" s="23"/>
      <c r="S34" s="23"/>
      <c r="T34" s="23"/>
      <c r="U34" s="24"/>
      <c r="V34" s="23">
        <f t="shared" ref="V34:AB34" si="71">V28+V31-V32+V33</f>
        <v>2341</v>
      </c>
      <c r="W34" s="23">
        <f t="shared" si="71"/>
        <v>2446</v>
      </c>
      <c r="X34" s="23">
        <f t="shared" si="71"/>
        <v>2578</v>
      </c>
      <c r="Y34" s="23">
        <f t="shared" si="71"/>
        <v>2260</v>
      </c>
      <c r="Z34" s="24">
        <f t="shared" si="71"/>
        <v>9625</v>
      </c>
      <c r="AA34" s="23">
        <f t="shared" si="71"/>
        <v>2921</v>
      </c>
      <c r="AB34" s="23">
        <f t="shared" si="71"/>
        <v>841</v>
      </c>
      <c r="AC34" s="23">
        <f t="shared" ref="AC34" si="72">AC28+AC31-AC32+AC33</f>
        <v>1071</v>
      </c>
      <c r="AD34" s="23">
        <f t="shared" ref="AD34:AH34" si="73">AD28+AD31-AD32+AD33</f>
        <v>1337</v>
      </c>
      <c r="AE34" s="24">
        <f t="shared" si="73"/>
        <v>6170</v>
      </c>
      <c r="AF34" s="23">
        <f t="shared" si="73"/>
        <v>1742</v>
      </c>
      <c r="AG34" s="23">
        <f t="shared" si="73"/>
        <v>2005</v>
      </c>
      <c r="AH34" s="23">
        <f t="shared" si="73"/>
        <v>2113</v>
      </c>
      <c r="AI34" s="23">
        <f t="shared" ref="AI34:AM34" si="74">AI28+AI31-AI32+AI33</f>
        <v>2042</v>
      </c>
      <c r="AJ34" s="24">
        <f t="shared" si="74"/>
        <v>7902</v>
      </c>
      <c r="AK34" s="23">
        <f t="shared" si="74"/>
        <v>2060</v>
      </c>
      <c r="AL34" s="23">
        <f t="shared" si="74"/>
        <v>2027</v>
      </c>
      <c r="AM34" s="23">
        <f t="shared" si="74"/>
        <v>2143</v>
      </c>
      <c r="AN34" s="23">
        <f t="shared" ref="AN34:AR34" si="75">AN28+AN31-AN32+AN33</f>
        <v>2213</v>
      </c>
      <c r="AO34" s="24">
        <f t="shared" si="75"/>
        <v>8443</v>
      </c>
      <c r="AP34" s="23">
        <f t="shared" si="75"/>
        <v>2284</v>
      </c>
      <c r="AQ34" s="23">
        <f t="shared" si="75"/>
        <v>2357</v>
      </c>
      <c r="AR34" s="23">
        <f t="shared" si="75"/>
        <v>2302</v>
      </c>
      <c r="AS34" s="23">
        <f t="shared" ref="AS34:AW34" si="76">AS28+AS31-AS32+AS33</f>
        <v>2218</v>
      </c>
      <c r="AT34" s="24">
        <f t="shared" si="76"/>
        <v>9161</v>
      </c>
      <c r="AU34" s="23">
        <f t="shared" si="76"/>
        <v>2188.1265822784808</v>
      </c>
      <c r="AV34" s="23">
        <f t="shared" si="76"/>
        <v>2462</v>
      </c>
      <c r="AW34" s="23">
        <f t="shared" si="76"/>
        <v>2372</v>
      </c>
      <c r="AX34" s="23">
        <f t="shared" ref="AX34:BB34" si="77">AX28+AX31-AX32+AX33</f>
        <v>2750</v>
      </c>
      <c r="AY34" s="24">
        <f t="shared" si="77"/>
        <v>9772.1265822784808</v>
      </c>
      <c r="AZ34" s="23">
        <f t="shared" si="77"/>
        <v>2577.8734177215192</v>
      </c>
      <c r="BA34" s="23">
        <f t="shared" si="77"/>
        <v>2676.0759493670885</v>
      </c>
      <c r="BB34" s="23">
        <f t="shared" si="77"/>
        <v>2881</v>
      </c>
      <c r="BC34" s="23">
        <f t="shared" ref="BC34:BF34" si="78">BC28+BC31-BC32+BC33</f>
        <v>2668</v>
      </c>
      <c r="BD34" s="24">
        <f t="shared" si="78"/>
        <v>10802.949367088608</v>
      </c>
      <c r="BE34" s="23">
        <f t="shared" si="78"/>
        <v>2990</v>
      </c>
      <c r="BF34" s="23">
        <f t="shared" si="78"/>
        <v>3292</v>
      </c>
      <c r="BG34" s="23">
        <f t="shared" ref="BG34" si="79">BG28+BG31-BG32+BG33</f>
        <v>3149.1317149999995</v>
      </c>
      <c r="BH34" s="23">
        <f t="shared" ref="BH34:BI34" si="80">BH28+BH31-BH32+BH33</f>
        <v>3257.5752444999998</v>
      </c>
      <c r="BI34" s="24">
        <f t="shared" si="80"/>
        <v>12688.706959500001</v>
      </c>
      <c r="BJ34" s="541"/>
      <c r="BK34" s="112"/>
      <c r="BM34"/>
    </row>
    <row r="35" spans="1:74">
      <c r="A35" s="1" t="s">
        <v>4</v>
      </c>
      <c r="B35" s="34"/>
      <c r="C35" s="35"/>
      <c r="D35" s="35"/>
      <c r="E35" s="35"/>
      <c r="F35" s="36"/>
      <c r="G35" s="34"/>
      <c r="H35" s="35"/>
      <c r="I35" s="35"/>
      <c r="J35" s="35"/>
      <c r="K35" s="36"/>
      <c r="L35" s="34"/>
      <c r="M35" s="35"/>
      <c r="N35" s="35"/>
      <c r="O35" s="35"/>
      <c r="P35" s="36"/>
      <c r="Q35" s="34"/>
      <c r="R35" s="35"/>
      <c r="S35" s="35"/>
      <c r="T35" s="35"/>
      <c r="U35" s="36"/>
      <c r="V35" s="34" t="str">
        <f t="shared" ref="V35:AA35" si="81">IFERROR(V34/Q34-1,"NM")</f>
        <v>NM</v>
      </c>
      <c r="W35" s="35" t="str">
        <f t="shared" si="81"/>
        <v>NM</v>
      </c>
      <c r="X35" s="35" t="str">
        <f t="shared" si="81"/>
        <v>NM</v>
      </c>
      <c r="Y35" s="35" t="str">
        <f t="shared" si="81"/>
        <v>NM</v>
      </c>
      <c r="Z35" s="36" t="str">
        <f t="shared" si="81"/>
        <v>NM</v>
      </c>
      <c r="AA35" s="34">
        <f t="shared" si="81"/>
        <v>0.24775736864587783</v>
      </c>
      <c r="AB35" s="35">
        <f t="shared" ref="AB35:AH35" si="82">AB34/W34-1</f>
        <v>-0.65617334423548646</v>
      </c>
      <c r="AC35" s="35">
        <f t="shared" si="82"/>
        <v>-0.58456167571761053</v>
      </c>
      <c r="AD35" s="35">
        <f t="shared" si="82"/>
        <v>-0.40840707964601775</v>
      </c>
      <c r="AE35" s="36">
        <f t="shared" si="82"/>
        <v>-0.35896103896103893</v>
      </c>
      <c r="AF35" s="35">
        <f t="shared" si="82"/>
        <v>-0.40362889421431014</v>
      </c>
      <c r="AG35" s="35">
        <f t="shared" si="82"/>
        <v>1.384066587395957</v>
      </c>
      <c r="AH35" s="35">
        <f t="shared" si="82"/>
        <v>0.97292250233426714</v>
      </c>
      <c r="AI35" s="35">
        <f t="shared" ref="AI35" si="83">AI34/AD34-1</f>
        <v>0.52729992520568447</v>
      </c>
      <c r="AJ35" s="36">
        <f t="shared" ref="AJ35:AM35" si="84">AJ34/AE34-1</f>
        <v>0.28071312803889792</v>
      </c>
      <c r="AK35" s="35">
        <f t="shared" si="84"/>
        <v>0.18254879448909289</v>
      </c>
      <c r="AL35" s="35">
        <f t="shared" si="84"/>
        <v>1.0972568578553554E-2</v>
      </c>
      <c r="AM35" s="35">
        <f t="shared" si="84"/>
        <v>1.4197823000473342E-2</v>
      </c>
      <c r="AN35" s="35">
        <f t="shared" ref="AN35" si="85">AN34/AI34-1</f>
        <v>8.3741429970616954E-2</v>
      </c>
      <c r="AO35" s="36">
        <f t="shared" ref="AO35:AR35" si="86">AO34/AJ34-1</f>
        <v>6.8463680080992129E-2</v>
      </c>
      <c r="AP35" s="35">
        <f t="shared" si="86"/>
        <v>0.10873786407766994</v>
      </c>
      <c r="AQ35" s="35">
        <f t="shared" si="86"/>
        <v>0.16280217069560932</v>
      </c>
      <c r="AR35" s="35">
        <f t="shared" si="86"/>
        <v>7.4195053663089094E-2</v>
      </c>
      <c r="AS35" s="35">
        <f t="shared" ref="AS35" si="87">AS34/AN34-1</f>
        <v>2.2593764121101589E-3</v>
      </c>
      <c r="AT35" s="36">
        <f t="shared" ref="AT35:AW35" si="88">AT34/AO34-1</f>
        <v>8.5040862252753868E-2</v>
      </c>
      <c r="AU35" s="35">
        <f t="shared" si="88"/>
        <v>-4.1976102329912113E-2</v>
      </c>
      <c r="AV35" s="35">
        <f t="shared" si="88"/>
        <v>4.4548154433601939E-2</v>
      </c>
      <c r="AW35" s="35">
        <f t="shared" si="88"/>
        <v>3.040834057341435E-2</v>
      </c>
      <c r="AX35" s="35">
        <f t="shared" ref="AX35" si="89">AX34/AS34-1</f>
        <v>0.23985572587917048</v>
      </c>
      <c r="AY35" s="36">
        <f t="shared" ref="AY35:BB35" si="90">AY34/AT34-1</f>
        <v>6.6709593087924901E-2</v>
      </c>
      <c r="AZ35" s="35">
        <f t="shared" si="90"/>
        <v>0.17811896194652399</v>
      </c>
      <c r="BA35" s="35">
        <f t="shared" si="90"/>
        <v>8.6952050920832136E-2</v>
      </c>
      <c r="BB35" s="35">
        <f t="shared" si="90"/>
        <v>0.21458684654300164</v>
      </c>
      <c r="BC35" s="35">
        <f t="shared" ref="BC35" si="91">BC34/AX34-1</f>
        <v>-2.9818181818181855E-2</v>
      </c>
      <c r="BD35" s="36">
        <f t="shared" ref="BD35:BF35" si="92">BD34/AY34-1</f>
        <v>0.10548602457519318</v>
      </c>
      <c r="BE35" s="35">
        <f t="shared" si="92"/>
        <v>0.15987075992379141</v>
      </c>
      <c r="BF35" s="35">
        <f t="shared" si="92"/>
        <v>0.23015940589376105</v>
      </c>
      <c r="BG35" s="35">
        <f t="shared" ref="BG35" si="93">BG34/BB34-1</f>
        <v>9.3068974314473918E-2</v>
      </c>
      <c r="BH35" s="35">
        <f t="shared" ref="BH35" si="94">BH34/BC34-1</f>
        <v>0.2209802265742129</v>
      </c>
      <c r="BI35" s="36">
        <f t="shared" ref="BI35" si="95">BI34/BD34-1</f>
        <v>0.17455951410421222</v>
      </c>
      <c r="BJ35" s="541"/>
      <c r="BK35" s="112"/>
      <c r="BM35"/>
    </row>
    <row r="36" spans="1:74">
      <c r="A36" s="2"/>
      <c r="B36" s="46"/>
      <c r="C36" s="46"/>
      <c r="D36" s="46"/>
      <c r="E36" s="46"/>
      <c r="F36" s="47"/>
      <c r="G36" s="46"/>
      <c r="H36" s="46"/>
      <c r="I36" s="46"/>
      <c r="J36" s="46"/>
      <c r="K36" s="47"/>
      <c r="L36" s="46"/>
      <c r="M36" s="46"/>
      <c r="N36" s="46"/>
      <c r="O36" s="46"/>
      <c r="P36" s="47"/>
      <c r="Q36" s="46"/>
      <c r="R36" s="46"/>
      <c r="S36" s="46"/>
      <c r="T36" s="46"/>
      <c r="U36" s="47"/>
      <c r="V36" s="46"/>
      <c r="W36" s="46"/>
      <c r="X36" s="46"/>
      <c r="Y36" s="46"/>
      <c r="Z36" s="47"/>
      <c r="AA36" s="46"/>
      <c r="AB36" s="46"/>
      <c r="AC36" s="46"/>
      <c r="AD36" s="46"/>
      <c r="AE36" s="47"/>
      <c r="AF36" s="46"/>
      <c r="AG36" s="46"/>
      <c r="AH36" s="46"/>
      <c r="AI36" s="46"/>
      <c r="AJ36" s="47"/>
      <c r="AK36" s="46"/>
      <c r="AL36" s="46"/>
      <c r="AM36" s="46"/>
      <c r="AN36" s="46"/>
      <c r="AO36" s="47"/>
      <c r="AP36" s="46"/>
      <c r="AQ36" s="46"/>
      <c r="AR36" s="46"/>
      <c r="AS36" s="46"/>
      <c r="AT36" s="47"/>
      <c r="AU36" s="46"/>
      <c r="AV36" s="46"/>
      <c r="AW36" s="480"/>
      <c r="AX36" s="480"/>
      <c r="AY36" s="47"/>
      <c r="AZ36" s="46"/>
      <c r="BA36" s="46"/>
      <c r="BB36" s="480"/>
      <c r="BC36" s="480"/>
      <c r="BD36" s="47"/>
      <c r="BE36" s="46"/>
      <c r="BF36" s="46"/>
      <c r="BG36" s="46"/>
      <c r="BH36" s="46"/>
      <c r="BI36" s="47"/>
      <c r="BJ36" s="541"/>
      <c r="BK36" s="112"/>
      <c r="BM36"/>
    </row>
    <row r="37" spans="1:74" s="4" customFormat="1">
      <c r="A37" s="13" t="s">
        <v>255</v>
      </c>
      <c r="B37" s="303"/>
      <c r="C37" s="304"/>
      <c r="D37" s="304"/>
      <c r="E37" s="49"/>
      <c r="F37" s="305"/>
      <c r="G37" s="303"/>
      <c r="H37" s="304"/>
      <c r="I37" s="304"/>
      <c r="J37" s="49"/>
      <c r="K37" s="305"/>
      <c r="L37" s="303"/>
      <c r="M37" s="304"/>
      <c r="N37" s="304"/>
      <c r="O37" s="49"/>
      <c r="P37" s="305"/>
      <c r="Q37" s="303"/>
      <c r="R37" s="304"/>
      <c r="S37" s="304"/>
      <c r="T37" s="49"/>
      <c r="U37" s="305" t="s">
        <v>310</v>
      </c>
      <c r="V37" s="48">
        <v>-408</v>
      </c>
      <c r="W37" s="49">
        <v>-475</v>
      </c>
      <c r="X37" s="49">
        <v>-521</v>
      </c>
      <c r="Y37" s="49">
        <f>+Z37-SUM(V37:X37)</f>
        <v>-297</v>
      </c>
      <c r="Z37" s="306">
        <v>-1701</v>
      </c>
      <c r="AA37" s="303">
        <v>-559</v>
      </c>
      <c r="AB37" s="84">
        <v>-193</v>
      </c>
      <c r="AC37" s="84">
        <v>-182</v>
      </c>
      <c r="AD37" s="84">
        <v>-146</v>
      </c>
      <c r="AE37" s="40">
        <f>SUM(AA37:AD37)</f>
        <v>-1080</v>
      </c>
      <c r="AF37" s="84">
        <f>-345-134+148</f>
        <v>-331</v>
      </c>
      <c r="AG37" s="84">
        <f>-342-123+73</f>
        <v>-392</v>
      </c>
      <c r="AH37" s="84">
        <f>-3-141</f>
        <v>-144</v>
      </c>
      <c r="AI37" s="84">
        <v>-358</v>
      </c>
      <c r="AJ37" s="40">
        <f>SUM(AF37:AI37)</f>
        <v>-1225</v>
      </c>
      <c r="AK37" s="84">
        <f>-116-182</f>
        <v>-298</v>
      </c>
      <c r="AL37" s="84">
        <f>-160-111</f>
        <v>-271</v>
      </c>
      <c r="AM37" s="84">
        <f>-242-108</f>
        <v>-350</v>
      </c>
      <c r="AN37" s="84">
        <f>-297.81-(7*0.21)</f>
        <v>-299.28000000000003</v>
      </c>
      <c r="AO37" s="40">
        <f>SUM(AK37:AN37)</f>
        <v>-1218.28</v>
      </c>
      <c r="AP37" s="84">
        <f>-300-101-32</f>
        <v>-433</v>
      </c>
      <c r="AQ37" s="84">
        <f>-213-165-32</f>
        <v>-410</v>
      </c>
      <c r="AR37" s="480">
        <f>389-826+8</f>
        <v>-429</v>
      </c>
      <c r="AS37" s="480">
        <f>-262-99-56-1</f>
        <v>-418</v>
      </c>
      <c r="AT37" s="40">
        <f>SUM(AP37:AS37)</f>
        <v>-1690</v>
      </c>
      <c r="AU37" s="84">
        <f>-108-296+41</f>
        <v>-363</v>
      </c>
      <c r="AV37" s="84">
        <f>-253-257</f>
        <v>-510</v>
      </c>
      <c r="AW37" s="274">
        <f>-371-148+156</f>
        <v>-363</v>
      </c>
      <c r="AX37" s="274">
        <f>-449-152</f>
        <v>-601</v>
      </c>
      <c r="AY37" s="40">
        <f>SUM(AU37:AX37)</f>
        <v>-1837</v>
      </c>
      <c r="AZ37" s="84">
        <f>-333-26-138</f>
        <v>-497</v>
      </c>
      <c r="BA37" s="84">
        <f>-315-33-142</f>
        <v>-490</v>
      </c>
      <c r="BB37" s="274">
        <f>-432-50</f>
        <v>-482</v>
      </c>
      <c r="BC37" s="274">
        <f>-584-108+260+1-35</f>
        <v>-466</v>
      </c>
      <c r="BD37" s="40">
        <f>SUM(AZ37:BC37)</f>
        <v>-1935</v>
      </c>
      <c r="BE37" s="84">
        <f>-363-104</f>
        <v>-467</v>
      </c>
      <c r="BF37" s="84">
        <f>-493-110</f>
        <v>-603</v>
      </c>
      <c r="BG37" s="107">
        <f t="shared" ref="BG37" si="96">IF(BG34&lt;0,0,-BG34*BG38)</f>
        <v>-582.58936727499986</v>
      </c>
      <c r="BH37" s="107">
        <f>BI37-SUM(BE37:BG37)</f>
        <v>-694.82142023250026</v>
      </c>
      <c r="BI37" s="40">
        <f>IF(BI34&lt;0,0,-BI34*BI38)</f>
        <v>-2347.4107875075001</v>
      </c>
      <c r="BJ37" s="320"/>
      <c r="BK37" s="462"/>
      <c r="BL37" s="340"/>
      <c r="BM37"/>
      <c r="BN37"/>
      <c r="BO37"/>
      <c r="BQ37"/>
      <c r="BR37"/>
      <c r="BS37"/>
      <c r="BT37"/>
      <c r="BU37"/>
      <c r="BV37"/>
    </row>
    <row r="38" spans="1:74">
      <c r="A38" s="1" t="s">
        <v>52</v>
      </c>
      <c r="B38" s="34"/>
      <c r="C38" s="34"/>
      <c r="D38" s="34"/>
      <c r="E38" s="34"/>
      <c r="F38" s="36"/>
      <c r="G38" s="34"/>
      <c r="H38" s="34"/>
      <c r="I38" s="34"/>
      <c r="J38" s="34"/>
      <c r="K38" s="36"/>
      <c r="L38" s="34"/>
      <c r="M38" s="34"/>
      <c r="N38" s="34"/>
      <c r="O38" s="34"/>
      <c r="P38" s="36"/>
      <c r="Q38" s="34"/>
      <c r="R38" s="34"/>
      <c r="S38" s="34"/>
      <c r="T38" s="34"/>
      <c r="U38" s="36"/>
      <c r="V38" s="34">
        <f t="shared" ref="V38:AF38" si="97">-V37/V34</f>
        <v>0.17428449380606578</v>
      </c>
      <c r="W38" s="34">
        <f t="shared" si="97"/>
        <v>0.19419460343417824</v>
      </c>
      <c r="X38" s="34">
        <f t="shared" si="97"/>
        <v>0.20209464701318852</v>
      </c>
      <c r="Y38" s="34">
        <f t="shared" si="97"/>
        <v>0.13141592920353981</v>
      </c>
      <c r="Z38" s="36">
        <f t="shared" si="97"/>
        <v>0.17672727272727273</v>
      </c>
      <c r="AA38" s="34">
        <f t="shared" si="97"/>
        <v>0.19137281752824375</v>
      </c>
      <c r="AB38" s="34">
        <f t="shared" si="97"/>
        <v>0.22948870392390011</v>
      </c>
      <c r="AC38" s="34">
        <f t="shared" si="97"/>
        <v>0.16993464052287582</v>
      </c>
      <c r="AD38" s="34">
        <f t="shared" si="97"/>
        <v>0.10919970082273747</v>
      </c>
      <c r="AE38" s="36">
        <f>-AE37/AE34</f>
        <v>0.17504051863857376</v>
      </c>
      <c r="AF38" s="34">
        <f t="shared" si="97"/>
        <v>0.19001148105625718</v>
      </c>
      <c r="AG38" s="34">
        <f t="shared" ref="AG38:AI38" si="98">-AG37/AG34</f>
        <v>0.19551122194513715</v>
      </c>
      <c r="AH38" s="34">
        <f t="shared" si="98"/>
        <v>6.814955040227165E-2</v>
      </c>
      <c r="AI38" s="34">
        <f t="shared" si="98"/>
        <v>0.17531831537708129</v>
      </c>
      <c r="AJ38" s="36">
        <f>-AJ37/AJ34</f>
        <v>0.15502404454568464</v>
      </c>
      <c r="AK38" s="34">
        <f t="shared" ref="AK38:AN38" si="99">-AK37/AK34</f>
        <v>0.14466019417475728</v>
      </c>
      <c r="AL38" s="34">
        <f t="shared" si="99"/>
        <v>0.13369511593487912</v>
      </c>
      <c r="AM38" s="34">
        <f t="shared" si="99"/>
        <v>0.16332244517032199</v>
      </c>
      <c r="AN38" s="34">
        <f t="shared" si="99"/>
        <v>0.13523723452327158</v>
      </c>
      <c r="AO38" s="36">
        <f>-AO37/AO34</f>
        <v>0.14429468198507639</v>
      </c>
      <c r="AP38" s="34">
        <f t="shared" ref="AP38:AS38" si="100">-AP37/AP34</f>
        <v>0.18957968476357268</v>
      </c>
      <c r="AQ38" s="34">
        <f t="shared" si="100"/>
        <v>0.17394993635977937</v>
      </c>
      <c r="AR38" s="34">
        <f t="shared" si="100"/>
        <v>0.18635968722849697</v>
      </c>
      <c r="AS38" s="34">
        <f t="shared" si="100"/>
        <v>0.1884580703336339</v>
      </c>
      <c r="AT38" s="36">
        <f>-AT37/AT34</f>
        <v>0.18447767710948587</v>
      </c>
      <c r="AU38" s="34">
        <f t="shared" ref="AU38:AX38" si="101">-AU37/AU34</f>
        <v>0.16589533847809237</v>
      </c>
      <c r="AV38" s="34">
        <f t="shared" si="101"/>
        <v>0.20714865962632006</v>
      </c>
      <c r="AW38" s="34">
        <f t="shared" si="101"/>
        <v>0.15303541315345701</v>
      </c>
      <c r="AX38" s="34">
        <f t="shared" si="101"/>
        <v>0.21854545454545454</v>
      </c>
      <c r="AY38" s="36">
        <f>-AY37/AY34</f>
        <v>0.18798364762603012</v>
      </c>
      <c r="AZ38" s="34">
        <f t="shared" ref="AZ38:BC38" si="102">-AZ37/AZ34</f>
        <v>0.19279457113114526</v>
      </c>
      <c r="BA38" s="34">
        <f t="shared" si="102"/>
        <v>0.18310392129038364</v>
      </c>
      <c r="BB38" s="34">
        <f t="shared" si="102"/>
        <v>0.16730301978479695</v>
      </c>
      <c r="BC38" s="34">
        <f t="shared" si="102"/>
        <v>0.17466266866566715</v>
      </c>
      <c r="BD38" s="36">
        <f>-BD37/BD34</f>
        <v>0.17911775148136994</v>
      </c>
      <c r="BE38" s="34">
        <f t="shared" ref="BE38:BF38" si="103">-BE37/BE34</f>
        <v>0.15618729096989967</v>
      </c>
      <c r="BF38" s="34">
        <f t="shared" si="103"/>
        <v>0.18317132442284326</v>
      </c>
      <c r="BG38" s="193">
        <f t="shared" ref="BG38" si="104">$BI38</f>
        <v>0.185</v>
      </c>
      <c r="BH38" s="463">
        <f>IF(BH37&gt;0,"NM",-BH37/BH34)</f>
        <v>0.21329405096800683</v>
      </c>
      <c r="BI38" s="218">
        <v>0.185</v>
      </c>
      <c r="BJ38" s="502" t="s">
        <v>510</v>
      </c>
      <c r="BK38" s="461"/>
      <c r="BM38"/>
    </row>
    <row r="39" spans="1:74">
      <c r="A39" s="1"/>
      <c r="B39" s="34"/>
      <c r="C39" s="34"/>
      <c r="D39" s="34"/>
      <c r="E39" s="34"/>
      <c r="F39" s="36"/>
      <c r="G39" s="34"/>
      <c r="H39" s="34"/>
      <c r="I39" s="34"/>
      <c r="J39" s="34"/>
      <c r="K39" s="36"/>
      <c r="L39" s="34"/>
      <c r="M39" s="34"/>
      <c r="N39" s="34"/>
      <c r="O39" s="34"/>
      <c r="P39" s="36"/>
      <c r="Q39" s="34"/>
      <c r="R39" s="34"/>
      <c r="S39" s="34"/>
      <c r="T39" s="34"/>
      <c r="U39" s="36"/>
      <c r="V39" s="34"/>
      <c r="W39" s="34"/>
      <c r="X39" s="34"/>
      <c r="Y39" s="34"/>
      <c r="Z39" s="36"/>
      <c r="AA39" s="34"/>
      <c r="AB39" s="34"/>
      <c r="AC39" s="34"/>
      <c r="AD39" s="196"/>
      <c r="AE39" s="36"/>
      <c r="AF39" s="196"/>
      <c r="AG39" s="196"/>
      <c r="AH39" s="34"/>
      <c r="AI39" s="196"/>
      <c r="AJ39" s="36"/>
      <c r="AK39" s="196"/>
      <c r="AL39" s="196"/>
      <c r="AM39" s="34"/>
      <c r="AN39" s="196"/>
      <c r="AO39" s="36"/>
      <c r="AP39" s="196"/>
      <c r="AQ39" s="196"/>
      <c r="AR39" s="34"/>
      <c r="AS39" s="196"/>
      <c r="AT39" s="36"/>
      <c r="AU39" s="196"/>
      <c r="AV39" s="196"/>
      <c r="AW39" s="34"/>
      <c r="AX39" s="196"/>
      <c r="AY39" s="36"/>
      <c r="AZ39" s="196"/>
      <c r="BA39" s="196"/>
      <c r="BB39" s="34"/>
      <c r="BC39" s="196"/>
      <c r="BD39" s="36"/>
      <c r="BE39" s="196"/>
      <c r="BF39" s="34"/>
      <c r="BG39" s="34"/>
      <c r="BH39" s="196"/>
      <c r="BI39" s="36"/>
      <c r="BK39" s="112"/>
      <c r="BM39"/>
    </row>
    <row r="40" spans="1:74">
      <c r="A40" s="8" t="s">
        <v>328</v>
      </c>
      <c r="B40" s="23"/>
      <c r="C40" s="23"/>
      <c r="D40" s="23"/>
      <c r="E40" s="23"/>
      <c r="F40" s="24"/>
      <c r="G40" s="23"/>
      <c r="H40" s="23"/>
      <c r="I40" s="23"/>
      <c r="J40" s="23"/>
      <c r="K40" s="24"/>
      <c r="L40" s="23"/>
      <c r="M40" s="23"/>
      <c r="N40" s="23"/>
      <c r="O40" s="23"/>
      <c r="P40" s="24"/>
      <c r="Q40" s="23"/>
      <c r="R40" s="23"/>
      <c r="S40" s="23"/>
      <c r="T40" s="23"/>
      <c r="U40" s="24"/>
      <c r="V40" s="23">
        <f t="shared" ref="V40:AB40" si="105">V34+V37</f>
        <v>1933</v>
      </c>
      <c r="W40" s="23">
        <f t="shared" si="105"/>
        <v>1971</v>
      </c>
      <c r="X40" s="23">
        <f t="shared" si="105"/>
        <v>2057</v>
      </c>
      <c r="Y40" s="23">
        <f t="shared" si="105"/>
        <v>1963</v>
      </c>
      <c r="Z40" s="24">
        <f t="shared" si="105"/>
        <v>7924</v>
      </c>
      <c r="AA40" s="23">
        <f t="shared" si="105"/>
        <v>2362</v>
      </c>
      <c r="AB40" s="23">
        <f t="shared" si="105"/>
        <v>648</v>
      </c>
      <c r="AC40" s="23">
        <f t="shared" ref="AC40" si="106">AC34+AC37</f>
        <v>889</v>
      </c>
      <c r="AD40" s="23">
        <f t="shared" ref="AD40:AH40" si="107">AD34+AD37</f>
        <v>1191</v>
      </c>
      <c r="AE40" s="24">
        <f t="shared" si="107"/>
        <v>5090</v>
      </c>
      <c r="AF40" s="23">
        <f t="shared" si="107"/>
        <v>1411</v>
      </c>
      <c r="AG40" s="23">
        <f t="shared" si="107"/>
        <v>1613</v>
      </c>
      <c r="AH40" s="23">
        <f t="shared" si="107"/>
        <v>1969</v>
      </c>
      <c r="AI40" s="23">
        <f t="shared" ref="AI40:AM40" si="108">AI34+AI37</f>
        <v>1684</v>
      </c>
      <c r="AJ40" s="24">
        <f t="shared" si="108"/>
        <v>6677</v>
      </c>
      <c r="AK40" s="23">
        <f t="shared" si="108"/>
        <v>1762</v>
      </c>
      <c r="AL40" s="23">
        <f t="shared" si="108"/>
        <v>1756</v>
      </c>
      <c r="AM40" s="23">
        <f t="shared" si="108"/>
        <v>1793</v>
      </c>
      <c r="AN40" s="23">
        <f t="shared" ref="AN40:AR40" si="109">AN34+AN37</f>
        <v>1913.72</v>
      </c>
      <c r="AO40" s="24">
        <f t="shared" si="109"/>
        <v>7224.72</v>
      </c>
      <c r="AP40" s="23">
        <f t="shared" si="109"/>
        <v>1851</v>
      </c>
      <c r="AQ40" s="23">
        <f t="shared" si="109"/>
        <v>1947</v>
      </c>
      <c r="AR40" s="23">
        <f t="shared" si="109"/>
        <v>1873</v>
      </c>
      <c r="AS40" s="23">
        <f t="shared" ref="AS40:AW40" si="110">AS34+AS37</f>
        <v>1800</v>
      </c>
      <c r="AT40" s="24">
        <f t="shared" si="110"/>
        <v>7471</v>
      </c>
      <c r="AU40" s="23">
        <f t="shared" si="110"/>
        <v>1825.1265822784808</v>
      </c>
      <c r="AV40" s="23">
        <f t="shared" si="110"/>
        <v>1952</v>
      </c>
      <c r="AW40" s="23">
        <f t="shared" si="110"/>
        <v>2009</v>
      </c>
      <c r="AX40" s="23">
        <f t="shared" ref="AX40:BB40" si="111">AX34+AX37</f>
        <v>2149</v>
      </c>
      <c r="AY40" s="24">
        <f t="shared" si="111"/>
        <v>7935.1265822784808</v>
      </c>
      <c r="AZ40" s="23">
        <f t="shared" si="111"/>
        <v>2080.8734177215192</v>
      </c>
      <c r="BA40" s="23">
        <f t="shared" si="111"/>
        <v>2186.0759493670885</v>
      </c>
      <c r="BB40" s="23">
        <f t="shared" si="111"/>
        <v>2399</v>
      </c>
      <c r="BC40" s="23">
        <f t="shared" ref="BC40:BE40" si="112">BC34+BC37</f>
        <v>2202</v>
      </c>
      <c r="BD40" s="24">
        <f t="shared" si="112"/>
        <v>8867.9493670886077</v>
      </c>
      <c r="BE40" s="23">
        <f t="shared" si="112"/>
        <v>2523</v>
      </c>
      <c r="BF40" s="23">
        <f t="shared" ref="BF40:BG40" si="113">BF34+BF37</f>
        <v>2689</v>
      </c>
      <c r="BG40" s="23">
        <f t="shared" si="113"/>
        <v>2566.5423477249997</v>
      </c>
      <c r="BH40" s="23">
        <f t="shared" ref="BH40:BI40" si="114">BH34+BH37</f>
        <v>2562.7538242674996</v>
      </c>
      <c r="BI40" s="24">
        <f t="shared" si="114"/>
        <v>10341.296171992501</v>
      </c>
      <c r="BK40" s="112"/>
      <c r="BM40"/>
    </row>
    <row r="41" spans="1:74">
      <c r="A41" s="1" t="s">
        <v>4</v>
      </c>
      <c r="B41" s="34"/>
      <c r="C41" s="35"/>
      <c r="D41" s="35"/>
      <c r="E41" s="35"/>
      <c r="F41" s="36"/>
      <c r="G41" s="34"/>
      <c r="H41" s="35"/>
      <c r="I41" s="35"/>
      <c r="J41" s="35"/>
      <c r="K41" s="36"/>
      <c r="L41" s="34"/>
      <c r="M41" s="35"/>
      <c r="N41" s="35"/>
      <c r="O41" s="35"/>
      <c r="P41" s="36"/>
      <c r="Q41" s="34"/>
      <c r="R41" s="35"/>
      <c r="S41" s="35"/>
      <c r="T41" s="35"/>
      <c r="U41" s="36"/>
      <c r="V41" s="34" t="str">
        <f t="shared" ref="V41:AA41" si="115">IFERROR(V40/Q40-1,"NM")</f>
        <v>NM</v>
      </c>
      <c r="W41" s="35" t="str">
        <f t="shared" si="115"/>
        <v>NM</v>
      </c>
      <c r="X41" s="35" t="str">
        <f t="shared" si="115"/>
        <v>NM</v>
      </c>
      <c r="Y41" s="35" t="str">
        <f t="shared" si="115"/>
        <v>NM</v>
      </c>
      <c r="Z41" s="36" t="str">
        <f t="shared" si="115"/>
        <v>NM</v>
      </c>
      <c r="AA41" s="34">
        <f t="shared" si="115"/>
        <v>0.22193481634764622</v>
      </c>
      <c r="AB41" s="35">
        <f t="shared" ref="AB41:AH41" si="116">AB40/W40-1</f>
        <v>-0.67123287671232879</v>
      </c>
      <c r="AC41" s="35">
        <f t="shared" si="116"/>
        <v>-0.5678172095284395</v>
      </c>
      <c r="AD41" s="35">
        <f t="shared" si="116"/>
        <v>-0.39327559857361183</v>
      </c>
      <c r="AE41" s="36">
        <f t="shared" si="116"/>
        <v>-0.35764765270065624</v>
      </c>
      <c r="AF41" s="35">
        <f t="shared" si="116"/>
        <v>-0.4026248941574937</v>
      </c>
      <c r="AG41" s="35">
        <f t="shared" si="116"/>
        <v>1.4891975308641974</v>
      </c>
      <c r="AH41" s="35">
        <f t="shared" si="116"/>
        <v>1.2148481439820022</v>
      </c>
      <c r="AI41" s="35">
        <f t="shared" ref="AI41" si="117">AI40/AD40-1</f>
        <v>0.41393786733837112</v>
      </c>
      <c r="AJ41" s="36">
        <f t="shared" ref="AJ41:AM41" si="118">AJ40/AE40-1</f>
        <v>0.31178781925343801</v>
      </c>
      <c r="AK41" s="35">
        <f t="shared" si="118"/>
        <v>0.24875974486180019</v>
      </c>
      <c r="AL41" s="35">
        <f t="shared" si="118"/>
        <v>8.8654680719156831E-2</v>
      </c>
      <c r="AM41" s="35">
        <f t="shared" si="118"/>
        <v>-8.9385474860335212E-2</v>
      </c>
      <c r="AN41" s="35">
        <f t="shared" ref="AN41" si="119">AN40/AI40-1</f>
        <v>0.13641330166270782</v>
      </c>
      <c r="AO41" s="36">
        <f t="shared" ref="AO41:AR41" si="120">AO40/AJ40-1</f>
        <v>8.2030852179122427E-2</v>
      </c>
      <c r="AP41" s="35">
        <f t="shared" si="120"/>
        <v>5.051078320090796E-2</v>
      </c>
      <c r="AQ41" s="35">
        <f t="shared" si="120"/>
        <v>0.10876993166287008</v>
      </c>
      <c r="AR41" s="35">
        <f t="shared" si="120"/>
        <v>4.4617958728388141E-2</v>
      </c>
      <c r="AS41" s="35">
        <f t="shared" ref="AS41" si="121">AS40/AN40-1</f>
        <v>-5.9423531133081187E-2</v>
      </c>
      <c r="AT41" s="36">
        <f t="shared" ref="AT41:AW41" si="122">AT40/AO40-1</f>
        <v>3.4088518309359994E-2</v>
      </c>
      <c r="AU41" s="35">
        <f t="shared" si="122"/>
        <v>-1.3978075484343155E-2</v>
      </c>
      <c r="AV41" s="35">
        <f t="shared" si="122"/>
        <v>2.5680534155110291E-3</v>
      </c>
      <c r="AW41" s="35">
        <f t="shared" si="122"/>
        <v>7.2610784837159548E-2</v>
      </c>
      <c r="AX41" s="35">
        <f t="shared" ref="AX41" si="123">AX40/AS40-1</f>
        <v>0.193888888888889</v>
      </c>
      <c r="AY41" s="36">
        <f t="shared" ref="AY41:BB41" si="124">AY40/AT40-1</f>
        <v>6.2123756160953114E-2</v>
      </c>
      <c r="AZ41" s="35">
        <f t="shared" si="124"/>
        <v>0.14012553316919263</v>
      </c>
      <c r="BA41" s="35">
        <f t="shared" si="124"/>
        <v>0.11991595766756591</v>
      </c>
      <c r="BB41" s="35">
        <f t="shared" si="124"/>
        <v>0.19412643106022887</v>
      </c>
      <c r="BC41" s="35">
        <f t="shared" ref="BC41" si="125">BC40/AX40-1</f>
        <v>2.466263378315503E-2</v>
      </c>
      <c r="BD41" s="36">
        <f t="shared" ref="BD41:BE41" si="126">BD40/AY40-1</f>
        <v>0.11755613160518452</v>
      </c>
      <c r="BE41" s="35">
        <f t="shared" si="126"/>
        <v>0.21247163739666264</v>
      </c>
      <c r="BF41" s="35">
        <f t="shared" ref="BF41:BG41" si="127">BF40/BA40-1</f>
        <v>0.23005790387956004</v>
      </c>
      <c r="BG41" s="35">
        <f t="shared" si="127"/>
        <v>6.9838410889953906E-2</v>
      </c>
      <c r="BH41" s="35">
        <f t="shared" ref="BH41" si="128">BH40/BC40-1</f>
        <v>0.16383007459922783</v>
      </c>
      <c r="BI41" s="36">
        <f t="shared" ref="BI41" si="129">BI40/BD40-1</f>
        <v>0.16614289774498348</v>
      </c>
      <c r="BK41" s="112"/>
      <c r="BL41" s="339"/>
      <c r="BM41"/>
    </row>
    <row r="42" spans="1:74">
      <c r="A42" s="1"/>
      <c r="B42" s="41"/>
      <c r="C42" s="41"/>
      <c r="D42" s="41"/>
      <c r="E42" s="70"/>
      <c r="F42" s="43"/>
      <c r="G42" s="41"/>
      <c r="H42" s="41"/>
      <c r="I42" s="41"/>
      <c r="J42" s="70"/>
      <c r="K42" s="43"/>
      <c r="L42" s="41"/>
      <c r="M42" s="41"/>
      <c r="N42" s="41"/>
      <c r="O42" s="70"/>
      <c r="P42" s="43"/>
      <c r="Q42" s="41"/>
      <c r="R42" s="41"/>
      <c r="S42" s="41"/>
      <c r="T42" s="70"/>
      <c r="U42" s="43"/>
      <c r="V42" s="41"/>
      <c r="W42" s="41"/>
      <c r="X42" s="41"/>
      <c r="Y42" s="70"/>
      <c r="Z42" s="43"/>
      <c r="AA42" s="41"/>
      <c r="AB42" s="66"/>
      <c r="AC42" s="66"/>
      <c r="AD42" s="66"/>
      <c r="AE42" s="22"/>
      <c r="AF42" s="66"/>
      <c r="AG42" s="66"/>
      <c r="AH42" s="66"/>
      <c r="AI42" s="66"/>
      <c r="AJ42" s="22"/>
      <c r="AK42" s="66"/>
      <c r="AL42" s="66"/>
      <c r="AM42" s="66"/>
      <c r="AN42" s="66"/>
      <c r="AO42" s="22"/>
      <c r="AP42" s="66"/>
      <c r="AQ42" s="66"/>
      <c r="AR42" s="66"/>
      <c r="AS42" s="66"/>
      <c r="AT42" s="22"/>
      <c r="AU42" s="66"/>
      <c r="AV42" s="66"/>
      <c r="AW42" s="66"/>
      <c r="AX42" s="66"/>
      <c r="AY42" s="22"/>
      <c r="AZ42" s="66"/>
      <c r="BA42" s="66"/>
      <c r="BB42" s="66"/>
      <c r="BC42" s="66"/>
      <c r="BD42" s="22"/>
      <c r="BE42" s="66"/>
      <c r="BF42" s="66"/>
      <c r="BG42" s="66"/>
      <c r="BH42" s="66"/>
      <c r="BI42" s="22"/>
      <c r="BK42" s="112"/>
      <c r="BL42" s="339"/>
      <c r="BM42"/>
    </row>
    <row r="43" spans="1:74">
      <c r="A43" s="1" t="s">
        <v>256</v>
      </c>
      <c r="B43" s="65"/>
      <c r="C43" s="66"/>
      <c r="D43" s="66"/>
      <c r="E43" s="64"/>
      <c r="F43" s="67"/>
      <c r="G43" s="65"/>
      <c r="H43" s="66"/>
      <c r="I43" s="66"/>
      <c r="J43" s="64"/>
      <c r="K43" s="67"/>
      <c r="L43" s="65"/>
      <c r="M43" s="66"/>
      <c r="N43" s="66"/>
      <c r="O43" s="64"/>
      <c r="P43" s="67"/>
      <c r="Q43" s="65"/>
      <c r="R43" s="66"/>
      <c r="S43" s="66"/>
      <c r="T43" s="64"/>
      <c r="U43" s="67"/>
      <c r="V43" s="294">
        <v>-43</v>
      </c>
      <c r="W43" s="295">
        <v>-41</v>
      </c>
      <c r="X43" s="295">
        <v>-53</v>
      </c>
      <c r="Y43" s="64">
        <f>+Z43-SUM(V43:X43)</f>
        <v>-63</v>
      </c>
      <c r="Z43" s="296">
        <v>-200</v>
      </c>
      <c r="AA43" s="65">
        <v>-56</v>
      </c>
      <c r="AB43" s="66">
        <v>-24</v>
      </c>
      <c r="AC43" s="66">
        <v>-34</v>
      </c>
      <c r="AD43" s="66">
        <v>-69</v>
      </c>
      <c r="AE43" s="40">
        <f>SUM(AA43:AD43)</f>
        <v>-183</v>
      </c>
      <c r="AF43" s="66">
        <v>-41</v>
      </c>
      <c r="AG43" s="66">
        <v>-48</v>
      </c>
      <c r="AH43" s="66">
        <v>-73</v>
      </c>
      <c r="AI43" s="66">
        <v>-70</v>
      </c>
      <c r="AJ43" s="40">
        <f>SUM(AF43:AI43)</f>
        <v>-232</v>
      </c>
      <c r="AK43" s="266">
        <f>-23-11-5</f>
        <v>-39</v>
      </c>
      <c r="AL43" s="66">
        <v>-34</v>
      </c>
      <c r="AM43" s="66">
        <v>-8</v>
      </c>
      <c r="AN43" s="66">
        <v>-46</v>
      </c>
      <c r="AO43" s="40">
        <f>SUM(AK43:AN43)</f>
        <v>-127</v>
      </c>
      <c r="AP43" s="266">
        <v>-55</v>
      </c>
      <c r="AQ43" s="66">
        <f>-32-17</f>
        <v>-49</v>
      </c>
      <c r="AR43" s="66">
        <v>-51</v>
      </c>
      <c r="AS43" s="66">
        <v>-47</v>
      </c>
      <c r="AT43" s="40">
        <f>SUM(AP43:AS43)</f>
        <v>-202</v>
      </c>
      <c r="AU43" s="266">
        <v>-34</v>
      </c>
      <c r="AV43" s="266">
        <f>-64+7</f>
        <v>-57</v>
      </c>
      <c r="AW43" s="266">
        <f>-63+2</f>
        <v>-61</v>
      </c>
      <c r="AX43" s="66">
        <v>-78</v>
      </c>
      <c r="AY43" s="40">
        <f>SUM(AU43:AX43)</f>
        <v>-230</v>
      </c>
      <c r="AZ43" s="266">
        <v>-90</v>
      </c>
      <c r="BA43" s="266">
        <v>-68</v>
      </c>
      <c r="BB43" s="266">
        <v>-88</v>
      </c>
      <c r="BC43" s="66">
        <v>-91</v>
      </c>
      <c r="BD43" s="40">
        <f>SUM(AZ43:BC43)</f>
        <v>-337</v>
      </c>
      <c r="BE43" s="266">
        <v>-98</v>
      </c>
      <c r="BF43" s="41">
        <v>-110</v>
      </c>
      <c r="BG43" s="41">
        <f t="shared" ref="BG43" si="130">$BI43/4</f>
        <v>-109.52500000000001</v>
      </c>
      <c r="BH43" s="21">
        <f>BI43-SUM(BE43:BG43)</f>
        <v>-120.57500000000005</v>
      </c>
      <c r="BI43" s="43">
        <f>BD43*1.3</f>
        <v>-438.1</v>
      </c>
      <c r="BK43" s="112"/>
      <c r="BL43" s="339"/>
      <c r="BM43"/>
    </row>
    <row r="44" spans="1:74">
      <c r="A44" s="8" t="s">
        <v>291</v>
      </c>
      <c r="B44" s="23"/>
      <c r="C44" s="23"/>
      <c r="D44" s="23"/>
      <c r="E44" s="23"/>
      <c r="F44" s="24"/>
      <c r="G44" s="23"/>
      <c r="H44" s="23"/>
      <c r="I44" s="23"/>
      <c r="J44" s="23"/>
      <c r="K44" s="24"/>
      <c r="L44" s="23"/>
      <c r="M44" s="23"/>
      <c r="N44" s="23"/>
      <c r="O44" s="23"/>
      <c r="P44" s="24"/>
      <c r="Q44" s="23"/>
      <c r="R44" s="23"/>
      <c r="S44" s="23"/>
      <c r="T44" s="23"/>
      <c r="U44" s="24"/>
      <c r="V44" s="23">
        <f t="shared" ref="V44:AB44" si="131">V40+V43</f>
        <v>1890</v>
      </c>
      <c r="W44" s="23">
        <f t="shared" si="131"/>
        <v>1930</v>
      </c>
      <c r="X44" s="23">
        <f t="shared" si="131"/>
        <v>2004</v>
      </c>
      <c r="Y44" s="23">
        <f t="shared" si="131"/>
        <v>1900</v>
      </c>
      <c r="Z44" s="24">
        <f t="shared" si="131"/>
        <v>7724</v>
      </c>
      <c r="AA44" s="23">
        <f t="shared" si="131"/>
        <v>2306</v>
      </c>
      <c r="AB44" s="23">
        <f t="shared" si="131"/>
        <v>624</v>
      </c>
      <c r="AC44" s="23">
        <f t="shared" ref="AC44" si="132">AC40+AC43</f>
        <v>855</v>
      </c>
      <c r="AD44" s="23">
        <f t="shared" ref="AD44:AH44" si="133">AD40+AD43</f>
        <v>1122</v>
      </c>
      <c r="AE44" s="24">
        <f t="shared" si="133"/>
        <v>4907</v>
      </c>
      <c r="AF44" s="23">
        <f t="shared" si="133"/>
        <v>1370</v>
      </c>
      <c r="AG44" s="23">
        <f t="shared" si="133"/>
        <v>1565</v>
      </c>
      <c r="AH44" s="23">
        <f t="shared" si="133"/>
        <v>1896</v>
      </c>
      <c r="AI44" s="23">
        <f t="shared" ref="AI44:AM44" si="134">AI40+AI43</f>
        <v>1614</v>
      </c>
      <c r="AJ44" s="24">
        <f t="shared" si="134"/>
        <v>6445</v>
      </c>
      <c r="AK44" s="23">
        <f t="shared" si="134"/>
        <v>1723</v>
      </c>
      <c r="AL44" s="23">
        <f t="shared" si="134"/>
        <v>1722</v>
      </c>
      <c r="AM44" s="23">
        <f t="shared" si="134"/>
        <v>1785</v>
      </c>
      <c r="AN44" s="23">
        <f t="shared" ref="AN44:AR44" si="135">AN40+AN43</f>
        <v>1867.72</v>
      </c>
      <c r="AO44" s="24">
        <f t="shared" si="135"/>
        <v>7097.72</v>
      </c>
      <c r="AP44" s="23">
        <f t="shared" si="135"/>
        <v>1796</v>
      </c>
      <c r="AQ44" s="23">
        <f t="shared" si="135"/>
        <v>1898</v>
      </c>
      <c r="AR44" s="23">
        <f t="shared" si="135"/>
        <v>1822</v>
      </c>
      <c r="AS44" s="23">
        <f t="shared" ref="AS44:AW44" si="136">AS40+AS43</f>
        <v>1753</v>
      </c>
      <c r="AT44" s="24">
        <f t="shared" si="136"/>
        <v>7269</v>
      </c>
      <c r="AU44" s="23">
        <f t="shared" si="136"/>
        <v>1791.1265822784808</v>
      </c>
      <c r="AV44" s="23">
        <f t="shared" si="136"/>
        <v>1895</v>
      </c>
      <c r="AW44" s="23">
        <f t="shared" si="136"/>
        <v>1948</v>
      </c>
      <c r="AX44" s="23">
        <f t="shared" ref="AX44:BB44" si="137">AX40+AX43</f>
        <v>2071</v>
      </c>
      <c r="AY44" s="24">
        <f t="shared" si="137"/>
        <v>7705.1265822784808</v>
      </c>
      <c r="AZ44" s="23">
        <f t="shared" si="137"/>
        <v>1990.8734177215192</v>
      </c>
      <c r="BA44" s="23">
        <f t="shared" si="137"/>
        <v>2118.0759493670885</v>
      </c>
      <c r="BB44" s="23">
        <f t="shared" si="137"/>
        <v>2311</v>
      </c>
      <c r="BC44" s="23">
        <f t="shared" ref="BC44:BE44" si="138">BC40+BC43</f>
        <v>2111</v>
      </c>
      <c r="BD44" s="24">
        <f t="shared" si="138"/>
        <v>8530.9493670886077</v>
      </c>
      <c r="BE44" s="23">
        <f t="shared" si="138"/>
        <v>2425</v>
      </c>
      <c r="BF44" s="23">
        <f t="shared" ref="BF44:BG44" si="139">BF40+BF43</f>
        <v>2579</v>
      </c>
      <c r="BG44" s="23">
        <f t="shared" si="139"/>
        <v>2457.0173477249996</v>
      </c>
      <c r="BH44" s="23">
        <f t="shared" ref="BH44" si="140">BH40+BH43</f>
        <v>2442.1788242674993</v>
      </c>
      <c r="BI44" s="24">
        <f>BI40+BI43</f>
        <v>9903.1961719925002</v>
      </c>
      <c r="BK44" s="112"/>
      <c r="BL44" s="339"/>
      <c r="BM44"/>
    </row>
    <row r="45" spans="1:74">
      <c r="A45" s="1" t="s">
        <v>4</v>
      </c>
      <c r="B45" s="34"/>
      <c r="C45" s="35"/>
      <c r="D45" s="35"/>
      <c r="E45" s="35"/>
      <c r="F45" s="36"/>
      <c r="G45" s="34"/>
      <c r="H45" s="35"/>
      <c r="I45" s="35"/>
      <c r="J45" s="35"/>
      <c r="K45" s="36"/>
      <c r="L45" s="34"/>
      <c r="M45" s="35"/>
      <c r="N45" s="35"/>
      <c r="O45" s="35"/>
      <c r="P45" s="36"/>
      <c r="Q45" s="34"/>
      <c r="R45" s="35"/>
      <c r="S45" s="35"/>
      <c r="T45" s="35"/>
      <c r="U45" s="36"/>
      <c r="V45" s="34" t="str">
        <f t="shared" ref="V45:AA45" si="141">IFERROR(V44/Q44-1,"NM")</f>
        <v>NM</v>
      </c>
      <c r="W45" s="35" t="str">
        <f t="shared" si="141"/>
        <v>NM</v>
      </c>
      <c r="X45" s="35" t="str">
        <f t="shared" si="141"/>
        <v>NM</v>
      </c>
      <c r="Y45" s="35" t="str">
        <f t="shared" si="141"/>
        <v>NM</v>
      </c>
      <c r="Z45" s="36" t="str">
        <f t="shared" si="141"/>
        <v>NM</v>
      </c>
      <c r="AA45" s="34">
        <f t="shared" si="141"/>
        <v>0.22010582010582014</v>
      </c>
      <c r="AB45" s="35">
        <f t="shared" ref="AB45:AH45" si="142">AB44/W44-1</f>
        <v>-0.67668393782383418</v>
      </c>
      <c r="AC45" s="35">
        <f t="shared" si="142"/>
        <v>-0.57335329341317365</v>
      </c>
      <c r="AD45" s="35">
        <f t="shared" si="142"/>
        <v>-0.40947368421052632</v>
      </c>
      <c r="AE45" s="36">
        <f t="shared" si="142"/>
        <v>-0.36470740548938374</v>
      </c>
      <c r="AF45" s="35">
        <f t="shared" si="142"/>
        <v>-0.40589765828274071</v>
      </c>
      <c r="AG45" s="35">
        <f t="shared" si="142"/>
        <v>1.5080128205128207</v>
      </c>
      <c r="AH45" s="35">
        <f t="shared" si="142"/>
        <v>1.2175438596491226</v>
      </c>
      <c r="AI45" s="35">
        <f t="shared" ref="AI45" si="143">AI44/AD44-1</f>
        <v>0.43850267379679142</v>
      </c>
      <c r="AJ45" s="36">
        <f t="shared" ref="AJ45:AM45" si="144">AJ44/AE44-1</f>
        <v>0.31342979417159156</v>
      </c>
      <c r="AK45" s="35">
        <f t="shared" si="144"/>
        <v>0.25766423357664237</v>
      </c>
      <c r="AL45" s="35">
        <f t="shared" si="144"/>
        <v>0.10031948881789132</v>
      </c>
      <c r="AM45" s="35">
        <f t="shared" si="144"/>
        <v>-5.8544303797468333E-2</v>
      </c>
      <c r="AN45" s="35">
        <f t="shared" ref="AN45" si="145">AN44/AI44-1</f>
        <v>0.15719950433705088</v>
      </c>
      <c r="AO45" s="36">
        <f t="shared" ref="AO45:AR45" si="146">AO44/AJ44-1</f>
        <v>0.10127540729247486</v>
      </c>
      <c r="AP45" s="35">
        <f t="shared" si="146"/>
        <v>4.236796285548472E-2</v>
      </c>
      <c r="AQ45" s="35">
        <f t="shared" si="146"/>
        <v>0.10220673635307786</v>
      </c>
      <c r="AR45" s="35">
        <f t="shared" si="146"/>
        <v>2.0728291316526537E-2</v>
      </c>
      <c r="AS45" s="35">
        <f t="shared" ref="AS45" si="147">AS44/AN44-1</f>
        <v>-6.1422483027434582E-2</v>
      </c>
      <c r="AT45" s="36">
        <f t="shared" ref="AT45:AW45" si="148">AT44/AO44-1</f>
        <v>2.4131692994370013E-2</v>
      </c>
      <c r="AU45" s="35">
        <f t="shared" si="148"/>
        <v>-2.7134842547434923E-3</v>
      </c>
      <c r="AV45" s="35">
        <f t="shared" si="148"/>
        <v>-1.5806111696522462E-3</v>
      </c>
      <c r="AW45" s="35">
        <f t="shared" si="148"/>
        <v>6.915477497255762E-2</v>
      </c>
      <c r="AX45" s="35">
        <f t="shared" ref="AX45" si="149">AX44/AS44-1</f>
        <v>0.18140330861380494</v>
      </c>
      <c r="AY45" s="36">
        <f t="shared" ref="AY45:BB45" si="150">AY44/AT44-1</f>
        <v>5.999815411727627E-2</v>
      </c>
      <c r="AZ45" s="35">
        <f t="shared" si="150"/>
        <v>0.1115202227577583</v>
      </c>
      <c r="BA45" s="35">
        <f t="shared" si="150"/>
        <v>0.11771817908553484</v>
      </c>
      <c r="BB45" s="35">
        <f t="shared" si="150"/>
        <v>0.18634496919917853</v>
      </c>
      <c r="BC45" s="35">
        <f t="shared" ref="BC45" si="151">BC44/AX44-1</f>
        <v>1.93143408981169E-2</v>
      </c>
      <c r="BD45" s="36">
        <f t="shared" ref="BD45:BE45" si="152">BD44/AY44-1</f>
        <v>0.10717835404670573</v>
      </c>
      <c r="BE45" s="35">
        <f t="shared" si="152"/>
        <v>0.21805835489798375</v>
      </c>
      <c r="BF45" s="35">
        <f t="shared" ref="BF45:BG45" si="153">BF44/BA44-1</f>
        <v>0.21761450564161411</v>
      </c>
      <c r="BG45" s="35">
        <f t="shared" si="153"/>
        <v>6.3183620824318387E-2</v>
      </c>
      <c r="BH45" s="35">
        <f t="shared" ref="BH45" si="154">BH44/BC44-1</f>
        <v>0.15688243688654624</v>
      </c>
      <c r="BI45" s="36">
        <f t="shared" ref="BI45" si="155">BI44/BD44-1</f>
        <v>0.16085511070993563</v>
      </c>
      <c r="BK45" s="112"/>
      <c r="BM45"/>
    </row>
    <row r="46" spans="1:74">
      <c r="A46" s="12"/>
      <c r="F46" s="26"/>
      <c r="K46" s="26"/>
      <c r="P46" s="26"/>
      <c r="U46" s="26"/>
      <c r="Z46" s="26"/>
      <c r="AE46" s="26"/>
      <c r="AJ46" s="26"/>
      <c r="AO46" s="26"/>
      <c r="AT46" s="26"/>
      <c r="AY46" s="26"/>
      <c r="BD46" s="26"/>
      <c r="BI46" s="26"/>
      <c r="BK46" s="112"/>
      <c r="BM46"/>
    </row>
    <row r="47" spans="1:74">
      <c r="A47" s="1" t="s">
        <v>62</v>
      </c>
      <c r="B47" s="65"/>
      <c r="C47" s="66"/>
      <c r="D47" s="66"/>
      <c r="E47" s="64"/>
      <c r="F47" s="67"/>
      <c r="G47" s="65"/>
      <c r="H47" s="66"/>
      <c r="I47" s="66"/>
      <c r="J47" s="64"/>
      <c r="K47" s="67"/>
      <c r="L47" s="65"/>
      <c r="M47" s="66"/>
      <c r="N47" s="66"/>
      <c r="O47" s="64"/>
      <c r="P47" s="67"/>
      <c r="Q47" s="65"/>
      <c r="R47" s="66"/>
      <c r="S47" s="66"/>
      <c r="T47" s="64"/>
      <c r="U47" s="67"/>
      <c r="V47" s="295">
        <v>-748</v>
      </c>
      <c r="W47" s="295">
        <v>-227</v>
      </c>
      <c r="X47" s="295">
        <v>-477</v>
      </c>
      <c r="Y47" s="64">
        <f>+Z47-SUM(V47:X47)</f>
        <v>-663</v>
      </c>
      <c r="Z47" s="307">
        <v>-2115</v>
      </c>
      <c r="AA47" s="399">
        <v>-1057</v>
      </c>
      <c r="AB47" s="41">
        <f>-427-545-3673-25+4+321-22-60-46+31</f>
        <v>-4442</v>
      </c>
      <c r="AC47" s="41">
        <f>-245-523+29-8-5-12+12+11+11+9</f>
        <v>-721</v>
      </c>
      <c r="AD47" s="41">
        <f>-88-561-643-4-4+260+55-13-2+25-5+4</f>
        <v>-976</v>
      </c>
      <c r="AE47" s="22">
        <f>SUM(AA47:AD47)</f>
        <v>-7196</v>
      </c>
      <c r="AF47" s="41">
        <f>-43-516-25+134-148</f>
        <v>-598</v>
      </c>
      <c r="AG47" s="41">
        <f>-56-519+0+123-73</f>
        <v>-525</v>
      </c>
      <c r="AH47" s="41">
        <f>-19-586+141-32</f>
        <v>-496</v>
      </c>
      <c r="AI47" s="41">
        <v>-929</v>
      </c>
      <c r="AJ47" s="22">
        <f>SUM(AF47:AI47)</f>
        <v>-2548</v>
      </c>
      <c r="AK47" s="41">
        <f>-44-484-290+182+11+5</f>
        <v>-620</v>
      </c>
      <c r="AL47" s="41">
        <f>-12-448-69+111</f>
        <v>-418</v>
      </c>
      <c r="AM47" s="41">
        <f>-24-482+108</f>
        <v>-398</v>
      </c>
      <c r="AN47" s="41">
        <v>-446</v>
      </c>
      <c r="AO47" s="22">
        <f>SUM(AK47:AN47)</f>
        <v>-1882</v>
      </c>
      <c r="AP47" s="41">
        <f>-30-493+57+101-2</f>
        <v>-367</v>
      </c>
      <c r="AQ47" s="41">
        <v>-569</v>
      </c>
      <c r="AR47" s="41">
        <v>-2806</v>
      </c>
      <c r="AS47" s="41">
        <v>-327</v>
      </c>
      <c r="AT47" s="22">
        <f>SUM(AP47:AS47)</f>
        <v>-4069</v>
      </c>
      <c r="AU47" s="41">
        <v>-82</v>
      </c>
      <c r="AV47" s="41">
        <v>-1784</v>
      </c>
      <c r="AW47" s="41">
        <v>-476</v>
      </c>
      <c r="AX47" s="41">
        <v>-589</v>
      </c>
      <c r="AY47" s="22">
        <f>SUM(AU47:AX47)</f>
        <v>-2931</v>
      </c>
      <c r="AZ47" s="41">
        <v>-456</v>
      </c>
      <c r="BA47" s="41">
        <v>-461</v>
      </c>
      <c r="BB47" s="41">
        <v>-393</v>
      </c>
      <c r="BC47" s="41">
        <v>-489</v>
      </c>
      <c r="BD47" s="22">
        <f>SUM(AZ47:BC47)</f>
        <v>-1799</v>
      </c>
      <c r="BE47" s="41">
        <v>-366</v>
      </c>
      <c r="BF47" s="41">
        <v>-440</v>
      </c>
      <c r="BG47" s="42">
        <f>-Cash_Flow_Qtr!BG66*(1-0.21)</f>
        <v>-388.28500000000003</v>
      </c>
      <c r="BH47" s="42">
        <f>-Cash_Flow_Qtr!BH66*(1-0.21)</f>
        <v>-388.28500000000003</v>
      </c>
      <c r="BI47" s="75">
        <f>SUM(BE47:BH47)</f>
        <v>-1582.5700000000002</v>
      </c>
      <c r="BK47" s="112"/>
      <c r="BL47" s="339"/>
      <c r="BM47"/>
    </row>
    <row r="48" spans="1:74">
      <c r="A48" s="1" t="s">
        <v>53</v>
      </c>
      <c r="B48" s="65"/>
      <c r="C48" s="66"/>
      <c r="D48" s="66"/>
      <c r="E48" s="64"/>
      <c r="F48" s="67"/>
      <c r="G48" s="65"/>
      <c r="H48" s="66"/>
      <c r="I48" s="66"/>
      <c r="J48" s="64"/>
      <c r="K48" s="67"/>
      <c r="L48" s="65"/>
      <c r="M48" s="66"/>
      <c r="N48" s="66"/>
      <c r="O48" s="64"/>
      <c r="P48" s="67"/>
      <c r="Q48" s="65"/>
      <c r="R48" s="66"/>
      <c r="S48" s="66"/>
      <c r="T48" s="64"/>
      <c r="U48" s="67"/>
      <c r="V48" s="294">
        <v>634</v>
      </c>
      <c r="W48" s="295">
        <v>717</v>
      </c>
      <c r="X48" s="295">
        <v>189</v>
      </c>
      <c r="Y48" s="64">
        <f>+Z48-SUM(V48:X48)</f>
        <v>488</v>
      </c>
      <c r="Z48" s="296">
        <v>2028</v>
      </c>
      <c r="AA48" s="400">
        <v>-521</v>
      </c>
      <c r="AB48" s="41">
        <f>-56+65</f>
        <v>9</v>
      </c>
      <c r="AC48" s="41">
        <f>13+100</f>
        <v>113</v>
      </c>
      <c r="AD48" s="41">
        <f>3-14</f>
        <v>-11</v>
      </c>
      <c r="AE48" s="22">
        <f>SUM(AA48:AD48)</f>
        <v>-410</v>
      </c>
      <c r="AF48" s="41">
        <v>-19</v>
      </c>
      <c r="AG48" s="41">
        <f>-8</f>
        <v>-8</v>
      </c>
      <c r="AH48" s="41">
        <v>-7</v>
      </c>
      <c r="AI48" s="41">
        <f>21-20</f>
        <v>1</v>
      </c>
      <c r="AJ48" s="22">
        <f>SUM(AF48:AI48)</f>
        <v>-33</v>
      </c>
      <c r="AK48" s="41">
        <v>-19</v>
      </c>
      <c r="AL48" s="41">
        <v>0</v>
      </c>
      <c r="AM48" s="41">
        <v>0</v>
      </c>
      <c r="AN48" s="41">
        <v>0</v>
      </c>
      <c r="AO48" s="22">
        <f>SUM(AK48:AN48)</f>
        <v>-19</v>
      </c>
      <c r="AP48" s="41">
        <v>0</v>
      </c>
      <c r="AQ48" s="41">
        <v>0</v>
      </c>
      <c r="AR48" s="41">
        <v>0</v>
      </c>
      <c r="AS48" s="41">
        <v>0</v>
      </c>
      <c r="AT48" s="22">
        <f>SUM(AP48:AS48)</f>
        <v>0</v>
      </c>
      <c r="AU48" s="41">
        <v>0</v>
      </c>
      <c r="AV48" s="41">
        <v>0</v>
      </c>
      <c r="AW48" s="41">
        <v>0</v>
      </c>
      <c r="AX48" s="41">
        <v>0</v>
      </c>
      <c r="AY48" s="22">
        <f>SUM(AU48:AX48)</f>
        <v>0</v>
      </c>
      <c r="AZ48" s="41">
        <v>0</v>
      </c>
      <c r="BA48" s="41">
        <v>0</v>
      </c>
      <c r="BB48" s="41">
        <v>0</v>
      </c>
      <c r="BC48" s="41">
        <v>0</v>
      </c>
      <c r="BD48" s="22">
        <f>SUM(AZ48:BC48)</f>
        <v>0</v>
      </c>
      <c r="BE48" s="41">
        <v>0</v>
      </c>
      <c r="BF48" s="41">
        <v>0</v>
      </c>
      <c r="BG48" s="41">
        <v>0</v>
      </c>
      <c r="BH48" s="21">
        <f>BI48-SUM(BE48:BG48)</f>
        <v>0</v>
      </c>
      <c r="BI48" s="43">
        <v>0</v>
      </c>
      <c r="BK48" s="112"/>
      <c r="BM48"/>
    </row>
    <row r="49" spans="1:65">
      <c r="A49" s="8" t="s">
        <v>16</v>
      </c>
      <c r="B49" s="23"/>
      <c r="C49" s="23"/>
      <c r="D49" s="23"/>
      <c r="E49" s="23"/>
      <c r="F49" s="24"/>
      <c r="G49" s="23"/>
      <c r="H49" s="23"/>
      <c r="I49" s="23"/>
      <c r="J49" s="23"/>
      <c r="K49" s="24"/>
      <c r="L49" s="23"/>
      <c r="M49" s="23"/>
      <c r="N49" s="23"/>
      <c r="O49" s="23"/>
      <c r="P49" s="24"/>
      <c r="Q49" s="23"/>
      <c r="R49" s="23"/>
      <c r="S49" s="23"/>
      <c r="T49" s="23"/>
      <c r="U49" s="24"/>
      <c r="V49" s="23">
        <f>V44+V47+V48</f>
        <v>1776</v>
      </c>
      <c r="W49" s="23">
        <f>W44+W47+W48</f>
        <v>2420</v>
      </c>
      <c r="X49" s="23">
        <f>X44+X47+X48</f>
        <v>1716</v>
      </c>
      <c r="Y49" s="23">
        <f>Z49-SUM(V49:X49)</f>
        <v>1725</v>
      </c>
      <c r="Z49" s="24">
        <f t="shared" ref="Z49:AG49" si="156">Z44+Z47+Z48</f>
        <v>7637</v>
      </c>
      <c r="AA49" s="23">
        <f t="shared" si="156"/>
        <v>728</v>
      </c>
      <c r="AB49" s="23">
        <f t="shared" si="156"/>
        <v>-3809</v>
      </c>
      <c r="AC49" s="23">
        <f t="shared" si="156"/>
        <v>247</v>
      </c>
      <c r="AD49" s="23">
        <f t="shared" si="156"/>
        <v>135</v>
      </c>
      <c r="AE49" s="24">
        <f t="shared" si="156"/>
        <v>-2699</v>
      </c>
      <c r="AF49" s="23">
        <f t="shared" si="156"/>
        <v>753</v>
      </c>
      <c r="AG49" s="23">
        <f t="shared" si="156"/>
        <v>1032</v>
      </c>
      <c r="AH49" s="23">
        <f t="shared" ref="AH49:AI49" si="157">AH44+AH47+AH48</f>
        <v>1393</v>
      </c>
      <c r="AI49" s="23">
        <f t="shared" si="157"/>
        <v>686</v>
      </c>
      <c r="AJ49" s="24">
        <f>AJ44+AJ47+AJ48</f>
        <v>3864</v>
      </c>
      <c r="AK49" s="23">
        <f>AK44+AK47+AK48</f>
        <v>1084</v>
      </c>
      <c r="AL49" s="23">
        <f t="shared" ref="AL49:AN49" si="158">AL44+AL47+AL48</f>
        <v>1304</v>
      </c>
      <c r="AM49" s="23">
        <f t="shared" si="158"/>
        <v>1387</v>
      </c>
      <c r="AN49" s="23">
        <f t="shared" si="158"/>
        <v>1421.72</v>
      </c>
      <c r="AO49" s="24">
        <f>AO44+AO47+AO48</f>
        <v>5196.72</v>
      </c>
      <c r="AP49" s="23">
        <f>AP44+AP47+AP48</f>
        <v>1429</v>
      </c>
      <c r="AQ49" s="23">
        <f t="shared" ref="AQ49:AS49" si="159">AQ44+AQ47+AQ48</f>
        <v>1329</v>
      </c>
      <c r="AR49" s="23">
        <f t="shared" si="159"/>
        <v>-984</v>
      </c>
      <c r="AS49" s="23">
        <f t="shared" si="159"/>
        <v>1426</v>
      </c>
      <c r="AT49" s="24">
        <f>AT44+AT47+AT48</f>
        <v>3200</v>
      </c>
      <c r="AU49" s="23">
        <f>AU44+AU47+AU48</f>
        <v>1709.1265822784808</v>
      </c>
      <c r="AV49" s="23">
        <f t="shared" ref="AV49:AX49" si="160">AV44+AV47+AV48</f>
        <v>111</v>
      </c>
      <c r="AW49" s="23">
        <f t="shared" si="160"/>
        <v>1472</v>
      </c>
      <c r="AX49" s="23">
        <f t="shared" si="160"/>
        <v>1482</v>
      </c>
      <c r="AY49" s="24">
        <f>AY44+AY47+AY48</f>
        <v>4774.1265822784808</v>
      </c>
      <c r="AZ49" s="23">
        <f>AZ44+AZ47+AZ48</f>
        <v>1534.8734177215192</v>
      </c>
      <c r="BA49" s="23">
        <f t="shared" ref="BA49:BC49" si="161">BA44+BA47+BA48</f>
        <v>1657.0759493670885</v>
      </c>
      <c r="BB49" s="23">
        <f t="shared" si="161"/>
        <v>1918</v>
      </c>
      <c r="BC49" s="23">
        <f t="shared" si="161"/>
        <v>1622</v>
      </c>
      <c r="BD49" s="24">
        <f>BD44+BD47+BD48</f>
        <v>6731.9493670886077</v>
      </c>
      <c r="BE49" s="23">
        <f>BE44+BE47+BE48</f>
        <v>2059</v>
      </c>
      <c r="BF49" s="23">
        <f t="shared" ref="BF49:BG49" si="162">BF44+BF47+BF48</f>
        <v>2139</v>
      </c>
      <c r="BG49" s="23">
        <f t="shared" si="162"/>
        <v>2068.7323477249997</v>
      </c>
      <c r="BH49" s="23">
        <f>BH44+BH47+BH48</f>
        <v>2053.8938242674994</v>
      </c>
      <c r="BI49" s="24">
        <f t="shared" ref="BI49" si="163">BI44+BI47+BI48</f>
        <v>8320.6261719925005</v>
      </c>
      <c r="BJ49" s="355"/>
      <c r="BK49" s="112"/>
      <c r="BM49"/>
    </row>
    <row r="50" spans="1:65">
      <c r="A50" s="1" t="s">
        <v>4</v>
      </c>
      <c r="B50" s="34"/>
      <c r="C50" s="35"/>
      <c r="D50" s="35"/>
      <c r="E50" s="35"/>
      <c r="F50" s="36"/>
      <c r="G50" s="34"/>
      <c r="H50" s="35"/>
      <c r="I50" s="35"/>
      <c r="J50" s="35"/>
      <c r="K50" s="36"/>
      <c r="L50" s="34"/>
      <c r="M50" s="35"/>
      <c r="N50" s="35"/>
      <c r="O50" s="35"/>
      <c r="P50" s="36"/>
      <c r="Q50" s="34"/>
      <c r="R50" s="35"/>
      <c r="S50" s="35"/>
      <c r="T50" s="35"/>
      <c r="U50" s="36"/>
      <c r="V50" s="34" t="str">
        <f>IFERROR(V49/Q49-1,"NM")</f>
        <v>NM</v>
      </c>
      <c r="W50" s="35" t="str">
        <f>IFERROR(W49/R49-1,"NM")</f>
        <v>NM</v>
      </c>
      <c r="X50" s="35" t="str">
        <f>IFERROR(X49/S49-1,"NM")</f>
        <v>NM</v>
      </c>
      <c r="Y50" s="35" t="str">
        <f>IFERROR(Y49/T49-1,"NM")</f>
        <v>NM</v>
      </c>
      <c r="Z50" s="36" t="str">
        <f>IFERROR(Z49/U49-1,"NM")</f>
        <v>NM</v>
      </c>
      <c r="AA50" s="232">
        <f t="shared" ref="AA50:AH50" si="164">AA49/V49-1</f>
        <v>-0.59009009009009006</v>
      </c>
      <c r="AB50" s="33">
        <f t="shared" si="164"/>
        <v>-2.5739669421487603</v>
      </c>
      <c r="AC50" s="33">
        <f t="shared" si="164"/>
        <v>-0.85606060606060608</v>
      </c>
      <c r="AD50" s="33">
        <f t="shared" si="164"/>
        <v>-0.92173913043478262</v>
      </c>
      <c r="AE50" s="137">
        <f t="shared" si="164"/>
        <v>-1.3534110252717035</v>
      </c>
      <c r="AF50" s="35">
        <f t="shared" si="164"/>
        <v>3.4340659340659441E-2</v>
      </c>
      <c r="AG50" s="35">
        <f t="shared" si="164"/>
        <v>-1.2709372538724075</v>
      </c>
      <c r="AH50" s="33">
        <f t="shared" si="164"/>
        <v>4.6396761133603235</v>
      </c>
      <c r="AI50" s="33">
        <f t="shared" ref="AI50" si="165">AI49/AD49-1</f>
        <v>4.0814814814814815</v>
      </c>
      <c r="AJ50" s="137">
        <f t="shared" ref="AJ50:AM50" si="166">AJ49/AE49-1</f>
        <v>-2.4316413486476476</v>
      </c>
      <c r="AK50" s="35">
        <f t="shared" si="166"/>
        <v>0.43957503320053126</v>
      </c>
      <c r="AL50" s="35">
        <f t="shared" si="166"/>
        <v>0.26356589147286824</v>
      </c>
      <c r="AM50" s="33">
        <f t="shared" si="166"/>
        <v>-4.3072505384063042E-3</v>
      </c>
      <c r="AN50" s="33">
        <f t="shared" ref="AN50" si="167">AN49/AI49-1</f>
        <v>1.0724781341107872</v>
      </c>
      <c r="AO50" s="137">
        <f t="shared" ref="AO50:AR50" si="168">AO49/AJ49-1</f>
        <v>0.34490683229813679</v>
      </c>
      <c r="AP50" s="35">
        <f t="shared" si="168"/>
        <v>0.31826568265682664</v>
      </c>
      <c r="AQ50" s="35">
        <f t="shared" si="168"/>
        <v>1.917177914110435E-2</v>
      </c>
      <c r="AR50" s="33">
        <f t="shared" si="168"/>
        <v>-1.7094448449891853</v>
      </c>
      <c r="AS50" s="33">
        <f t="shared" ref="AS50" si="169">AS49/AN49-1</f>
        <v>3.010438060940146E-3</v>
      </c>
      <c r="AT50" s="137">
        <f t="shared" ref="AT50:AW50" si="170">AT49/AO49-1</f>
        <v>-0.38422697393740668</v>
      </c>
      <c r="AU50" s="35">
        <f t="shared" si="170"/>
        <v>0.19602979865533987</v>
      </c>
      <c r="AV50" s="35">
        <f t="shared" si="170"/>
        <v>-0.91647855530474043</v>
      </c>
      <c r="AW50" s="33">
        <f t="shared" si="170"/>
        <v>-2.4959349593495936</v>
      </c>
      <c r="AX50" s="33">
        <f t="shared" ref="AX50" si="171">AX49/AS49-1</f>
        <v>3.9270687237026758E-2</v>
      </c>
      <c r="AY50" s="137">
        <f t="shared" ref="AY50:BB50" si="172">AY49/AT49-1</f>
        <v>0.49191455696202535</v>
      </c>
      <c r="AZ50" s="35">
        <f t="shared" si="172"/>
        <v>-0.10195451077980433</v>
      </c>
      <c r="BA50" s="35">
        <f t="shared" si="172"/>
        <v>13.928612156460256</v>
      </c>
      <c r="BB50" s="33">
        <f t="shared" si="172"/>
        <v>0.30298913043478271</v>
      </c>
      <c r="BC50" s="33">
        <f t="shared" ref="BC50" si="173">BC49/AX49-1</f>
        <v>9.4466936572199733E-2</v>
      </c>
      <c r="BD50" s="137">
        <f t="shared" ref="BD50:BE50" si="174">BD49/AY49-1</f>
        <v>0.4100902544305276</v>
      </c>
      <c r="BE50" s="35">
        <f t="shared" si="174"/>
        <v>0.34147870190919938</v>
      </c>
      <c r="BF50" s="33">
        <f t="shared" ref="BF50:BG50" si="175">BF49/BA49-1</f>
        <v>0.29082797974165264</v>
      </c>
      <c r="BG50" s="33">
        <f t="shared" si="175"/>
        <v>7.8588293912930096E-2</v>
      </c>
      <c r="BH50" s="35">
        <f t="shared" ref="BH50" si="176">BH49/BC49-1</f>
        <v>0.26627239473951869</v>
      </c>
      <c r="BI50" s="36">
        <f t="shared" ref="BI50" si="177">BI49/BD49-1</f>
        <v>0.23599060513893222</v>
      </c>
      <c r="BK50" s="112"/>
      <c r="BM50"/>
    </row>
    <row r="51" spans="1:65">
      <c r="F51" s="26"/>
      <c r="K51" s="26"/>
      <c r="P51" s="26"/>
      <c r="U51" s="26"/>
      <c r="Y51" s="77"/>
      <c r="Z51" s="26"/>
      <c r="AA51" s="21"/>
      <c r="AB51" s="77"/>
      <c r="AE51" s="26"/>
      <c r="AJ51" s="26"/>
      <c r="AK51" s="77"/>
      <c r="AO51" s="26"/>
      <c r="AP51" s="77"/>
      <c r="AT51" s="26"/>
      <c r="AU51" s="77"/>
      <c r="AY51" s="26"/>
      <c r="AZ51" s="77"/>
      <c r="BD51" s="26"/>
      <c r="BE51" s="77"/>
      <c r="BH51" s="77"/>
      <c r="BI51" s="26"/>
      <c r="BK51" s="112"/>
      <c r="BM51"/>
    </row>
    <row r="52" spans="1:65">
      <c r="A52" s="8" t="s">
        <v>54</v>
      </c>
      <c r="B52" s="50"/>
      <c r="C52" s="50"/>
      <c r="D52" s="50"/>
      <c r="E52" s="50"/>
      <c r="F52" s="51"/>
      <c r="G52" s="50"/>
      <c r="H52" s="50"/>
      <c r="I52" s="50"/>
      <c r="J52" s="50"/>
      <c r="K52" s="51"/>
      <c r="L52" s="50"/>
      <c r="M52" s="50"/>
      <c r="N52" s="50"/>
      <c r="O52" s="50"/>
      <c r="P52" s="51"/>
      <c r="Q52" s="50"/>
      <c r="R52" s="50"/>
      <c r="S52" s="50"/>
      <c r="T52" s="50"/>
      <c r="U52" s="51"/>
      <c r="V52" s="50">
        <f t="shared" ref="V52:AA52" si="178">V44/V64</f>
        <v>1.2451413136570262</v>
      </c>
      <c r="W52" s="50">
        <f t="shared" si="178"/>
        <v>1.2714935107714604</v>
      </c>
      <c r="X52" s="50">
        <f t="shared" si="178"/>
        <v>1.3202450754331641</v>
      </c>
      <c r="Y52" s="50">
        <f t="shared" si="178"/>
        <v>1.2517293629356347</v>
      </c>
      <c r="Z52" s="51">
        <f t="shared" si="178"/>
        <v>5.0886092627972852</v>
      </c>
      <c r="AA52" s="50">
        <f t="shared" si="178"/>
        <v>1.5192041636471441</v>
      </c>
      <c r="AB52" s="50">
        <f>AB44/AB64</f>
        <v>0.41497639156746691</v>
      </c>
      <c r="AC52" s="50">
        <f t="shared" ref="AC52:AG52" si="179">AC44/AC64</f>
        <v>0.564654603090741</v>
      </c>
      <c r="AD52" s="50">
        <f t="shared" si="179"/>
        <v>0.74039857463376002</v>
      </c>
      <c r="AE52" s="51">
        <f t="shared" si="179"/>
        <v>3.2436541512427284</v>
      </c>
      <c r="AF52" s="50">
        <f t="shared" si="179"/>
        <v>0.90482795059771481</v>
      </c>
      <c r="AG52" s="50">
        <f t="shared" si="179"/>
        <v>1.0338904670674507</v>
      </c>
      <c r="AH52" s="50">
        <f t="shared" ref="AH52:AJ52" si="180">AH44/AH64</f>
        <v>1.2590477455342319</v>
      </c>
      <c r="AI52" s="50">
        <f t="shared" si="180"/>
        <v>1.0758565524596719</v>
      </c>
      <c r="AJ52" s="51">
        <f t="shared" si="180"/>
        <v>4.2725268897396376</v>
      </c>
      <c r="AK52" s="50">
        <f>AK44/AK64</f>
        <v>1.1502770545430268</v>
      </c>
      <c r="AL52" s="50">
        <f>AL44/AL64</f>
        <v>1.1560150375939851</v>
      </c>
      <c r="AM52" s="50">
        <f t="shared" ref="AM52:AO52" si="181">AM44/AM64</f>
        <v>1.2066517947677957</v>
      </c>
      <c r="AN52" s="50">
        <f>AN44/AN64</f>
        <v>1.2651358125042336</v>
      </c>
      <c r="AO52" s="51">
        <f t="shared" si="181"/>
        <v>4.7771163197657787</v>
      </c>
      <c r="AP52" s="50">
        <f>AP44/AP64</f>
        <v>1.2182878849545515</v>
      </c>
      <c r="AQ52" s="50">
        <f>AQ44/AQ64</f>
        <v>1.292299312317015</v>
      </c>
      <c r="AR52" s="50">
        <f t="shared" ref="AR52" si="182">AR44/AR64</f>
        <v>1.2516315174829977</v>
      </c>
      <c r="AS52" s="50">
        <f>AS44/AS64</f>
        <v>1.2873613865021665</v>
      </c>
      <c r="AT52" s="51">
        <f t="shared" ref="AT52" si="183">AT44/AT64</f>
        <v>5.0640936324369514</v>
      </c>
      <c r="AU52" s="50">
        <f>AU44/AU64</f>
        <v>1.3393603396982583</v>
      </c>
      <c r="AV52" s="50">
        <f>AV44/AV64</f>
        <v>1.4119663214365548</v>
      </c>
      <c r="AW52" s="50">
        <f t="shared" ref="AW52" si="184">AW44/AW64</f>
        <v>1.4470361016193729</v>
      </c>
      <c r="AX52" s="50">
        <f>AX44/AX64</f>
        <v>1.5353250796945659</v>
      </c>
      <c r="AY52" s="51">
        <f t="shared" ref="AY52" si="185">AY44/AY64</f>
        <v>5.7346878403382568</v>
      </c>
      <c r="AZ52" s="50">
        <f>AZ44/AZ64</f>
        <v>1.4727573736658672</v>
      </c>
      <c r="BA52" s="50">
        <f>BA44/BA64</f>
        <v>1.5643101546285734</v>
      </c>
      <c r="BB52" s="50">
        <f t="shared" ref="BB52" si="186">BB44/BB64</f>
        <v>1.7012661955241459</v>
      </c>
      <c r="BC52" s="50">
        <f>BC44/BC64</f>
        <v>1.5502680472938239</v>
      </c>
      <c r="BD52" s="51">
        <f t="shared" ref="BD52" si="187">BD44/BD64</f>
        <v>6.2894053133947265</v>
      </c>
      <c r="BE52" s="50">
        <f>BE44/BE64</f>
        <v>1.7770775318774734</v>
      </c>
      <c r="BF52" s="50">
        <f t="shared" ref="BF52:BG52" si="188">BF44/BF64</f>
        <v>1.8893772893772893</v>
      </c>
      <c r="BG52" s="50">
        <f t="shared" si="188"/>
        <v>1.8015792457107693</v>
      </c>
      <c r="BH52" s="50">
        <f>BH44/BH64</f>
        <v>1.7843988996216964</v>
      </c>
      <c r="BI52" s="51">
        <f>BI44/BI64</f>
        <v>7.252377258665816</v>
      </c>
      <c r="BJ52" s="316" t="s">
        <v>527</v>
      </c>
      <c r="BK52" s="112"/>
      <c r="BM52"/>
    </row>
    <row r="53" spans="1:65">
      <c r="A53" s="8" t="s">
        <v>55</v>
      </c>
      <c r="B53" s="50"/>
      <c r="C53" s="50"/>
      <c r="D53" s="50"/>
      <c r="E53" s="50"/>
      <c r="F53" s="51"/>
      <c r="G53" s="50"/>
      <c r="H53" s="50"/>
      <c r="I53" s="50"/>
      <c r="J53" s="50"/>
      <c r="K53" s="51"/>
      <c r="L53" s="50"/>
      <c r="M53" s="50"/>
      <c r="N53" s="50"/>
      <c r="O53" s="50"/>
      <c r="P53" s="51"/>
      <c r="Q53" s="50"/>
      <c r="R53" s="50"/>
      <c r="S53" s="50"/>
      <c r="T53" s="50"/>
      <c r="U53" s="51"/>
      <c r="V53" s="50">
        <f t="shared" ref="V53:AF53" si="189">+V49/V61</f>
        <v>1.1700375518808881</v>
      </c>
      <c r="W53" s="50">
        <f t="shared" si="189"/>
        <v>1.5943079254232821</v>
      </c>
      <c r="X53" s="50">
        <f t="shared" si="189"/>
        <v>1.1305092562092365</v>
      </c>
      <c r="Y53" s="50">
        <f t="shared" si="189"/>
        <v>1.1364385005599842</v>
      </c>
      <c r="Z53" s="51">
        <f t="shared" si="189"/>
        <v>5.0312932340733907</v>
      </c>
      <c r="AA53" s="50">
        <f t="shared" si="189"/>
        <v>0.47960998748270633</v>
      </c>
      <c r="AB53" s="50">
        <f t="shared" si="189"/>
        <v>-2.5371344834476788</v>
      </c>
      <c r="AC53" s="50">
        <f t="shared" si="189"/>
        <v>0.16312244089288072</v>
      </c>
      <c r="AD53" s="50">
        <f t="shared" si="189"/>
        <v>8.908538999604064E-2</v>
      </c>
      <c r="AE53" s="51">
        <f t="shared" si="189"/>
        <v>-1.7848168231715384</v>
      </c>
      <c r="AF53" s="50">
        <f t="shared" si="189"/>
        <v>0.49732514364969294</v>
      </c>
      <c r="AG53" s="50">
        <f>+AG49/AG61</f>
        <v>0.68186323092170464</v>
      </c>
      <c r="AH53" s="50">
        <f>+AH49/AH61</f>
        <v>0.92502822232551962</v>
      </c>
      <c r="AI53" s="50">
        <f>+AI49/AI61</f>
        <v>0.45727236368484203</v>
      </c>
      <c r="AJ53" s="51">
        <f t="shared" ref="AJ53" si="190">+AJ49/AJ61</f>
        <v>2.5616122777068799</v>
      </c>
      <c r="AK53" s="50">
        <f>+AK49/AK61</f>
        <v>0.723679818412444</v>
      </c>
      <c r="AL53" s="50">
        <f>+AL49/AL61</f>
        <v>0.87540279269602583</v>
      </c>
      <c r="AM53" s="50">
        <f>+AM49/AM61</f>
        <v>0.93760562428175487</v>
      </c>
      <c r="AN53" s="50">
        <f>+AN49/AN61</f>
        <v>0.96302919460814207</v>
      </c>
      <c r="AO53" s="51">
        <f t="shared" ref="AO53" si="191">+AO49/AO61</f>
        <v>3.4976493749053525</v>
      </c>
      <c r="AP53" s="50">
        <f>+AP49/AP61</f>
        <v>0.96933930267263602</v>
      </c>
      <c r="AQ53" s="50">
        <f>+AQ49/AQ61</f>
        <v>0.90488186831892148</v>
      </c>
      <c r="AR53" s="50">
        <f>+AR49/AR61</f>
        <v>-0.67596345400838087</v>
      </c>
      <c r="AS53" s="50">
        <f>+AS49/AS61</f>
        <v>1.0472203862818534</v>
      </c>
      <c r="AT53" s="51">
        <f t="shared" ref="AT53" si="192">+AT49/AT61</f>
        <v>2.2293437369374387</v>
      </c>
      <c r="AU53" s="50">
        <f>+AU49/AU61</f>
        <v>1.27804275949935</v>
      </c>
      <c r="AV53" s="50">
        <f>+AV49/AV61</f>
        <v>8.2706206691006631E-2</v>
      </c>
      <c r="AW53" s="50">
        <f>+AW49/AW61</f>
        <v>1.0934482246322983</v>
      </c>
      <c r="AX53" s="50">
        <f>+AX49/AX61</f>
        <v>1.0986729928089554</v>
      </c>
      <c r="AY53" s="51">
        <f t="shared" ref="AY53" si="193">+AY49/AY61</f>
        <v>3.5532350270009534</v>
      </c>
      <c r="AZ53" s="50">
        <f>+AZ49/AZ61</f>
        <v>1.135429366564225</v>
      </c>
      <c r="BA53" s="50">
        <f>+BA49/BA61</f>
        <v>1.2238374810687507</v>
      </c>
      <c r="BB53" s="50">
        <f>+BB49/BB61</f>
        <v>1.4119552414605416</v>
      </c>
      <c r="BC53" s="50">
        <f>+BC49/BC61</f>
        <v>1.1911581111845486</v>
      </c>
      <c r="BD53" s="51">
        <f t="shared" ref="BD53" si="194">+BD49/BD61</f>
        <v>4.9631003885937828</v>
      </c>
      <c r="BE53" s="50">
        <f>+BE49/BE61</f>
        <v>1.5088670672724609</v>
      </c>
      <c r="BF53" s="50">
        <f t="shared" ref="BF53:BG53" si="195">+BF49/BF61</f>
        <v>1.567032967032967</v>
      </c>
      <c r="BG53" s="50">
        <f t="shared" si="195"/>
        <v>1.5168738088246558</v>
      </c>
      <c r="BH53" s="50">
        <f>+BH49/BH61</f>
        <v>1.5006951348298518</v>
      </c>
      <c r="BI53" s="51">
        <f>+BI49/BI61</f>
        <v>6.0934186276426026</v>
      </c>
      <c r="BK53" s="532"/>
      <c r="BM53"/>
    </row>
    <row r="54" spans="1:65">
      <c r="F54" s="26"/>
      <c r="K54" s="26"/>
      <c r="P54" s="26"/>
      <c r="U54" s="26"/>
      <c r="Z54" s="26"/>
      <c r="AE54" s="26"/>
      <c r="AJ54" s="26"/>
      <c r="AO54" s="26"/>
      <c r="AT54" s="26"/>
      <c r="AY54" s="26"/>
      <c r="BD54" s="26"/>
      <c r="BI54" s="26"/>
      <c r="BK54" s="112"/>
      <c r="BM54"/>
    </row>
    <row r="55" spans="1:65">
      <c r="A55" s="4" t="s">
        <v>56</v>
      </c>
      <c r="B55" s="52"/>
      <c r="C55" s="52"/>
      <c r="D55" s="52"/>
      <c r="E55" s="52"/>
      <c r="F55" s="53"/>
      <c r="G55" s="52"/>
      <c r="H55" s="52"/>
      <c r="I55" s="52"/>
      <c r="J55" s="52"/>
      <c r="K55" s="53"/>
      <c r="L55" s="52"/>
      <c r="M55" s="52"/>
      <c r="N55" s="52"/>
      <c r="O55" s="52"/>
      <c r="P55" s="53"/>
      <c r="Q55" s="52"/>
      <c r="R55" s="52"/>
      <c r="S55" s="52"/>
      <c r="T55" s="52"/>
      <c r="U55" s="53"/>
      <c r="V55" s="52">
        <f t="shared" ref="V55:AG55" si="196">V44/V58</f>
        <v>1.2543970266144553</v>
      </c>
      <c r="W55" s="52">
        <f t="shared" si="196"/>
        <v>1.2809451118338089</v>
      </c>
      <c r="X55" s="52">
        <f t="shared" si="196"/>
        <v>1.3300590694896131</v>
      </c>
      <c r="Y55" s="52">
        <f t="shared" si="196"/>
        <v>1.2610340479192939</v>
      </c>
      <c r="Z55" s="53">
        <f t="shared" si="196"/>
        <v>5.1264352558571709</v>
      </c>
      <c r="AA55" s="52">
        <f t="shared" si="196"/>
        <v>1.5304971128957323</v>
      </c>
      <c r="AB55" s="52">
        <f t="shared" si="196"/>
        <v>0.41563977885832282</v>
      </c>
      <c r="AC55" s="52">
        <f t="shared" si="196"/>
        <v>0.56566324842871318</v>
      </c>
      <c r="AD55" s="52">
        <f t="shared" si="196"/>
        <v>0.74191628645110097</v>
      </c>
      <c r="AE55" s="53">
        <f t="shared" si="196"/>
        <v>3.2540866739613383</v>
      </c>
      <c r="AF55" s="52">
        <f t="shared" si="196"/>
        <v>0.90662431341406924</v>
      </c>
      <c r="AG55" s="52">
        <f t="shared" si="196"/>
        <v>1.0389006903876792</v>
      </c>
      <c r="AH55" s="52">
        <f t="shared" ref="AH55" si="197">AH44/AH58</f>
        <v>1.2657720809132784</v>
      </c>
      <c r="AI55" s="52">
        <f>AI44/AI58</f>
        <v>1.0828581013082859</v>
      </c>
      <c r="AJ55" s="53">
        <f>AJ44/AJ58</f>
        <v>4.2924457616676941</v>
      </c>
      <c r="AK55" s="52">
        <f>AK44/AK58</f>
        <v>1.1588646758138283</v>
      </c>
      <c r="AL55" s="52">
        <f>AL44/AL58</f>
        <v>1.1641427798810167</v>
      </c>
      <c r="AM55" s="52">
        <f t="shared" ref="AM55" si="198">AM44/AM58</f>
        <v>1.2142031154343242</v>
      </c>
      <c r="AN55" s="52">
        <f>AN44/AN58</f>
        <v>1.2744592289321051</v>
      </c>
      <c r="AO55" s="53">
        <f>AO44/AO58</f>
        <v>4.810708960281957</v>
      </c>
      <c r="AP55" s="52">
        <f>AP44/AP58</f>
        <v>1.2282861441663246</v>
      </c>
      <c r="AQ55" s="52">
        <f>AQ44/AQ58</f>
        <v>1.3022298456260721</v>
      </c>
      <c r="AR55" s="52">
        <f t="shared" ref="AR55" si="199">AR44/AR58</f>
        <v>1.2582004005248257</v>
      </c>
      <c r="AS55" s="52">
        <f>AS44/AS58</f>
        <v>1.2938224223189903</v>
      </c>
      <c r="AT55" s="53">
        <f>AT44/AT58</f>
        <v>5.0974754558204767</v>
      </c>
      <c r="AU55" s="52">
        <f>AU44/AU58</f>
        <v>1.3473195293203555</v>
      </c>
      <c r="AV55" s="52">
        <f>AV44/AV58</f>
        <v>1.4228863192671573</v>
      </c>
      <c r="AW55" s="52">
        <f t="shared" ref="AW55" si="200">AW44/AW58</f>
        <v>1.461146114611461</v>
      </c>
      <c r="AX55" s="52">
        <f>AX44/AX58</f>
        <v>1.5520083932853717</v>
      </c>
      <c r="AY55" s="53">
        <f>AY44/AY58</f>
        <v>5.784195317377435</v>
      </c>
      <c r="AZ55" s="52">
        <f>AZ44/AZ58</f>
        <v>1.4882809432021522</v>
      </c>
      <c r="BA55" s="52">
        <f>BA44/BA58</f>
        <v>1.5799462549359158</v>
      </c>
      <c r="BB55" s="52">
        <f t="shared" ref="BB55" si="201">BB44/BB58</f>
        <v>1.7206462661008117</v>
      </c>
      <c r="BC55" s="52">
        <f>BC44/BC58</f>
        <v>1.5696334299947949</v>
      </c>
      <c r="BD55" s="53">
        <f>BD44/BD58</f>
        <v>6.3597356247864969</v>
      </c>
      <c r="BE55" s="52">
        <f>BE44/BE58</f>
        <v>1.7989614243323442</v>
      </c>
      <c r="BF55" s="52">
        <f t="shared" ref="BF55:BG55" si="202">BF44/BF58</f>
        <v>1.9093803213148737</v>
      </c>
      <c r="BG55" s="52">
        <f t="shared" si="202"/>
        <v>1.8206527507182946</v>
      </c>
      <c r="BH55" s="52">
        <f t="shared" ref="BH55:BI55" si="203">BH44/BH58</f>
        <v>1.803290514535882</v>
      </c>
      <c r="BI55" s="53">
        <f t="shared" si="203"/>
        <v>7.3322848335823574</v>
      </c>
      <c r="BK55" s="112"/>
      <c r="BM55"/>
    </row>
    <row r="56" spans="1:65">
      <c r="A56" s="4" t="s">
        <v>57</v>
      </c>
      <c r="B56" s="54"/>
      <c r="C56" s="54"/>
      <c r="D56" s="54"/>
      <c r="E56" s="54"/>
      <c r="F56" s="55"/>
      <c r="G56" s="54"/>
      <c r="H56" s="54"/>
      <c r="I56" s="54"/>
      <c r="J56" s="54"/>
      <c r="K56" s="55"/>
      <c r="L56" s="54"/>
      <c r="M56" s="54"/>
      <c r="N56" s="54"/>
      <c r="O56" s="54"/>
      <c r="P56" s="55"/>
      <c r="Q56" s="54"/>
      <c r="R56" s="54"/>
      <c r="S56" s="54"/>
      <c r="T56" s="54"/>
      <c r="U56" s="310"/>
      <c r="V56" s="54">
        <f t="shared" ref="V56:AG56" si="204">V49/V58</f>
        <v>1.1787349837392977</v>
      </c>
      <c r="W56" s="54">
        <f t="shared" si="204"/>
        <v>1.6061591557708901</v>
      </c>
      <c r="X56" s="54">
        <f t="shared" si="204"/>
        <v>1.1389128559102675</v>
      </c>
      <c r="Y56" s="54">
        <f t="shared" si="204"/>
        <v>1.144886175084622</v>
      </c>
      <c r="Z56" s="55">
        <f t="shared" si="204"/>
        <v>5.0686931705050773</v>
      </c>
      <c r="AA56" s="54">
        <f t="shared" si="204"/>
        <v>0.48317515099223468</v>
      </c>
      <c r="AB56" s="54">
        <f t="shared" si="204"/>
        <v>-2.5371344834476788</v>
      </c>
      <c r="AC56" s="54">
        <f t="shared" si="204"/>
        <v>0.16341382732385049</v>
      </c>
      <c r="AD56" s="54">
        <f t="shared" si="204"/>
        <v>8.9268002380480063E-2</v>
      </c>
      <c r="AE56" s="55">
        <f t="shared" si="204"/>
        <v>-1.7898471434729268</v>
      </c>
      <c r="AF56" s="54">
        <f t="shared" si="204"/>
        <v>0.49831248759182056</v>
      </c>
      <c r="AG56" s="54">
        <f t="shared" si="204"/>
        <v>0.68507700477960698</v>
      </c>
      <c r="AH56" s="54">
        <f t="shared" ref="AH56:AL56" si="205">AH49/AH58</f>
        <v>0.92996862273850056</v>
      </c>
      <c r="AI56" s="54">
        <f>AI49/AI58</f>
        <v>0.46024823884602484</v>
      </c>
      <c r="AJ56" s="55">
        <f t="shared" si="205"/>
        <v>2.5734694217352936</v>
      </c>
      <c r="AK56" s="54">
        <f t="shared" si="205"/>
        <v>0.72908259348937321</v>
      </c>
      <c r="AL56" s="54">
        <f t="shared" si="205"/>
        <v>0.88155759870200101</v>
      </c>
      <c r="AM56" s="54">
        <f t="shared" ref="AM56" si="206">AM49/AM58</f>
        <v>0.94347323311339371</v>
      </c>
      <c r="AN56" s="54">
        <f>AN49/AN58</f>
        <v>0.97012623677925625</v>
      </c>
      <c r="AO56" s="55">
        <f t="shared" ref="AO56" si="207">AO49/AO58</f>
        <v>3.5222448149654331</v>
      </c>
      <c r="AP56" s="54">
        <f>AP49/AP58</f>
        <v>0.97729448775817263</v>
      </c>
      <c r="AQ56" s="54">
        <f t="shared" ref="AQ56:AR56" si="208">AQ49/AQ58</f>
        <v>0.91183533447684395</v>
      </c>
      <c r="AR56" s="54">
        <f t="shared" si="208"/>
        <v>-0.67951108348870937</v>
      </c>
      <c r="AS56" s="54">
        <f>AS49/AS58</f>
        <v>1.0524761975053509</v>
      </c>
      <c r="AT56" s="55">
        <f t="shared" ref="AT56" si="209">AT49/AT58</f>
        <v>2.244039270687237</v>
      </c>
      <c r="AU56" s="54">
        <f>AU49/AU58</f>
        <v>1.2856375675330831</v>
      </c>
      <c r="AV56" s="54">
        <f t="shared" ref="AV56:AW56" si="210">AV49/AV58</f>
        <v>8.3345847724883612E-2</v>
      </c>
      <c r="AW56" s="54">
        <f t="shared" si="210"/>
        <v>1.104110411041104</v>
      </c>
      <c r="AX56" s="54">
        <f>AX49/AX58</f>
        <v>1.1106115107913668</v>
      </c>
      <c r="AY56" s="55">
        <f t="shared" ref="AY56" si="211">AY49/AY58</f>
        <v>3.5839100535083559</v>
      </c>
      <c r="AZ56" s="54">
        <f>AZ49/AZ58</f>
        <v>1.1473973370124237</v>
      </c>
      <c r="BA56" s="54">
        <f t="shared" ref="BA56:BB56" si="212">BA49/BA58</f>
        <v>1.2360703784626947</v>
      </c>
      <c r="BB56" s="54">
        <f t="shared" si="212"/>
        <v>1.4280396098577919</v>
      </c>
      <c r="BC56" s="54">
        <f>BC49/BC58</f>
        <v>1.2060376236151387</v>
      </c>
      <c r="BD56" s="55">
        <f t="shared" ref="BD56" si="213">BD49/BD58</f>
        <v>5.0185994983514295</v>
      </c>
      <c r="BE56" s="54">
        <f>BE49/BE58</f>
        <v>1.5274480712166172</v>
      </c>
      <c r="BF56" s="54">
        <f t="shared" ref="BF56:BG56" si="214">BF49/BF58</f>
        <v>1.5836233064337011</v>
      </c>
      <c r="BG56" s="54">
        <f t="shared" si="214"/>
        <v>1.532933108051866</v>
      </c>
      <c r="BH56" s="54">
        <f t="shared" ref="BH56:BI56" si="215">BH49/BH58</f>
        <v>1.5165831487693402</v>
      </c>
      <c r="BI56" s="55">
        <f t="shared" si="215"/>
        <v>6.1605566553705993</v>
      </c>
      <c r="BK56" s="112"/>
      <c r="BM56"/>
    </row>
    <row r="57" spans="1:65">
      <c r="F57" s="26"/>
      <c r="K57" s="26"/>
      <c r="P57" s="26"/>
      <c r="U57" s="103"/>
      <c r="Z57" s="26"/>
      <c r="AE57" s="26"/>
      <c r="AJ57" s="26"/>
      <c r="AO57" s="26"/>
      <c r="AT57" s="26"/>
      <c r="AY57" s="26"/>
      <c r="BD57" s="26"/>
      <c r="BI57" s="26"/>
      <c r="BK57" s="112"/>
      <c r="BM57"/>
    </row>
    <row r="58" spans="1:65">
      <c r="A58" s="4" t="s">
        <v>58</v>
      </c>
      <c r="B58" s="56"/>
      <c r="C58" s="56"/>
      <c r="D58" s="56"/>
      <c r="E58" s="56"/>
      <c r="F58" s="191"/>
      <c r="G58" s="56"/>
      <c r="H58" s="56"/>
      <c r="I58" s="56"/>
      <c r="J58" s="56"/>
      <c r="K58" s="191"/>
      <c r="L58" s="56"/>
      <c r="M58" s="56"/>
      <c r="N58" s="56"/>
      <c r="O58" s="56"/>
      <c r="P58" s="191"/>
      <c r="Q58" s="56"/>
      <c r="R58" s="56"/>
      <c r="S58" s="56"/>
      <c r="T58" s="56"/>
      <c r="U58" s="57">
        <f t="shared" ref="U58:Z58" si="216">V58</f>
        <v>1506.7</v>
      </c>
      <c r="V58" s="228">
        <f t="shared" si="216"/>
        <v>1506.7</v>
      </c>
      <c r="W58" s="228">
        <f t="shared" si="216"/>
        <v>1506.7</v>
      </c>
      <c r="X58" s="228">
        <f t="shared" si="216"/>
        <v>1506.7</v>
      </c>
      <c r="Y58" s="228">
        <f t="shared" si="216"/>
        <v>1506.7</v>
      </c>
      <c r="Z58" s="61">
        <f t="shared" si="216"/>
        <v>1506.7</v>
      </c>
      <c r="AA58" s="56">
        <v>1506.7</v>
      </c>
      <c r="AB58" s="56">
        <v>1501.3</v>
      </c>
      <c r="AC58" s="56">
        <v>1511.5</v>
      </c>
      <c r="AD58" s="56">
        <v>1512.3</v>
      </c>
      <c r="AE58" s="61">
        <f>AVERAGE(AA58:AD58)</f>
        <v>1507.95</v>
      </c>
      <c r="AF58" s="56">
        <v>1511.1</v>
      </c>
      <c r="AG58" s="56">
        <v>1506.4</v>
      </c>
      <c r="AH58" s="56">
        <v>1497.9</v>
      </c>
      <c r="AI58" s="56">
        <v>1490.5</v>
      </c>
      <c r="AJ58" s="61">
        <f>AVERAGE(AF58:AI58)</f>
        <v>1501.4749999999999</v>
      </c>
      <c r="AK58" s="56">
        <v>1486.8</v>
      </c>
      <c r="AL58" s="56">
        <v>1479.2</v>
      </c>
      <c r="AM58" s="56">
        <v>1470.1</v>
      </c>
      <c r="AN58" s="56">
        <v>1465.5</v>
      </c>
      <c r="AO58" s="61">
        <f>AVERAGE(AK58:AN58)</f>
        <v>1475.4</v>
      </c>
      <c r="AP58" s="56">
        <v>1462.2</v>
      </c>
      <c r="AQ58" s="56">
        <v>1457.5</v>
      </c>
      <c r="AR58" s="56">
        <v>1448.1</v>
      </c>
      <c r="AS58" s="56">
        <v>1354.9</v>
      </c>
      <c r="AT58" s="191">
        <v>1426</v>
      </c>
      <c r="AU58" s="56">
        <v>1329.4</v>
      </c>
      <c r="AV58" s="56">
        <v>1331.8</v>
      </c>
      <c r="AW58" s="56">
        <v>1333.2</v>
      </c>
      <c r="AX58" s="56">
        <v>1334.4</v>
      </c>
      <c r="AY58" s="191">
        <v>1332.1</v>
      </c>
      <c r="AZ58" s="56">
        <v>1337.7</v>
      </c>
      <c r="BA58" s="56">
        <v>1340.6</v>
      </c>
      <c r="BB58" s="56">
        <v>1343.1</v>
      </c>
      <c r="BC58" s="56">
        <v>1344.9</v>
      </c>
      <c r="BD58" s="191">
        <v>1341.4</v>
      </c>
      <c r="BE58" s="56">
        <v>1348</v>
      </c>
      <c r="BF58" s="56">
        <v>1350.7</v>
      </c>
      <c r="BG58" s="365">
        <f t="shared" ref="BG58" si="217">AVERAGE(BG67,BF67)</f>
        <v>1349.5255186666666</v>
      </c>
      <c r="BH58" s="365">
        <f t="shared" ref="BH58" si="218">AVERAGE(BH67,BG67)</f>
        <v>1354.2902846666666</v>
      </c>
      <c r="BI58" s="61">
        <f>AVERAGE(BE58:BH58)</f>
        <v>1350.6289508333332</v>
      </c>
      <c r="BJ58" s="446"/>
      <c r="BK58" s="112"/>
      <c r="BM58"/>
    </row>
    <row r="59" spans="1:65">
      <c r="A59" s="1" t="s">
        <v>4</v>
      </c>
      <c r="B59" s="34"/>
      <c r="C59" s="35"/>
      <c r="D59" s="58"/>
      <c r="E59" s="231"/>
      <c r="F59" s="36"/>
      <c r="G59" s="34"/>
      <c r="H59" s="35"/>
      <c r="I59" s="35"/>
      <c r="J59" s="35"/>
      <c r="K59" s="36"/>
      <c r="L59" s="34"/>
      <c r="M59" s="35"/>
      <c r="N59" s="35"/>
      <c r="O59" s="35"/>
      <c r="P59" s="36"/>
      <c r="Q59" s="34"/>
      <c r="R59" s="35"/>
      <c r="S59" s="35"/>
      <c r="T59" s="35"/>
      <c r="U59" s="102"/>
      <c r="V59" s="34" t="str">
        <f>IFERROR(V58/Q58-1,"NM")</f>
        <v>NM</v>
      </c>
      <c r="W59" s="35" t="str">
        <f>IFERROR(W58/R58-1,"NM")</f>
        <v>NM</v>
      </c>
      <c r="X59" s="35" t="str">
        <f>IFERROR(X58/S58-1,"NM")</f>
        <v>NM</v>
      </c>
      <c r="Y59" s="35" t="str">
        <f>IFERROR(Y58/T58-1,"NM")</f>
        <v>NM</v>
      </c>
      <c r="Z59" s="36">
        <f>IFERROR(Z58/U58-1,"NM")</f>
        <v>0</v>
      </c>
      <c r="AA59" s="232">
        <f t="shared" ref="AA59:AH59" si="219">AA58/V58-1</f>
        <v>0</v>
      </c>
      <c r="AB59" s="33">
        <f t="shared" si="219"/>
        <v>-3.5839915046127491E-3</v>
      </c>
      <c r="AC59" s="33">
        <f t="shared" si="219"/>
        <v>3.185770226322493E-3</v>
      </c>
      <c r="AD59" s="33">
        <f t="shared" si="219"/>
        <v>3.7167319307094271E-3</v>
      </c>
      <c r="AE59" s="137">
        <f t="shared" si="219"/>
        <v>8.2962766310479275E-4</v>
      </c>
      <c r="AF59" s="232">
        <f t="shared" si="219"/>
        <v>2.9202893741286928E-3</v>
      </c>
      <c r="AG59" s="33">
        <f t="shared" si="219"/>
        <v>3.3970558848999133E-3</v>
      </c>
      <c r="AH59" s="33">
        <f t="shared" si="219"/>
        <v>-8.9976844194508132E-3</v>
      </c>
      <c r="AI59" s="33">
        <f t="shared" ref="AI59" si="220">AI58/AD58-1</f>
        <v>-1.441512927329236E-2</v>
      </c>
      <c r="AJ59" s="137">
        <f t="shared" ref="AJ59:AM59" si="221">AJ58/AE58-1</f>
        <v>-4.2939089492357585E-3</v>
      </c>
      <c r="AK59" s="232">
        <f t="shared" si="221"/>
        <v>-1.6081000595592587E-2</v>
      </c>
      <c r="AL59" s="33">
        <f t="shared" si="221"/>
        <v>-1.8056293149229963E-2</v>
      </c>
      <c r="AM59" s="33">
        <f t="shared" si="221"/>
        <v>-1.8559316376260182E-2</v>
      </c>
      <c r="AN59" s="33">
        <f t="shared" ref="AN59" si="222">AN58/AI58-1</f>
        <v>-1.6772895001677335E-2</v>
      </c>
      <c r="AO59" s="137">
        <f t="shared" ref="AO59:AR59" si="223">AO58/AJ58-1</f>
        <v>-1.7366256514427358E-2</v>
      </c>
      <c r="AP59" s="232">
        <f t="shared" si="223"/>
        <v>-1.6545601291363954E-2</v>
      </c>
      <c r="AQ59" s="33">
        <f t="shared" si="223"/>
        <v>-1.467009194159008E-2</v>
      </c>
      <c r="AR59" s="33">
        <f t="shared" si="223"/>
        <v>-1.4964968369498677E-2</v>
      </c>
      <c r="AS59" s="33">
        <f t="shared" ref="AS59" si="224">AS58/AN58-1</f>
        <v>-7.5469123166154839E-2</v>
      </c>
      <c r="AT59" s="137">
        <f t="shared" ref="AT59:AW59" si="225">AT58/AO58-1</f>
        <v>-3.3482445438525188E-2</v>
      </c>
      <c r="AU59" s="232">
        <f t="shared" si="225"/>
        <v>-9.0822048967309499E-2</v>
      </c>
      <c r="AV59" s="33">
        <f t="shared" si="225"/>
        <v>-8.6243567753001793E-2</v>
      </c>
      <c r="AW59" s="33">
        <f t="shared" si="225"/>
        <v>-7.9345349078102201E-2</v>
      </c>
      <c r="AX59" s="33">
        <f t="shared" ref="AX59" si="226">AX58/AS58-1</f>
        <v>-1.5130267916451445E-2</v>
      </c>
      <c r="AY59" s="137">
        <f t="shared" ref="AY59:BB59" si="227">AY58/AT58-1</f>
        <v>-6.5848527349228636E-2</v>
      </c>
      <c r="AZ59" s="232">
        <f t="shared" si="227"/>
        <v>6.2434180833459418E-3</v>
      </c>
      <c r="BA59" s="33">
        <f t="shared" si="227"/>
        <v>6.6075987385492141E-3</v>
      </c>
      <c r="BB59" s="33">
        <f t="shared" si="227"/>
        <v>7.4257425742574323E-3</v>
      </c>
      <c r="BC59" s="33">
        <f t="shared" ref="BC59" si="228">BC58/AX58-1</f>
        <v>7.8687050359711463E-3</v>
      </c>
      <c r="BD59" s="137">
        <f t="shared" ref="BD59:BE59" si="229">BD58/AY58-1</f>
        <v>6.9814578485098977E-3</v>
      </c>
      <c r="BE59" s="232">
        <f t="shared" si="229"/>
        <v>7.6997832099872099E-3</v>
      </c>
      <c r="BF59" s="33">
        <f t="shared" ref="BF59:BG59" si="230">BF58/BA58-1</f>
        <v>7.5339400268537027E-3</v>
      </c>
      <c r="BG59" s="33">
        <f t="shared" si="230"/>
        <v>4.7840955004592178E-3</v>
      </c>
      <c r="BH59" s="35">
        <f t="shared" ref="BH59" si="231">BH58/BC58-1</f>
        <v>6.9821434059531562E-3</v>
      </c>
      <c r="BI59" s="36">
        <f t="shared" ref="BI59" si="232">BI58/BD58-1</f>
        <v>6.8800885890361041E-3</v>
      </c>
      <c r="BK59" s="112"/>
      <c r="BM59"/>
    </row>
    <row r="60" spans="1:65">
      <c r="B60" s="58"/>
      <c r="C60" s="58"/>
      <c r="D60" s="58"/>
      <c r="E60" s="248"/>
      <c r="F60" s="60"/>
      <c r="G60" s="58"/>
      <c r="H60" s="58"/>
      <c r="I60" s="58"/>
      <c r="J60" s="59"/>
      <c r="K60" s="60"/>
      <c r="L60" s="58"/>
      <c r="M60" s="58"/>
      <c r="N60" s="58"/>
      <c r="O60" s="59"/>
      <c r="P60" s="60"/>
      <c r="Q60" s="58"/>
      <c r="R60" s="58"/>
      <c r="S60" s="58"/>
      <c r="T60" s="59"/>
      <c r="U60" s="311"/>
      <c r="V60" s="58"/>
      <c r="W60" s="58"/>
      <c r="X60" s="58"/>
      <c r="Y60" s="59"/>
      <c r="Z60" s="60"/>
      <c r="AA60" s="58"/>
      <c r="AB60" s="58"/>
      <c r="AC60" s="58"/>
      <c r="AD60" s="59"/>
      <c r="AE60" s="60"/>
      <c r="AF60" s="58"/>
      <c r="AG60" s="58"/>
      <c r="AH60" s="58"/>
      <c r="AI60" s="59"/>
      <c r="AJ60" s="60"/>
      <c r="AK60" s="58"/>
      <c r="AL60" s="58"/>
      <c r="AM60" s="58"/>
      <c r="AN60" s="59"/>
      <c r="AO60" s="60"/>
      <c r="AP60" s="58"/>
      <c r="AQ60" s="58"/>
      <c r="AR60" s="58"/>
      <c r="AS60" s="59"/>
      <c r="AT60" s="60"/>
      <c r="AU60" s="58"/>
      <c r="AV60" s="58"/>
      <c r="AW60" s="58"/>
      <c r="AX60" s="59"/>
      <c r="AY60" s="60"/>
      <c r="AZ60" s="58"/>
      <c r="BA60" s="58"/>
      <c r="BB60" s="58"/>
      <c r="BC60" s="59"/>
      <c r="BD60" s="60"/>
      <c r="BE60" s="58"/>
      <c r="BF60" s="58"/>
      <c r="BG60" s="58"/>
      <c r="BH60" s="59"/>
      <c r="BI60" s="60"/>
      <c r="BK60" s="112"/>
      <c r="BM60"/>
    </row>
    <row r="61" spans="1:65">
      <c r="A61" s="4" t="s">
        <v>59</v>
      </c>
      <c r="B61" s="56"/>
      <c r="C61" s="56"/>
      <c r="D61" s="56"/>
      <c r="E61" s="56"/>
      <c r="F61" s="191"/>
      <c r="G61" s="56"/>
      <c r="H61" s="56"/>
      <c r="I61" s="56"/>
      <c r="J61" s="56"/>
      <c r="K61" s="191"/>
      <c r="L61" s="56"/>
      <c r="M61" s="56"/>
      <c r="N61" s="56"/>
      <c r="O61" s="56"/>
      <c r="P61" s="191"/>
      <c r="Q61" s="56"/>
      <c r="R61" s="56"/>
      <c r="S61" s="56"/>
      <c r="T61" s="56"/>
      <c r="U61" s="57">
        <f t="shared" ref="U61:Z61" si="233">V61</f>
        <v>1517.9</v>
      </c>
      <c r="V61" s="228">
        <f t="shared" si="233"/>
        <v>1517.9</v>
      </c>
      <c r="W61" s="228">
        <f t="shared" si="233"/>
        <v>1517.9</v>
      </c>
      <c r="X61" s="228">
        <f t="shared" si="233"/>
        <v>1517.9</v>
      </c>
      <c r="Y61" s="228">
        <f t="shared" si="233"/>
        <v>1517.9</v>
      </c>
      <c r="Z61" s="61">
        <f t="shared" si="233"/>
        <v>1517.9</v>
      </c>
      <c r="AA61" s="56">
        <v>1517.9</v>
      </c>
      <c r="AB61" s="56">
        <v>1501.3</v>
      </c>
      <c r="AC61" s="56">
        <v>1514.2</v>
      </c>
      <c r="AD61" s="56">
        <v>1515.4</v>
      </c>
      <c r="AE61" s="61">
        <f>AVERAGE(AA61:AD61)</f>
        <v>1512.1999999999998</v>
      </c>
      <c r="AF61" s="56">
        <v>1514.1</v>
      </c>
      <c r="AG61" s="56">
        <v>1513.5</v>
      </c>
      <c r="AH61" s="56">
        <v>1505.9</v>
      </c>
      <c r="AI61" s="56">
        <v>1500.2</v>
      </c>
      <c r="AJ61" s="61">
        <f>AVERAGE(AF61:AI61)</f>
        <v>1508.425</v>
      </c>
      <c r="AK61" s="56">
        <v>1497.9</v>
      </c>
      <c r="AL61" s="56">
        <v>1489.6</v>
      </c>
      <c r="AM61" s="56">
        <v>1479.3</v>
      </c>
      <c r="AN61" s="56">
        <v>1476.3</v>
      </c>
      <c r="AO61" s="61">
        <f>AVERAGE(AK61:AN61)</f>
        <v>1485.7750000000001</v>
      </c>
      <c r="AP61" s="56">
        <v>1474.2</v>
      </c>
      <c r="AQ61" s="56">
        <v>1468.7</v>
      </c>
      <c r="AR61" s="56">
        <v>1455.7</v>
      </c>
      <c r="AS61" s="56">
        <v>1361.7</v>
      </c>
      <c r="AT61" s="191">
        <v>1435.4</v>
      </c>
      <c r="AU61" s="56">
        <v>1337.3</v>
      </c>
      <c r="AV61" s="56">
        <v>1342.1</v>
      </c>
      <c r="AW61" s="56">
        <v>1346.2</v>
      </c>
      <c r="AX61" s="56">
        <v>1348.9</v>
      </c>
      <c r="AY61" s="191">
        <v>1343.6</v>
      </c>
      <c r="AZ61" s="56">
        <v>1351.8</v>
      </c>
      <c r="BA61" s="56">
        <v>1354</v>
      </c>
      <c r="BB61" s="56">
        <v>1358.4</v>
      </c>
      <c r="BC61" s="56">
        <v>1361.7</v>
      </c>
      <c r="BD61" s="191">
        <v>1356.4</v>
      </c>
      <c r="BE61" s="56">
        <v>1364.6</v>
      </c>
      <c r="BF61" s="56">
        <v>1365</v>
      </c>
      <c r="BG61" s="365">
        <f t="shared" ref="BG61" si="234">BF61/BF58*BG58</f>
        <v>1363.8130843118383</v>
      </c>
      <c r="BH61" s="365">
        <f t="shared" ref="BH61" si="235">BG61/BG58*BH58</f>
        <v>1368.6282953801733</v>
      </c>
      <c r="BI61" s="61">
        <f>AVERAGE(BE61:BH61)</f>
        <v>1365.5103449230028</v>
      </c>
      <c r="BJ61" s="446"/>
      <c r="BK61" s="335">
        <f>0.05/6.29</f>
        <v>7.9491255961844209E-3</v>
      </c>
      <c r="BM61"/>
    </row>
    <row r="62" spans="1:65">
      <c r="A62" s="1" t="s">
        <v>4</v>
      </c>
      <c r="B62" s="34"/>
      <c r="C62" s="35"/>
      <c r="D62" s="49"/>
      <c r="E62" s="35"/>
      <c r="F62" s="36"/>
      <c r="G62" s="34"/>
      <c r="H62" s="35"/>
      <c r="I62" s="35"/>
      <c r="J62" s="35"/>
      <c r="K62" s="36"/>
      <c r="L62" s="34"/>
      <c r="M62" s="35"/>
      <c r="N62" s="35"/>
      <c r="O62" s="35"/>
      <c r="P62" s="36"/>
      <c r="Q62" s="34"/>
      <c r="R62" s="35"/>
      <c r="S62" s="35"/>
      <c r="T62" s="35"/>
      <c r="U62" s="102"/>
      <c r="V62" s="34" t="str">
        <f>IFERROR(V61/Q61-1,"NM")</f>
        <v>NM</v>
      </c>
      <c r="W62" s="35" t="str">
        <f>IFERROR(W61/R61-1,"NM")</f>
        <v>NM</v>
      </c>
      <c r="X62" s="35" t="str">
        <f>IFERROR(X61/S61-1,"NM")</f>
        <v>NM</v>
      </c>
      <c r="Y62" s="35" t="str">
        <f>IFERROR(Y61/T61-1,"NM")</f>
        <v>NM</v>
      </c>
      <c r="Z62" s="36">
        <f>IFERROR(Z61/U61-1,"NM")</f>
        <v>0</v>
      </c>
      <c r="AA62" s="232">
        <f t="shared" ref="AA62:AH62" si="236">AA61/V61-1</f>
        <v>0</v>
      </c>
      <c r="AB62" s="33">
        <f t="shared" si="236"/>
        <v>-1.0936161802490352E-2</v>
      </c>
      <c r="AC62" s="33">
        <f t="shared" si="236"/>
        <v>-2.4375782330852136E-3</v>
      </c>
      <c r="AD62" s="33">
        <f t="shared" si="236"/>
        <v>-1.6470123196521413E-3</v>
      </c>
      <c r="AE62" s="137">
        <f t="shared" si="236"/>
        <v>-3.7551880888070377E-3</v>
      </c>
      <c r="AF62" s="232">
        <f t="shared" si="236"/>
        <v>-2.5034587258714325E-3</v>
      </c>
      <c r="AG62" s="33">
        <f t="shared" si="236"/>
        <v>8.1262905481915837E-3</v>
      </c>
      <c r="AH62" s="33">
        <f t="shared" si="236"/>
        <v>-5.4814423457931749E-3</v>
      </c>
      <c r="AI62" s="33">
        <f t="shared" ref="AI62" si="237">AI61/AD61-1</f>
        <v>-1.0030355021776405E-2</v>
      </c>
      <c r="AJ62" s="137">
        <f t="shared" ref="AJ62:AM62" si="238">AJ61/AE61-1</f>
        <v>-2.49636291495825E-3</v>
      </c>
      <c r="AK62" s="232">
        <f t="shared" si="238"/>
        <v>-1.0699425401228368E-2</v>
      </c>
      <c r="AL62" s="33">
        <f t="shared" si="238"/>
        <v>-1.579121242153958E-2</v>
      </c>
      <c r="AM62" s="33">
        <f t="shared" si="238"/>
        <v>-1.7663855501693471E-2</v>
      </c>
      <c r="AN62" s="33">
        <f t="shared" ref="AN62" si="239">AN61/AI61-1</f>
        <v>-1.5931209172110439E-2</v>
      </c>
      <c r="AO62" s="137">
        <f t="shared" ref="AO62:AR62" si="240">AO61/AJ61-1</f>
        <v>-1.5015662031589105E-2</v>
      </c>
      <c r="AP62" s="232">
        <f t="shared" si="240"/>
        <v>-1.5822151011416041E-2</v>
      </c>
      <c r="AQ62" s="33">
        <f t="shared" si="240"/>
        <v>-1.4030612244897878E-2</v>
      </c>
      <c r="AR62" s="33">
        <f t="shared" si="240"/>
        <v>-1.5953491516257579E-2</v>
      </c>
      <c r="AS62" s="33">
        <f t="shared" ref="AS62" si="241">AS61/AN61-1</f>
        <v>-7.7626498679130185E-2</v>
      </c>
      <c r="AT62" s="137">
        <f t="shared" ref="AT62:AW62" si="242">AT61/AO61-1</f>
        <v>-3.3904864464673334E-2</v>
      </c>
      <c r="AU62" s="232">
        <f t="shared" si="242"/>
        <v>-9.2863926197259583E-2</v>
      </c>
      <c r="AV62" s="33">
        <f t="shared" si="242"/>
        <v>-8.6198679103969611E-2</v>
      </c>
      <c r="AW62" s="33">
        <f t="shared" si="242"/>
        <v>-7.5221542900322902E-2</v>
      </c>
      <c r="AX62" s="33">
        <f t="shared" ref="AX62" si="243">AX61/AS61-1</f>
        <v>-9.4000146875229396E-3</v>
      </c>
      <c r="AY62" s="137">
        <f t="shared" ref="AY62:BB62" si="244">AY61/AT61-1</f>
        <v>-6.3954298453392955E-2</v>
      </c>
      <c r="AZ62" s="232">
        <f t="shared" si="244"/>
        <v>1.0842742840050823E-2</v>
      </c>
      <c r="BA62" s="33">
        <f t="shared" si="244"/>
        <v>8.8667014380450215E-3</v>
      </c>
      <c r="BB62" s="33">
        <f t="shared" si="244"/>
        <v>9.0625464269797895E-3</v>
      </c>
      <c r="BC62" s="33">
        <f t="shared" ref="BC62" si="245">BC61/AX61-1</f>
        <v>9.4892134331676647E-3</v>
      </c>
      <c r="BD62" s="137">
        <f t="shared" ref="BD62:BE62" si="246">BD61/AY61-1</f>
        <v>9.5266448347723909E-3</v>
      </c>
      <c r="BE62" s="232">
        <f t="shared" si="246"/>
        <v>9.4688563396951864E-3</v>
      </c>
      <c r="BF62" s="33">
        <f t="shared" ref="BF62:BG62" si="247">BF61/BA61-1</f>
        <v>8.1240768094534843E-3</v>
      </c>
      <c r="BG62" s="33">
        <f t="shared" si="247"/>
        <v>3.9848971671365696E-3</v>
      </c>
      <c r="BH62" s="35">
        <f t="shared" ref="BH62" si="248">BH61/BC61-1</f>
        <v>5.0879748697754135E-3</v>
      </c>
      <c r="BI62" s="36">
        <f t="shared" ref="BI62" si="249">BI61/BD61-1</f>
        <v>6.7165621667668596E-3</v>
      </c>
      <c r="BK62" s="112"/>
      <c r="BM62"/>
    </row>
    <row r="63" spans="1:65">
      <c r="A63" s="2"/>
      <c r="B63" s="48"/>
      <c r="C63" s="49"/>
      <c r="D63" s="49"/>
      <c r="E63" s="49"/>
      <c r="F63" s="47"/>
      <c r="G63" s="48"/>
      <c r="H63" s="49"/>
      <c r="I63" s="49"/>
      <c r="J63" s="49"/>
      <c r="K63" s="47"/>
      <c r="L63" s="48"/>
      <c r="M63" s="49"/>
      <c r="N63" s="49"/>
      <c r="O63" s="49"/>
      <c r="P63" s="47"/>
      <c r="Q63" s="48"/>
      <c r="R63" s="49"/>
      <c r="S63" s="49"/>
      <c r="T63" s="49"/>
      <c r="U63" s="312"/>
      <c r="V63" s="48"/>
      <c r="W63" s="49"/>
      <c r="X63" s="49"/>
      <c r="Y63" s="49"/>
      <c r="Z63" s="47"/>
      <c r="AA63" s="402"/>
      <c r="AB63" s="403"/>
      <c r="AC63" s="403"/>
      <c r="AD63" s="403"/>
      <c r="AE63" s="47"/>
      <c r="AF63" s="402"/>
      <c r="AG63" s="403"/>
      <c r="AH63" s="403"/>
      <c r="AI63" s="403"/>
      <c r="AJ63" s="47"/>
      <c r="AK63" s="402"/>
      <c r="AL63" s="403"/>
      <c r="AM63" s="403"/>
      <c r="AN63" s="403"/>
      <c r="AO63" s="47"/>
      <c r="AP63" s="402"/>
      <c r="AQ63" s="403"/>
      <c r="AR63" s="403"/>
      <c r="AS63" s="403"/>
      <c r="AT63" s="47"/>
      <c r="AU63" s="402"/>
      <c r="AV63" s="403"/>
      <c r="AW63" s="403"/>
      <c r="AX63" s="403"/>
      <c r="AY63" s="47"/>
      <c r="AZ63" s="402"/>
      <c r="BA63" s="403"/>
      <c r="BB63" s="403"/>
      <c r="BC63" s="403"/>
      <c r="BD63" s="47"/>
      <c r="BE63" s="402"/>
      <c r="BF63" s="403"/>
      <c r="BG63" s="403"/>
      <c r="BH63" s="49"/>
      <c r="BI63" s="47"/>
      <c r="BK63" s="112"/>
      <c r="BM63"/>
    </row>
    <row r="64" spans="1:65">
      <c r="A64" s="4" t="s">
        <v>313</v>
      </c>
      <c r="B64" s="56"/>
      <c r="C64" s="56"/>
      <c r="D64" s="56"/>
      <c r="E64" s="56"/>
      <c r="F64" s="191"/>
      <c r="G64" s="56"/>
      <c r="H64" s="56"/>
      <c r="I64" s="56"/>
      <c r="J64" s="56"/>
      <c r="K64" s="191"/>
      <c r="L64" s="56"/>
      <c r="M64" s="56"/>
      <c r="N64" s="56"/>
      <c r="O64" s="56"/>
      <c r="P64" s="191"/>
      <c r="Q64" s="56"/>
      <c r="R64" s="56"/>
      <c r="S64" s="56"/>
      <c r="T64" s="56"/>
      <c r="U64" s="57">
        <f t="shared" ref="U64:Z64" si="250">V64</f>
        <v>1517.9</v>
      </c>
      <c r="V64" s="228">
        <f t="shared" si="250"/>
        <v>1517.9</v>
      </c>
      <c r="W64" s="228">
        <f t="shared" si="250"/>
        <v>1517.9</v>
      </c>
      <c r="X64" s="228">
        <f t="shared" si="250"/>
        <v>1517.9</v>
      </c>
      <c r="Y64" s="228">
        <f t="shared" si="250"/>
        <v>1517.9</v>
      </c>
      <c r="Z64" s="61">
        <f t="shared" si="250"/>
        <v>1517.9</v>
      </c>
      <c r="AA64" s="56">
        <v>1517.9</v>
      </c>
      <c r="AB64" s="56">
        <v>1503.7</v>
      </c>
      <c r="AC64" s="56">
        <v>1514.2</v>
      </c>
      <c r="AD64" s="56">
        <v>1515.4</v>
      </c>
      <c r="AE64" s="61">
        <f>AVERAGE(AA64:AD64)</f>
        <v>1512.8000000000002</v>
      </c>
      <c r="AF64" s="56">
        <v>1514.1</v>
      </c>
      <c r="AG64" s="56">
        <v>1513.7</v>
      </c>
      <c r="AH64" s="56">
        <v>1505.9</v>
      </c>
      <c r="AI64" s="56">
        <v>1500.2</v>
      </c>
      <c r="AJ64" s="61">
        <f>AVERAGE(AF64:AI64)</f>
        <v>1508.4750000000001</v>
      </c>
      <c r="AK64" s="56">
        <v>1497.9</v>
      </c>
      <c r="AL64" s="56">
        <v>1489.6</v>
      </c>
      <c r="AM64" s="56">
        <v>1479.3</v>
      </c>
      <c r="AN64" s="56">
        <v>1476.3</v>
      </c>
      <c r="AO64" s="61">
        <f>AVERAGE(AK64:AN64)</f>
        <v>1485.7750000000001</v>
      </c>
      <c r="AP64" s="56">
        <v>1474.2</v>
      </c>
      <c r="AQ64" s="56">
        <v>1468.7</v>
      </c>
      <c r="AR64" s="56">
        <v>1455.7</v>
      </c>
      <c r="AS64" s="56">
        <v>1361.7</v>
      </c>
      <c r="AT64" s="191">
        <v>1435.4</v>
      </c>
      <c r="AU64" s="56">
        <v>1337.3</v>
      </c>
      <c r="AV64" s="56">
        <v>1342.1</v>
      </c>
      <c r="AW64" s="56">
        <v>1346.2</v>
      </c>
      <c r="AX64" s="56">
        <v>1348.9</v>
      </c>
      <c r="AY64" s="191">
        <v>1343.6</v>
      </c>
      <c r="AZ64" s="56">
        <v>1351.8</v>
      </c>
      <c r="BA64" s="56">
        <v>1354</v>
      </c>
      <c r="BB64" s="56">
        <v>1358.4</v>
      </c>
      <c r="BC64" s="56">
        <v>1361.7</v>
      </c>
      <c r="BD64" s="191">
        <v>1356.4</v>
      </c>
      <c r="BE64" s="56">
        <f>BE61</f>
        <v>1364.6</v>
      </c>
      <c r="BF64" s="56">
        <v>1365</v>
      </c>
      <c r="BG64" s="365">
        <f t="shared" ref="BG64" si="251">BF64/BF61*BG61</f>
        <v>1363.8130843118383</v>
      </c>
      <c r="BH64" s="365">
        <f t="shared" ref="BH64" si="252">BG64/BG61*BH61</f>
        <v>1368.6282953801733</v>
      </c>
      <c r="BI64" s="61">
        <f>AVERAGE(BE64:BH64)</f>
        <v>1365.5103449230028</v>
      </c>
      <c r="BJ64" s="316"/>
      <c r="BK64" s="112"/>
      <c r="BM64"/>
    </row>
    <row r="65" spans="1:65">
      <c r="A65" s="1" t="s">
        <v>4</v>
      </c>
      <c r="B65" s="34"/>
      <c r="C65" s="35"/>
      <c r="D65" s="49"/>
      <c r="E65" s="35"/>
      <c r="F65" s="36"/>
      <c r="G65" s="34"/>
      <c r="H65" s="35"/>
      <c r="I65" s="35"/>
      <c r="J65" s="35"/>
      <c r="K65" s="36"/>
      <c r="L65" s="34"/>
      <c r="M65" s="35"/>
      <c r="N65" s="35"/>
      <c r="O65" s="35"/>
      <c r="P65" s="36"/>
      <c r="Q65" s="34"/>
      <c r="R65" s="35"/>
      <c r="S65" s="35"/>
      <c r="T65" s="35"/>
      <c r="U65" s="102"/>
      <c r="V65" s="34" t="str">
        <f>IFERROR(V64/Q64-1,"NM")</f>
        <v>NM</v>
      </c>
      <c r="W65" s="35" t="str">
        <f>IFERROR(W64/R64-1,"NM")</f>
        <v>NM</v>
      </c>
      <c r="X65" s="35" t="str">
        <f>IFERROR(X64/S64-1,"NM")</f>
        <v>NM</v>
      </c>
      <c r="Y65" s="35" t="str">
        <f>IFERROR(Y64/T64-1,"NM")</f>
        <v>NM</v>
      </c>
      <c r="Z65" s="36">
        <f>IFERROR(Z64/U64-1,"NM")</f>
        <v>0</v>
      </c>
      <c r="AA65" s="232">
        <f t="shared" ref="AA65:AH65" si="253">AA64/V64-1</f>
        <v>0</v>
      </c>
      <c r="AB65" s="33">
        <f t="shared" si="253"/>
        <v>-9.3550299756242072E-3</v>
      </c>
      <c r="AC65" s="33">
        <f t="shared" si="253"/>
        <v>-2.4375782330852136E-3</v>
      </c>
      <c r="AD65" s="33">
        <f t="shared" si="253"/>
        <v>-1.6470123196521413E-3</v>
      </c>
      <c r="AE65" s="137">
        <f t="shared" si="253"/>
        <v>-3.3599051320902795E-3</v>
      </c>
      <c r="AF65" s="232">
        <f t="shared" si="253"/>
        <v>-2.5034587258714325E-3</v>
      </c>
      <c r="AG65" s="33">
        <f t="shared" si="253"/>
        <v>6.6502626853761626E-3</v>
      </c>
      <c r="AH65" s="33">
        <f t="shared" si="253"/>
        <v>-5.4814423457931749E-3</v>
      </c>
      <c r="AI65" s="33">
        <f t="shared" ref="AI65" si="254">AI64/AD64-1</f>
        <v>-1.0030355021776405E-2</v>
      </c>
      <c r="AJ65" s="137">
        <f t="shared" ref="AJ65:AM65" si="255">AJ64/AE64-1</f>
        <v>-2.858937070333134E-3</v>
      </c>
      <c r="AK65" s="232">
        <f t="shared" si="255"/>
        <v>-1.0699425401228368E-2</v>
      </c>
      <c r="AL65" s="33">
        <f t="shared" si="255"/>
        <v>-1.592125255995247E-2</v>
      </c>
      <c r="AM65" s="33">
        <f t="shared" si="255"/>
        <v>-1.7663855501693471E-2</v>
      </c>
      <c r="AN65" s="33">
        <f t="shared" ref="AN65" si="256">AN64/AI64-1</f>
        <v>-1.5931209172110439E-2</v>
      </c>
      <c r="AO65" s="137">
        <f t="shared" ref="AO65:AR65" si="257">AO64/AJ64-1</f>
        <v>-1.5048310379688123E-2</v>
      </c>
      <c r="AP65" s="232">
        <f t="shared" si="257"/>
        <v>-1.5822151011416041E-2</v>
      </c>
      <c r="AQ65" s="33">
        <f t="shared" si="257"/>
        <v>-1.4030612244897878E-2</v>
      </c>
      <c r="AR65" s="33">
        <f t="shared" si="257"/>
        <v>-1.5953491516257579E-2</v>
      </c>
      <c r="AS65" s="33">
        <f t="shared" ref="AS65" si="258">AS64/AN64-1</f>
        <v>-7.7626498679130185E-2</v>
      </c>
      <c r="AT65" s="137">
        <f t="shared" ref="AT65:AW65" si="259">AT64/AO64-1</f>
        <v>-3.3904864464673334E-2</v>
      </c>
      <c r="AU65" s="232">
        <f t="shared" si="259"/>
        <v>-9.2863926197259583E-2</v>
      </c>
      <c r="AV65" s="33">
        <f t="shared" si="259"/>
        <v>-8.6198679103969611E-2</v>
      </c>
      <c r="AW65" s="33">
        <f t="shared" si="259"/>
        <v>-7.5221542900322902E-2</v>
      </c>
      <c r="AX65" s="33">
        <f t="shared" ref="AX65" si="260">AX64/AS64-1</f>
        <v>-9.4000146875229396E-3</v>
      </c>
      <c r="AY65" s="137">
        <f t="shared" ref="AY65:BB65" si="261">AY64/AT64-1</f>
        <v>-6.3954298453392955E-2</v>
      </c>
      <c r="AZ65" s="232">
        <f t="shared" si="261"/>
        <v>1.0842742840050823E-2</v>
      </c>
      <c r="BA65" s="33">
        <f t="shared" si="261"/>
        <v>8.8667014380450215E-3</v>
      </c>
      <c r="BB65" s="33">
        <f t="shared" si="261"/>
        <v>9.0625464269797895E-3</v>
      </c>
      <c r="BC65" s="33">
        <f t="shared" ref="BC65" si="262">BC64/AX64-1</f>
        <v>9.4892134331676647E-3</v>
      </c>
      <c r="BD65" s="137">
        <f t="shared" ref="BD65:BE65" si="263">BD64/AY64-1</f>
        <v>9.5266448347723909E-3</v>
      </c>
      <c r="BE65" s="232">
        <f t="shared" si="263"/>
        <v>9.4688563396951864E-3</v>
      </c>
      <c r="BF65" s="33">
        <f t="shared" ref="BF65:BG65" si="264">BF64/BA64-1</f>
        <v>8.1240768094534843E-3</v>
      </c>
      <c r="BG65" s="33">
        <f t="shared" si="264"/>
        <v>3.9848971671365696E-3</v>
      </c>
      <c r="BH65" s="35">
        <f t="shared" ref="BH65" si="265">BH64/BC64-1</f>
        <v>5.0879748697754135E-3</v>
      </c>
      <c r="BI65" s="36">
        <f t="shared" ref="BI65" si="266">BI64/BD64-1</f>
        <v>6.7165621667668596E-3</v>
      </c>
      <c r="BK65" s="112"/>
      <c r="BM65"/>
    </row>
    <row r="66" spans="1:65">
      <c r="A66" s="2"/>
      <c r="B66" s="48"/>
      <c r="C66" s="49"/>
      <c r="D66" s="49"/>
      <c r="E66" s="49"/>
      <c r="F66" s="47"/>
      <c r="G66" s="48"/>
      <c r="H66" s="49"/>
      <c r="I66" s="49"/>
      <c r="J66" s="49"/>
      <c r="K66" s="47"/>
      <c r="L66" s="48"/>
      <c r="M66" s="49"/>
      <c r="N66" s="49"/>
      <c r="O66" s="49"/>
      <c r="P66" s="47"/>
      <c r="Q66" s="48"/>
      <c r="R66" s="49"/>
      <c r="S66" s="49"/>
      <c r="T66" s="49"/>
      <c r="U66" s="312"/>
      <c r="V66" s="48"/>
      <c r="W66" s="49"/>
      <c r="X66" s="49"/>
      <c r="Y66" s="49"/>
      <c r="Z66" s="47"/>
      <c r="AA66" s="402"/>
      <c r="AB66" s="403"/>
      <c r="AC66" s="403"/>
      <c r="AD66" s="403"/>
      <c r="AE66" s="47"/>
      <c r="AF66" s="402"/>
      <c r="AG66" s="403"/>
      <c r="AH66" s="403"/>
      <c r="AI66" s="403"/>
      <c r="AJ66" s="47"/>
      <c r="AK66" s="402"/>
      <c r="AL66" s="403"/>
      <c r="AM66" s="403"/>
      <c r="AN66" s="403"/>
      <c r="AO66" s="47"/>
      <c r="AP66" s="402"/>
      <c r="AQ66" s="403"/>
      <c r="AR66" s="403"/>
      <c r="AS66" s="403"/>
      <c r="AT66" s="47"/>
      <c r="AU66" s="402"/>
      <c r="AV66" s="403"/>
      <c r="AW66" s="403"/>
      <c r="AX66" s="403"/>
      <c r="AY66" s="47"/>
      <c r="AZ66" s="402"/>
      <c r="BA66" s="403"/>
      <c r="BB66" s="403"/>
      <c r="BC66" s="403"/>
      <c r="BD66" s="47"/>
      <c r="BE66" s="402"/>
      <c r="BF66" s="403"/>
      <c r="BG66" s="403"/>
      <c r="BH66" s="49"/>
      <c r="BI66" s="47"/>
      <c r="BK66" s="112"/>
      <c r="BM66"/>
    </row>
    <row r="67" spans="1:65">
      <c r="A67" s="4" t="s">
        <v>402</v>
      </c>
      <c r="B67" s="56"/>
      <c r="C67" s="56"/>
      <c r="D67" s="56"/>
      <c r="E67" s="56"/>
      <c r="F67" s="191"/>
      <c r="G67" s="56"/>
      <c r="H67" s="56"/>
      <c r="I67" s="56"/>
      <c r="J67" s="56"/>
      <c r="K67" s="191"/>
      <c r="L67" s="56"/>
      <c r="M67" s="56"/>
      <c r="N67" s="56"/>
      <c r="O67" s="56"/>
      <c r="P67" s="191"/>
      <c r="Q67" s="56"/>
      <c r="R67" s="56"/>
      <c r="S67" s="56"/>
      <c r="T67" s="56"/>
      <c r="U67" s="57">
        <f t="shared" ref="U67:Z67" si="267">V67</f>
        <v>866.16062099999999</v>
      </c>
      <c r="V67" s="228">
        <f t="shared" si="267"/>
        <v>866.16062099999999</v>
      </c>
      <c r="W67" s="228">
        <f t="shared" si="267"/>
        <v>866.16062099999999</v>
      </c>
      <c r="X67" s="228">
        <f t="shared" si="267"/>
        <v>866.16062099999999</v>
      </c>
      <c r="Y67" s="228">
        <f t="shared" si="267"/>
        <v>866.16062099999999</v>
      </c>
      <c r="Z67" s="61">
        <f t="shared" si="267"/>
        <v>866.16062099999999</v>
      </c>
      <c r="AA67" s="56">
        <v>866.16062099999999</v>
      </c>
      <c r="AB67" s="56">
        <v>1527.6552380000001</v>
      </c>
      <c r="AC67" s="56">
        <v>1518.716426</v>
      </c>
      <c r="AD67" s="56">
        <v>1519.478134</v>
      </c>
      <c r="AE67" s="61">
        <f>AD67</f>
        <v>1519.478134</v>
      </c>
      <c r="AF67" s="56">
        <v>1515.08987</v>
      </c>
      <c r="AG67" s="56">
        <v>1507.878091</v>
      </c>
      <c r="AH67" s="56">
        <v>1496.777742</v>
      </c>
      <c r="AI67" s="56">
        <v>1492.3309870000001</v>
      </c>
      <c r="AJ67" s="61">
        <f>AI67</f>
        <v>1492.3309870000001</v>
      </c>
      <c r="AK67" s="477">
        <v>1487.2151060000001</v>
      </c>
      <c r="AL67" s="56">
        <v>1476.514146</v>
      </c>
      <c r="AM67" s="56">
        <v>1470.0607749999999</v>
      </c>
      <c r="AN67" s="56">
        <v>1464.9545840000001</v>
      </c>
      <c r="AO67" s="61">
        <f>AN67</f>
        <v>1464.9545840000001</v>
      </c>
      <c r="AP67" s="477">
        <v>1461.142016</v>
      </c>
      <c r="AQ67" s="56">
        <v>1455.514944</v>
      </c>
      <c r="AR67" s="56">
        <v>1437.901284</v>
      </c>
      <c r="AS67" s="56">
        <v>1326.826896</v>
      </c>
      <c r="AT67" s="61">
        <f>AS67</f>
        <v>1326.826896</v>
      </c>
      <c r="AU67" s="477">
        <v>1329.5060129999999</v>
      </c>
      <c r="AV67" s="56">
        <v>1330.239366</v>
      </c>
      <c r="AW67" s="56">
        <v>1331.0163970000001</v>
      </c>
      <c r="AX67" s="56">
        <v>1332.122758</v>
      </c>
      <c r="AY67" s="61">
        <f>AX67</f>
        <v>1332.122758</v>
      </c>
      <c r="AZ67" s="477">
        <v>1335.9537700000001</v>
      </c>
      <c r="BA67" s="56">
        <v>1338.5418199999999</v>
      </c>
      <c r="BB67" s="56">
        <v>1340.7719420000001</v>
      </c>
      <c r="BC67" s="56">
        <v>1342.2876759999999</v>
      </c>
      <c r="BD67" s="61">
        <f>BC67</f>
        <v>1342.2876759999999</v>
      </c>
      <c r="BE67" s="477">
        <v>1346.683428</v>
      </c>
      <c r="BF67" s="56">
        <v>1347.7581439999999</v>
      </c>
      <c r="BG67" s="365">
        <f t="shared" ref="BG67" si="268">BF67-BG73+BG70</f>
        <v>1351.2928933333333</v>
      </c>
      <c r="BH67" s="365">
        <f t="shared" ref="BH67" si="269">BG67-BH73+BH70</f>
        <v>1357.2876759999999</v>
      </c>
      <c r="BI67" s="61">
        <f>BH67</f>
        <v>1357.2876759999999</v>
      </c>
      <c r="BJ67" s="446"/>
      <c r="BK67" s="112"/>
      <c r="BM67"/>
    </row>
    <row r="68" spans="1:65">
      <c r="A68" s="1" t="s">
        <v>4</v>
      </c>
      <c r="B68" s="34"/>
      <c r="C68" s="35"/>
      <c r="D68" s="35"/>
      <c r="E68" s="35"/>
      <c r="F68" s="36"/>
      <c r="G68" s="34"/>
      <c r="H68" s="35"/>
      <c r="I68" s="35"/>
      <c r="J68" s="35"/>
      <c r="K68" s="36"/>
      <c r="L68" s="34"/>
      <c r="M68" s="35"/>
      <c r="N68" s="35"/>
      <c r="O68" s="35"/>
      <c r="P68" s="36"/>
      <c r="Q68" s="34"/>
      <c r="R68" s="35"/>
      <c r="S68" s="35"/>
      <c r="T68" s="35"/>
      <c r="U68" s="102"/>
      <c r="V68" s="113" t="str">
        <f t="shared" ref="V68:AH68" si="270">IFERROR(V67/Q67-1,"NM")</f>
        <v>NM</v>
      </c>
      <c r="W68" s="35" t="str">
        <f t="shared" si="270"/>
        <v>NM</v>
      </c>
      <c r="X68" s="35" t="str">
        <f t="shared" si="270"/>
        <v>NM</v>
      </c>
      <c r="Y68" s="35" t="str">
        <f t="shared" si="270"/>
        <v>NM</v>
      </c>
      <c r="Z68" s="36">
        <f t="shared" si="270"/>
        <v>0</v>
      </c>
      <c r="AA68" s="232">
        <f t="shared" si="270"/>
        <v>0</v>
      </c>
      <c r="AB68" s="33">
        <f t="shared" si="270"/>
        <v>0.76370894838914638</v>
      </c>
      <c r="AC68" s="33">
        <f t="shared" si="270"/>
        <v>0.75338890868371622</v>
      </c>
      <c r="AD68" s="33">
        <f t="shared" si="270"/>
        <v>0.75426831601479605</v>
      </c>
      <c r="AE68" s="137">
        <f t="shared" si="270"/>
        <v>0.75426831601479605</v>
      </c>
      <c r="AF68" s="232">
        <f t="shared" si="270"/>
        <v>0.74920197624638951</v>
      </c>
      <c r="AG68" s="33">
        <f t="shared" si="270"/>
        <v>-1.2946080050032838E-2</v>
      </c>
      <c r="AH68" s="33">
        <f t="shared" si="270"/>
        <v>-1.4445543370978142E-2</v>
      </c>
      <c r="AI68" s="33">
        <f t="shared" ref="AI68" si="271">IFERROR(AI67/AD67-1,"NM")</f>
        <v>-1.7866099151118142E-2</v>
      </c>
      <c r="AJ68" s="137">
        <f t="shared" ref="AJ68:AM68" si="272">IFERROR(AJ67/AE67-1,"NM")</f>
        <v>-1.7866099151118142E-2</v>
      </c>
      <c r="AK68" s="232">
        <f t="shared" si="272"/>
        <v>-1.8398092781123254E-2</v>
      </c>
      <c r="AL68" s="33">
        <f t="shared" si="272"/>
        <v>-2.0800053523690409E-2</v>
      </c>
      <c r="AM68" s="33">
        <f t="shared" si="272"/>
        <v>-1.7849655463409553E-2</v>
      </c>
      <c r="AN68" s="33">
        <f t="shared" ref="AN68" si="273">IFERROR(AN67/AI67-1,"NM")</f>
        <v>-1.834472596125214E-2</v>
      </c>
      <c r="AO68" s="137">
        <f t="shared" ref="AO68:AR68" si="274">IFERROR(AO67/AJ67-1,"NM")</f>
        <v>-1.834472596125214E-2</v>
      </c>
      <c r="AP68" s="232">
        <f t="shared" si="274"/>
        <v>-1.7531485455473894E-2</v>
      </c>
      <c r="AQ68" s="33">
        <f t="shared" si="274"/>
        <v>-1.422214752014983E-2</v>
      </c>
      <c r="AR68" s="33">
        <f t="shared" si="274"/>
        <v>-2.187630031826393E-2</v>
      </c>
      <c r="AS68" s="33">
        <f t="shared" ref="AS68" si="275">IFERROR(AS67/AN67-1,"NM")</f>
        <v>-9.4288034256221009E-2</v>
      </c>
      <c r="AT68" s="137">
        <f t="shared" ref="AT68:AW68" si="276">IFERROR(AT67/AO67-1,"NM")</f>
        <v>-9.4288034256221009E-2</v>
      </c>
      <c r="AU68" s="232">
        <f t="shared" si="276"/>
        <v>-9.009117632546404E-2</v>
      </c>
      <c r="AV68" s="33">
        <f t="shared" si="276"/>
        <v>-8.6069592425977892E-2</v>
      </c>
      <c r="AW68" s="33">
        <f t="shared" si="276"/>
        <v>-7.4333953373116213E-2</v>
      </c>
      <c r="AX68" s="33">
        <f t="shared" ref="AX68" si="277">IFERROR(AX67/AS67-1,"NM")</f>
        <v>3.9913737172236896E-3</v>
      </c>
      <c r="AY68" s="137">
        <f t="shared" ref="AY68:BB68" si="278">IFERROR(AY67/AT67-1,"NM")</f>
        <v>3.9913737172236896E-3</v>
      </c>
      <c r="AZ68" s="232">
        <f t="shared" si="278"/>
        <v>4.8497388781649775E-3</v>
      </c>
      <c r="BA68" s="33">
        <f t="shared" si="278"/>
        <v>6.2413233378930677E-3</v>
      </c>
      <c r="BB68" s="33">
        <f t="shared" si="278"/>
        <v>7.3293950562804966E-3</v>
      </c>
      <c r="BC68" s="33">
        <f t="shared" ref="BC68" si="279">IFERROR(BC67/AX67-1,"NM")</f>
        <v>7.6306165771546919E-3</v>
      </c>
      <c r="BD68" s="137">
        <f t="shared" ref="BD68:BE68" si="280">IFERROR(BD67/AY67-1,"NM")</f>
        <v>7.6306165771546919E-3</v>
      </c>
      <c r="BE68" s="232">
        <f t="shared" si="280"/>
        <v>8.0314590526586738E-3</v>
      </c>
      <c r="BF68" s="33">
        <f t="shared" ref="BF68:BG68" si="281">BF67/BA67-1</f>
        <v>6.8853463241065338E-3</v>
      </c>
      <c r="BG68" s="33">
        <f t="shared" si="281"/>
        <v>7.8469357865882383E-3</v>
      </c>
      <c r="BH68" s="35">
        <f t="shared" ref="BH68" si="282">BH67/BC67-1</f>
        <v>1.1174951739630012E-2</v>
      </c>
      <c r="BI68" s="36">
        <f>BI67/BD67-1</f>
        <v>1.1174951739630012E-2</v>
      </c>
      <c r="BK68" s="112"/>
      <c r="BM68"/>
    </row>
    <row r="69" spans="1:65">
      <c r="A69" s="1"/>
      <c r="B69" s="34"/>
      <c r="C69" s="35"/>
      <c r="D69" s="35"/>
      <c r="E69" s="35"/>
      <c r="F69" s="36"/>
      <c r="G69" s="34"/>
      <c r="H69" s="35"/>
      <c r="I69" s="35"/>
      <c r="J69" s="35"/>
      <c r="K69" s="36"/>
      <c r="L69" s="34"/>
      <c r="M69" s="35"/>
      <c r="N69" s="35"/>
      <c r="O69" s="35"/>
      <c r="P69" s="36"/>
      <c r="Q69" s="34"/>
      <c r="R69" s="35"/>
      <c r="S69" s="35"/>
      <c r="T69" s="35"/>
      <c r="U69" s="102"/>
      <c r="V69" s="113"/>
      <c r="W69" s="35"/>
      <c r="X69" s="35"/>
      <c r="Y69" s="35"/>
      <c r="Z69" s="36"/>
      <c r="AA69" s="232"/>
      <c r="AB69" s="33"/>
      <c r="AC69" s="33"/>
      <c r="AD69" s="33"/>
      <c r="AE69" s="137"/>
      <c r="AF69" s="232"/>
      <c r="AG69" s="33"/>
      <c r="AH69" s="33"/>
      <c r="AI69" s="33"/>
      <c r="AJ69" s="137"/>
      <c r="AK69" s="232"/>
      <c r="AL69" s="33"/>
      <c r="AM69" s="33"/>
      <c r="AN69" s="33"/>
      <c r="AO69" s="137"/>
      <c r="AP69" s="232"/>
      <c r="AQ69" s="33"/>
      <c r="AR69" s="33"/>
      <c r="AS69" s="33"/>
      <c r="AT69" s="137"/>
      <c r="AU69" s="232"/>
      <c r="AV69" s="33"/>
      <c r="AW69" s="33"/>
      <c r="AX69" s="33"/>
      <c r="AY69" s="137"/>
      <c r="AZ69" s="232"/>
      <c r="BA69" s="33"/>
      <c r="BB69" s="33"/>
      <c r="BC69" s="33"/>
      <c r="BD69" s="137"/>
      <c r="BE69" s="232"/>
      <c r="BF69" s="33"/>
      <c r="BG69" s="33"/>
      <c r="BH69" s="35"/>
      <c r="BI69" s="36"/>
      <c r="BK69" s="112"/>
      <c r="BM69"/>
    </row>
    <row r="70" spans="1:65">
      <c r="A70" s="4" t="s">
        <v>396</v>
      </c>
      <c r="B70" s="34"/>
      <c r="C70" s="35"/>
      <c r="D70" s="35"/>
      <c r="E70" s="35"/>
      <c r="F70" s="36"/>
      <c r="G70" s="34"/>
      <c r="H70" s="35"/>
      <c r="I70" s="35"/>
      <c r="J70" s="35"/>
      <c r="K70" s="36"/>
      <c r="L70" s="34"/>
      <c r="M70" s="35"/>
      <c r="N70" s="35"/>
      <c r="O70" s="35"/>
      <c r="P70" s="36"/>
      <c r="Q70" s="34"/>
      <c r="R70" s="35"/>
      <c r="S70" s="35"/>
      <c r="T70" s="35"/>
      <c r="U70" s="102"/>
      <c r="V70" s="163">
        <f>(V67+V73-U67)</f>
        <v>0</v>
      </c>
      <c r="W70" s="365">
        <f>(W67+W73-V67)</f>
        <v>0</v>
      </c>
      <c r="X70" s="365">
        <f>(X67+X73-W67)</f>
        <v>0</v>
      </c>
      <c r="Y70" s="366">
        <f>(Y67+Y73-X67)</f>
        <v>0</v>
      </c>
      <c r="Z70" s="57">
        <f>(Z67+Z73-U67)</f>
        <v>0</v>
      </c>
      <c r="AA70" s="163">
        <f>(AA67+AA73-Z67)</f>
        <v>0.33000000000004093</v>
      </c>
      <c r="AB70" s="365">
        <f>(AB67+AB73-AA67)</f>
        <v>661.49461700000006</v>
      </c>
      <c r="AC70" s="365">
        <f>(AC67+AC73-AB67)</f>
        <v>-8.9388120000000981</v>
      </c>
      <c r="AD70" s="365">
        <f>(AD67+AD73-AC67)</f>
        <v>0.76170799999999872</v>
      </c>
      <c r="AE70" s="57">
        <f>(AE67+AE73-Z67)</f>
        <v>653.64751299999989</v>
      </c>
      <c r="AF70" s="163">
        <f>(AF67+AF73-AE67)</f>
        <v>0.80873599999995349</v>
      </c>
      <c r="AG70" s="365">
        <f>(AG67+AG73-AF67)</f>
        <v>0.23322099999995771</v>
      </c>
      <c r="AH70" s="365">
        <f>(AH67+AH73-AG67)</f>
        <v>0.40965099999993981</v>
      </c>
      <c r="AI70" s="365">
        <f>(AI67+AI73-AH67)</f>
        <v>-0.57175499999993917</v>
      </c>
      <c r="AJ70" s="57">
        <f>(AJ67+AJ73-AE67)</f>
        <v>0.87985300000013922</v>
      </c>
      <c r="AK70" s="163">
        <f>(AK67+AK73-AJ67)</f>
        <v>2.7671190000000934</v>
      </c>
      <c r="AL70" s="365">
        <f>(AL67+AL73-AK67)</f>
        <v>0.46303999999986445</v>
      </c>
      <c r="AM70" s="365">
        <f>(AM67+AM73-AL67)</f>
        <v>0.18962899999996807</v>
      </c>
      <c r="AN70" s="365">
        <f>(AN67+AN73-AM67)</f>
        <v>-0.85919099999978243</v>
      </c>
      <c r="AO70" s="57">
        <f>(AO67+AO73-AJ67)</f>
        <v>2.5605969999999161</v>
      </c>
      <c r="AP70" s="163">
        <f>(AP67+AP73-AO67)</f>
        <v>2.105431999999837</v>
      </c>
      <c r="AQ70" s="365">
        <f>(AQ67+AQ73-AP67)</f>
        <v>0.40992800000003626</v>
      </c>
      <c r="AR70" s="365">
        <f>(AR67+AR73-AQ67)</f>
        <v>0.20134000000007291</v>
      </c>
      <c r="AS70" s="365">
        <f>(AS67+AS73-AR67)</f>
        <v>0.86761200000000827</v>
      </c>
      <c r="AT70" s="57">
        <f>(AT67+AT73-AO67)</f>
        <v>3.5843119999999544</v>
      </c>
      <c r="AU70" s="163">
        <f>(AU67+AU73-AT67)</f>
        <v>3.239116999999851</v>
      </c>
      <c r="AV70" s="365">
        <f>(AV67+AV73-AU67)</f>
        <v>1.2193530000001829</v>
      </c>
      <c r="AW70" s="365">
        <f>(AW67+AW73-AV67)</f>
        <v>1.4300310000000991</v>
      </c>
      <c r="AX70" s="365">
        <f>(AX67+AX73-AW67)</f>
        <v>1.5223609999998189</v>
      </c>
      <c r="AY70" s="57">
        <f>(AY67+AY73-AT67)</f>
        <v>7.4108619999999519</v>
      </c>
      <c r="AZ70" s="538">
        <f>(AZ67+AZ73-AY67)</f>
        <v>4.2270120000000588</v>
      </c>
      <c r="BA70" s="365">
        <f>(BA67+BA73-AZ67)</f>
        <v>2.5880499999998392</v>
      </c>
      <c r="BB70" s="365">
        <f>(BB67+BB73-BA67)</f>
        <v>2.2301220000001649</v>
      </c>
      <c r="BC70" s="365">
        <f>(BC67+BC73-BB67)</f>
        <v>1.5157339999998385</v>
      </c>
      <c r="BD70" s="57">
        <f>(BD67+BD73-AY67)</f>
        <v>10.560917999999901</v>
      </c>
      <c r="BE70" s="538">
        <f>(BE67+BE73-BD67)</f>
        <v>4.3957520000001296</v>
      </c>
      <c r="BF70" s="557">
        <f>(BF67+BF73-BE67)</f>
        <v>1.074715999999853</v>
      </c>
      <c r="BG70" s="551">
        <f>(BI70-BE70)/3</f>
        <v>3.53474933333329</v>
      </c>
      <c r="BH70" s="539">
        <f>BI70-SUM(BE70:BG70)</f>
        <v>5.9947826666667279</v>
      </c>
      <c r="BI70" s="540">
        <v>15</v>
      </c>
      <c r="BK70" s="112"/>
      <c r="BM70"/>
    </row>
    <row r="71" spans="1:65">
      <c r="A71" s="1" t="s">
        <v>4</v>
      </c>
      <c r="B71" s="34"/>
      <c r="C71" s="35"/>
      <c r="D71" s="35"/>
      <c r="E71" s="35"/>
      <c r="F71" s="36"/>
      <c r="G71" s="34"/>
      <c r="H71" s="35"/>
      <c r="I71" s="35"/>
      <c r="J71" s="35"/>
      <c r="K71" s="36"/>
      <c r="L71" s="34"/>
      <c r="M71" s="35"/>
      <c r="N71" s="35"/>
      <c r="O71" s="35"/>
      <c r="P71" s="36"/>
      <c r="Q71" s="34"/>
      <c r="R71" s="35"/>
      <c r="S71" s="35"/>
      <c r="T71" s="35"/>
      <c r="U71" s="102"/>
      <c r="V71" s="113"/>
      <c r="W71" s="35"/>
      <c r="X71" s="35"/>
      <c r="Y71" s="35"/>
      <c r="Z71" s="36"/>
      <c r="AA71" s="232" t="str">
        <f t="shared" ref="AA71:AH71" si="283">IFERROR(AA70/V70-1,"nm")</f>
        <v>nm</v>
      </c>
      <c r="AB71" s="232" t="str">
        <f t="shared" si="283"/>
        <v>nm</v>
      </c>
      <c r="AC71" s="232" t="str">
        <f t="shared" si="283"/>
        <v>nm</v>
      </c>
      <c r="AD71" s="33" t="str">
        <f t="shared" si="283"/>
        <v>nm</v>
      </c>
      <c r="AE71" s="137" t="str">
        <f t="shared" si="283"/>
        <v>nm</v>
      </c>
      <c r="AF71" s="232">
        <f t="shared" si="283"/>
        <v>1.4507151515147068</v>
      </c>
      <c r="AG71" s="232">
        <f t="shared" si="283"/>
        <v>-0.9996474332609725</v>
      </c>
      <c r="AH71" s="232">
        <f t="shared" si="283"/>
        <v>-1.0458283494495617</v>
      </c>
      <c r="AI71" s="33">
        <f t="shared" ref="AI71" si="284">IFERROR(AI70/AD70-1,"nm")</f>
        <v>-1.7506222857052047</v>
      </c>
      <c r="AJ71" s="137">
        <f t="shared" ref="AJ71:AM71" si="285">IFERROR(AJ70/AE70-1,"nm")</f>
        <v>-0.99865393353068543</v>
      </c>
      <c r="AK71" s="232">
        <f t="shared" si="285"/>
        <v>2.4215355814508719</v>
      </c>
      <c r="AL71" s="232">
        <f t="shared" si="285"/>
        <v>0.98541297739032241</v>
      </c>
      <c r="AM71" s="232">
        <f t="shared" si="285"/>
        <v>-0.53709621116512363</v>
      </c>
      <c r="AN71" s="33">
        <f t="shared" ref="AN71" si="286">IFERROR(AN70/AI70-1,"nm")</f>
        <v>0.50272581787631743</v>
      </c>
      <c r="AO71" s="137">
        <f t="shared" ref="AO71:AR71" si="287">IFERROR(AO70/AJ70-1,"nm")</f>
        <v>1.9102554631279438</v>
      </c>
      <c r="AP71" s="232">
        <f t="shared" si="287"/>
        <v>-0.23912488042626068</v>
      </c>
      <c r="AQ71" s="232">
        <f t="shared" si="287"/>
        <v>-0.11470283344817667</v>
      </c>
      <c r="AR71" s="232">
        <f t="shared" si="287"/>
        <v>6.1757431617035285E-2</v>
      </c>
      <c r="AS71" s="33">
        <f t="shared" ref="AS71" si="288">IFERROR(AS70/AN70-1,"nm")</f>
        <v>-2.009801080318844</v>
      </c>
      <c r="AT71" s="137">
        <f t="shared" ref="AT71:AW71" si="289">IFERROR(AT70/AO70-1,"nm")</f>
        <v>0.39979543832944886</v>
      </c>
      <c r="AU71" s="232">
        <f t="shared" si="289"/>
        <v>0.53845719073335152</v>
      </c>
      <c r="AV71" s="232">
        <f t="shared" si="289"/>
        <v>1.974554068031642</v>
      </c>
      <c r="AW71" s="232">
        <f t="shared" si="289"/>
        <v>6.1025677957662721</v>
      </c>
      <c r="AX71" s="33">
        <f t="shared" ref="AX71" si="290">IFERROR(AX70/AS70-1,"nm")</f>
        <v>0.7546564593387417</v>
      </c>
      <c r="AY71" s="137">
        <f t="shared" ref="AY71:BB71" si="291">IFERROR(AY70/AT70-1,"nm")</f>
        <v>1.0675828443506163</v>
      </c>
      <c r="AZ71" s="232">
        <f t="shared" si="291"/>
        <v>0.30498898310874645</v>
      </c>
      <c r="BA71" s="232">
        <f t="shared" si="291"/>
        <v>1.122478068286584</v>
      </c>
      <c r="BB71" s="232">
        <f t="shared" si="291"/>
        <v>0.55949206695519904</v>
      </c>
      <c r="BC71" s="33">
        <f t="shared" ref="BC71" si="292">IFERROR(BC70/AX70-1,"nm")</f>
        <v>-4.3531067860915762E-3</v>
      </c>
      <c r="BD71" s="137">
        <f t="shared" ref="BD71:BF71" si="293">IFERROR(BD70/AY70-1,"nm")</f>
        <v>0.42505932508255717</v>
      </c>
      <c r="BE71" s="232">
        <f t="shared" si="293"/>
        <v>3.9919451376071002E-2</v>
      </c>
      <c r="BF71" s="232">
        <f t="shared" si="293"/>
        <v>-0.58473908927574048</v>
      </c>
      <c r="BG71" s="232">
        <f t="shared" ref="BG71" si="294">IFERROR(BG70/BB70-1,"nm")</f>
        <v>0.58500267399408123</v>
      </c>
      <c r="BH71" s="33">
        <f t="shared" ref="BH71" si="295">IFERROR(BH70/BC70-1,"nm")</f>
        <v>2.9550360859275879</v>
      </c>
      <c r="BI71" s="36">
        <f t="shared" ref="BI71" si="296">IFERROR(BI70/BD70-1,"nm")</f>
        <v>0.42033107349191989</v>
      </c>
      <c r="BK71" s="112"/>
      <c r="BM71"/>
    </row>
    <row r="72" spans="1:65">
      <c r="A72" s="2"/>
      <c r="B72" s="198"/>
      <c r="C72" s="197"/>
      <c r="D72" s="197"/>
      <c r="E72" s="197"/>
      <c r="F72" s="246"/>
      <c r="G72" s="198"/>
      <c r="H72" s="197"/>
      <c r="I72" s="197"/>
      <c r="J72" s="197"/>
      <c r="K72" s="246"/>
      <c r="L72" s="198"/>
      <c r="M72" s="197"/>
      <c r="N72" s="197"/>
      <c r="O72" s="197"/>
      <c r="P72" s="246"/>
      <c r="Q72" s="198"/>
      <c r="R72" s="197"/>
      <c r="S72" s="197"/>
      <c r="T72" s="197"/>
      <c r="U72" s="246"/>
      <c r="V72" s="198"/>
      <c r="W72" s="197"/>
      <c r="X72" s="197"/>
      <c r="Y72" s="197"/>
      <c r="Z72" s="246"/>
      <c r="AA72" s="402"/>
      <c r="AB72" s="33"/>
      <c r="AD72" s="33"/>
      <c r="AE72" s="137"/>
      <c r="AF72" s="402"/>
      <c r="AG72" s="35"/>
      <c r="AI72" s="33"/>
      <c r="AJ72" s="137"/>
      <c r="AK72" s="402"/>
      <c r="AL72" s="35"/>
      <c r="AN72" s="33"/>
      <c r="AO72" s="137"/>
      <c r="AP72" s="402"/>
      <c r="AQ72" s="35"/>
      <c r="AS72" s="33"/>
      <c r="AT72" s="137"/>
      <c r="AU72" s="402"/>
      <c r="AV72" s="35"/>
      <c r="AX72" s="33"/>
      <c r="AY72" s="137"/>
      <c r="AZ72" s="402"/>
      <c r="BA72" s="35"/>
      <c r="BC72" s="33"/>
      <c r="BD72" s="137"/>
      <c r="BE72" s="402"/>
      <c r="BF72" s="35"/>
      <c r="BH72" s="35"/>
      <c r="BI72" s="36"/>
      <c r="BK72" s="112"/>
      <c r="BM72"/>
    </row>
    <row r="73" spans="1:65">
      <c r="A73" s="13" t="s">
        <v>43</v>
      </c>
      <c r="B73" s="247"/>
      <c r="C73" s="247"/>
      <c r="D73" s="247"/>
      <c r="E73" s="247"/>
      <c r="F73" s="61"/>
      <c r="G73" s="247"/>
      <c r="H73" s="247"/>
      <c r="I73" s="247"/>
      <c r="J73" s="247"/>
      <c r="K73" s="61"/>
      <c r="L73" s="247"/>
      <c r="M73" s="247"/>
      <c r="N73" s="247"/>
      <c r="O73" s="247"/>
      <c r="P73" s="61"/>
      <c r="Q73" s="247"/>
      <c r="R73" s="247"/>
      <c r="S73" s="247"/>
      <c r="T73" s="247"/>
      <c r="U73" s="61"/>
      <c r="V73" s="56"/>
      <c r="W73" s="56"/>
      <c r="X73" s="56"/>
      <c r="Y73" s="56"/>
      <c r="Z73" s="191"/>
      <c r="AA73" s="56">
        <v>0.33</v>
      </c>
      <c r="AB73" s="56">
        <v>0</v>
      </c>
      <c r="AC73" s="56">
        <v>0</v>
      </c>
      <c r="AD73" s="415">
        <v>0</v>
      </c>
      <c r="AE73" s="61">
        <f>SUM(AA73:AD73)</f>
        <v>0.33</v>
      </c>
      <c r="AF73" s="56">
        <v>5.1970000000000001</v>
      </c>
      <c r="AG73" s="56">
        <v>7.4450000000000003</v>
      </c>
      <c r="AH73" s="56">
        <f>24.152-AG73-AF73</f>
        <v>11.510000000000002</v>
      </c>
      <c r="AI73" s="415">
        <v>3.875</v>
      </c>
      <c r="AJ73" s="61">
        <f>SUM(AF73:AI73)</f>
        <v>28.027000000000001</v>
      </c>
      <c r="AK73" s="477">
        <v>7.883</v>
      </c>
      <c r="AL73" s="56">
        <v>11.164</v>
      </c>
      <c r="AM73" s="56">
        <v>6.6429999999999998</v>
      </c>
      <c r="AN73" s="415">
        <v>4.2469999999999999</v>
      </c>
      <c r="AO73" s="61">
        <f>SUM(AK73:AN73)</f>
        <v>29.937000000000001</v>
      </c>
      <c r="AP73" s="477">
        <v>5.9180000000000001</v>
      </c>
      <c r="AQ73" s="56">
        <v>6.0369999999999999</v>
      </c>
      <c r="AR73" s="56">
        <v>17.815000000000001</v>
      </c>
      <c r="AS73" s="415">
        <v>111.94199999999999</v>
      </c>
      <c r="AT73" s="61">
        <f>SUM(AP73:AS73)</f>
        <v>141.71199999999999</v>
      </c>
      <c r="AU73" s="477">
        <v>0.56000000000000005</v>
      </c>
      <c r="AV73" s="56">
        <v>0.48599999999999999</v>
      </c>
      <c r="AW73" s="56">
        <v>0.65300000000000002</v>
      </c>
      <c r="AX73" s="415">
        <v>0.41599999999999998</v>
      </c>
      <c r="AY73" s="61">
        <f>SUM(AU73:AX73)</f>
        <v>2.1150000000000002</v>
      </c>
      <c r="AZ73" s="477">
        <v>0.39600000000000002</v>
      </c>
      <c r="BA73" s="56">
        <v>0</v>
      </c>
      <c r="BB73" s="56">
        <v>0</v>
      </c>
      <c r="BC73" s="415">
        <v>0</v>
      </c>
      <c r="BD73" s="61">
        <f>SUM(AZ73:BC73)</f>
        <v>0.39600000000000002</v>
      </c>
      <c r="BE73" s="477">
        <v>0</v>
      </c>
      <c r="BF73" s="56">
        <v>0</v>
      </c>
      <c r="BG73" s="365">
        <f>-Cash_Flow_Qtr!BG41/BG74</f>
        <v>0</v>
      </c>
      <c r="BH73" s="364">
        <f>-Cash_Flow_Qtr!BH41/BH74</f>
        <v>0</v>
      </c>
      <c r="BI73" s="61">
        <f>SUM(BE73:BH73)</f>
        <v>0</v>
      </c>
      <c r="BJ73" s="319"/>
      <c r="BK73" s="112"/>
      <c r="BM73"/>
    </row>
    <row r="74" spans="1:65">
      <c r="A74" s="4" t="s">
        <v>42</v>
      </c>
      <c r="B74" s="268"/>
      <c r="C74" s="268"/>
      <c r="D74" s="268"/>
      <c r="E74" s="268"/>
      <c r="F74" s="55"/>
      <c r="G74" s="268"/>
      <c r="H74" s="268"/>
      <c r="I74" s="268"/>
      <c r="J74" s="268"/>
      <c r="K74" s="55"/>
      <c r="L74" s="268"/>
      <c r="M74" s="268"/>
      <c r="N74" s="268"/>
      <c r="O74" s="268"/>
      <c r="P74" s="55"/>
      <c r="Q74" s="268"/>
      <c r="R74" s="268"/>
      <c r="S74" s="268"/>
      <c r="T74" s="268"/>
      <c r="U74" s="55"/>
      <c r="V74" s="56"/>
      <c r="W74" s="56"/>
      <c r="X74" s="56"/>
      <c r="Y74" s="56"/>
      <c r="Z74" s="191"/>
      <c r="AA74" s="416" t="s">
        <v>371</v>
      </c>
      <c r="AB74" s="416">
        <v>60</v>
      </c>
      <c r="AC74" s="416">
        <v>60</v>
      </c>
      <c r="AD74" s="416">
        <v>65</v>
      </c>
      <c r="AE74" s="55">
        <f>AVERAGE(AA74:AD74)</f>
        <v>61.666666666666664</v>
      </c>
      <c r="AF74" s="416">
        <v>72.16</v>
      </c>
      <c r="AG74" s="416">
        <v>86.61</v>
      </c>
      <c r="AH74" s="416">
        <v>86.272806255430055</v>
      </c>
      <c r="AI74" s="416">
        <v>84.83</v>
      </c>
      <c r="AJ74" s="55">
        <f>AVERAGE(AF74:AI74)</f>
        <v>82.468201563857505</v>
      </c>
      <c r="AK74" s="478">
        <v>95.91</v>
      </c>
      <c r="AL74" s="416">
        <v>94.64</v>
      </c>
      <c r="AM74" s="416">
        <v>90.64</v>
      </c>
      <c r="AN74" s="416">
        <v>91.58</v>
      </c>
      <c r="AO74" s="55">
        <f>AVERAGE(AK74:AN74)</f>
        <v>93.192499999999995</v>
      </c>
      <c r="AP74" s="478">
        <v>98.33</v>
      </c>
      <c r="AQ74" s="416">
        <v>97.6</v>
      </c>
      <c r="AR74" s="416">
        <v>80.94</v>
      </c>
      <c r="AS74" s="416">
        <v>78.23</v>
      </c>
      <c r="AT74" s="55">
        <f>AVERAGE(AP74:AS74)</f>
        <v>88.775000000000006</v>
      </c>
      <c r="AU74" s="478">
        <v>90.7</v>
      </c>
      <c r="AV74" s="416">
        <v>102.81</v>
      </c>
      <c r="AW74" s="416">
        <v>112.63</v>
      </c>
      <c r="AX74" s="416">
        <v>120.05</v>
      </c>
      <c r="AY74" s="55">
        <f>AVERAGE(AU74:AX74)</f>
        <v>106.5475</v>
      </c>
      <c r="AZ74" s="478">
        <v>126.41</v>
      </c>
      <c r="BA74" s="416">
        <v>130</v>
      </c>
      <c r="BB74" s="416">
        <v>150</v>
      </c>
      <c r="BC74" s="416">
        <v>190</v>
      </c>
      <c r="BD74" s="55">
        <f>AVERAGE(AZ74:BC74)</f>
        <v>149.10249999999999</v>
      </c>
      <c r="BE74" s="478">
        <v>205</v>
      </c>
      <c r="BF74" s="416" cm="1">
        <f t="array" ref="BF74">_xll.FDS("RTX-US","P_PRICE_AVG(3/31/2026,6/30/2026)")</f>
        <v>183.54635999999999</v>
      </c>
      <c r="BG74" s="360">
        <f t="shared" ref="BG74" si="297">BF74*(1+BG75)</f>
        <v>192.72367800000001</v>
      </c>
      <c r="BH74" s="360">
        <f t="shared" ref="BH74" si="298">BG74*(1+BH75)</f>
        <v>202.35986190000003</v>
      </c>
      <c r="BI74" s="55">
        <f>AVERAGE(BE74:BH74)</f>
        <v>195.90747497500001</v>
      </c>
      <c r="BK74" s="112"/>
      <c r="BM74"/>
    </row>
    <row r="75" spans="1:65">
      <c r="A75" s="1" t="s">
        <v>480</v>
      </c>
      <c r="B75" s="268"/>
      <c r="C75" s="35"/>
      <c r="D75" s="35"/>
      <c r="E75" s="35"/>
      <c r="F75" s="36"/>
      <c r="G75" s="34"/>
      <c r="H75" s="35"/>
      <c r="I75" s="35"/>
      <c r="J75" s="35"/>
      <c r="K75" s="36"/>
      <c r="L75" s="34"/>
      <c r="M75" s="35"/>
      <c r="N75" s="35"/>
      <c r="O75" s="35"/>
      <c r="P75" s="36"/>
      <c r="Q75" s="34"/>
      <c r="R75" s="35"/>
      <c r="S75" s="35"/>
      <c r="T75" s="35"/>
      <c r="U75" s="36"/>
      <c r="V75" s="34"/>
      <c r="W75" s="35"/>
      <c r="X75" s="35"/>
      <c r="Y75" s="35"/>
      <c r="Z75" s="36"/>
      <c r="AA75" s="232" t="str">
        <f t="shared" ref="AA75:AH75" si="299">IFERROR(AA74/V74-1,"nm")</f>
        <v>nm</v>
      </c>
      <c r="AB75" s="232" t="str">
        <f t="shared" si="299"/>
        <v>nm</v>
      </c>
      <c r="AC75" s="232" t="str">
        <f t="shared" si="299"/>
        <v>nm</v>
      </c>
      <c r="AD75" s="32" t="str">
        <f t="shared" si="299"/>
        <v>nm</v>
      </c>
      <c r="AE75" s="137" t="str">
        <f t="shared" si="299"/>
        <v>nm</v>
      </c>
      <c r="AF75" s="232" t="str">
        <f t="shared" si="299"/>
        <v>nm</v>
      </c>
      <c r="AG75" s="232">
        <f t="shared" si="299"/>
        <v>0.44350000000000001</v>
      </c>
      <c r="AH75" s="232">
        <f t="shared" si="299"/>
        <v>0.43788010425716761</v>
      </c>
      <c r="AI75" s="32">
        <f t="shared" ref="AI75" si="300">IFERROR(AI74/AD74-1,"nm")</f>
        <v>0.30507692307692302</v>
      </c>
      <c r="AJ75" s="137">
        <f t="shared" ref="AJ75:AM75" si="301">IFERROR(AJ74/AE74-1,"nm")</f>
        <v>0.33732218752201359</v>
      </c>
      <c r="AK75" s="232">
        <f t="shared" si="301"/>
        <v>0.32912971175166295</v>
      </c>
      <c r="AL75" s="232">
        <f t="shared" si="301"/>
        <v>9.2714467151599145E-2</v>
      </c>
      <c r="AM75" s="232">
        <f t="shared" si="301"/>
        <v>5.0620745216515717E-2</v>
      </c>
      <c r="AN75" s="32">
        <f t="shared" ref="AN75" si="302">IFERROR(AN74/AI74-1,"nm")</f>
        <v>7.9570906518920292E-2</v>
      </c>
      <c r="AO75" s="137">
        <f t="shared" ref="AO75:AR75" si="303">IFERROR(AO74/AJ74-1,"nm")</f>
        <v>0.13004161886370658</v>
      </c>
      <c r="AP75" s="232">
        <f t="shared" si="303"/>
        <v>2.523198832238549E-2</v>
      </c>
      <c r="AQ75" s="232">
        <f t="shared" si="303"/>
        <v>3.1276415891800413E-2</v>
      </c>
      <c r="AR75" s="232">
        <f t="shared" si="303"/>
        <v>-0.10701676963812889</v>
      </c>
      <c r="AS75" s="32">
        <f t="shared" ref="AS75" si="304">IFERROR(AS74/AN74-1,"nm")</f>
        <v>-0.1457741865036033</v>
      </c>
      <c r="AT75" s="137">
        <f t="shared" ref="AT75:AW75" si="305">IFERROR(AT74/AO74-1,"nm")</f>
        <v>-4.7401883198755157E-2</v>
      </c>
      <c r="AU75" s="232">
        <f t="shared" si="305"/>
        <v>-7.7595850706803526E-2</v>
      </c>
      <c r="AV75" s="232">
        <f t="shared" si="305"/>
        <v>5.3381147540983775E-2</v>
      </c>
      <c r="AW75" s="232">
        <f t="shared" si="305"/>
        <v>0.3915245861131702</v>
      </c>
      <c r="AX75" s="32">
        <f t="shared" ref="AX75" si="306">IFERROR(AX74/AS74-1,"nm")</f>
        <v>0.53457752780263323</v>
      </c>
      <c r="AY75" s="137">
        <f t="shared" ref="AY75:BB75" si="307">IFERROR(AY74/AT74-1,"nm")</f>
        <v>0.20019712756969854</v>
      </c>
      <c r="AZ75" s="232">
        <f t="shared" si="307"/>
        <v>0.39371554575523704</v>
      </c>
      <c r="BA75" s="232">
        <f t="shared" si="307"/>
        <v>0.26446843692247834</v>
      </c>
      <c r="BB75" s="232">
        <f t="shared" si="307"/>
        <v>0.33179437094912556</v>
      </c>
      <c r="BC75" s="32">
        <f t="shared" ref="BC75" si="308">IFERROR(BC74/AX74-1,"nm")</f>
        <v>0.58267388588088309</v>
      </c>
      <c r="BD75" s="137">
        <f t="shared" ref="BD75:BF75" si="309">IFERROR(BD74/AY74-1,"nm")</f>
        <v>0.39939932893779773</v>
      </c>
      <c r="BE75" s="232">
        <f t="shared" si="309"/>
        <v>0.62170714342219768</v>
      </c>
      <c r="BF75" s="232">
        <f t="shared" si="309"/>
        <v>0.41189507692307692</v>
      </c>
      <c r="BG75" s="217">
        <v>0.05</v>
      </c>
      <c r="BH75" s="193">
        <v>0.05</v>
      </c>
      <c r="BI75" s="36">
        <f>IFERROR(BI74/BD74-1,"nm")</f>
        <v>0.31391140306165233</v>
      </c>
      <c r="BK75" s="112"/>
      <c r="BM75"/>
    </row>
    <row r="76" spans="1:65">
      <c r="A76" s="4"/>
      <c r="B76" s="268"/>
      <c r="C76" s="268"/>
      <c r="D76" s="268"/>
      <c r="E76" s="268"/>
      <c r="F76" s="55"/>
      <c r="G76" s="268"/>
      <c r="H76" s="268"/>
      <c r="I76" s="268"/>
      <c r="J76" s="268"/>
      <c r="K76" s="55"/>
      <c r="L76" s="268"/>
      <c r="M76" s="268"/>
      <c r="N76" s="268"/>
      <c r="O76" s="268"/>
      <c r="P76" s="55"/>
      <c r="Q76" s="268"/>
      <c r="R76" s="268"/>
      <c r="S76" s="268"/>
      <c r="T76" s="268"/>
      <c r="U76" s="55"/>
      <c r="V76" s="56"/>
      <c r="W76" s="56"/>
      <c r="X76" s="56"/>
      <c r="Y76" s="56"/>
      <c r="Z76" s="191"/>
      <c r="AA76" s="416"/>
      <c r="AB76" s="54"/>
      <c r="AC76" s="54"/>
      <c r="AD76" s="54"/>
      <c r="AE76" s="55"/>
      <c r="AF76" s="416"/>
      <c r="AG76" s="54"/>
      <c r="AH76" s="54"/>
      <c r="AI76" s="54"/>
      <c r="AJ76" s="55"/>
      <c r="AK76" s="416"/>
      <c r="AL76" s="54"/>
      <c r="AM76" s="54"/>
      <c r="AN76" s="54"/>
      <c r="AO76" s="55"/>
      <c r="AP76" s="416"/>
      <c r="AQ76" s="54"/>
      <c r="AR76" s="54"/>
      <c r="AS76" s="54"/>
      <c r="AT76" s="55"/>
      <c r="AU76" s="416"/>
      <c r="AV76" s="54"/>
      <c r="AW76" s="54"/>
      <c r="AX76" s="54"/>
      <c r="AY76" s="55"/>
      <c r="AZ76" s="416"/>
      <c r="BA76" s="54"/>
      <c r="BB76" s="54"/>
      <c r="BC76" s="54"/>
      <c r="BD76" s="55"/>
      <c r="BE76" s="416"/>
      <c r="BF76" s="54"/>
      <c r="BG76" s="54"/>
      <c r="BH76" s="54"/>
      <c r="BI76" s="55"/>
      <c r="BK76" s="112"/>
      <c r="BM76"/>
    </row>
    <row r="77" spans="1:65">
      <c r="A77" s="4" t="s">
        <v>216</v>
      </c>
      <c r="B77" s="268"/>
      <c r="C77" s="268"/>
      <c r="D77" s="268"/>
      <c r="E77" s="268"/>
      <c r="F77" s="55"/>
      <c r="G77" s="268"/>
      <c r="H77" s="268"/>
      <c r="I77" s="268"/>
      <c r="J77" s="268"/>
      <c r="K77" s="55"/>
      <c r="L77" s="268"/>
      <c r="M77" s="268"/>
      <c r="N77" s="268"/>
      <c r="O77" s="268"/>
      <c r="P77" s="55"/>
      <c r="Q77" s="268"/>
      <c r="R77" s="268"/>
      <c r="S77" s="268"/>
      <c r="T77" s="268"/>
      <c r="U77" s="55"/>
      <c r="V77" s="268">
        <f>Cash_Flow_Qtr!V79</f>
        <v>0.73499999999999999</v>
      </c>
      <c r="W77" s="268">
        <f>Cash_Flow_Qtr!W79</f>
        <v>0.73499999999999999</v>
      </c>
      <c r="X77" s="268">
        <f>Cash_Flow_Qtr!X79</f>
        <v>0.73499999999999999</v>
      </c>
      <c r="Y77" s="268">
        <f>Cash_Flow_Qtr!Y79</f>
        <v>0.73499999999999999</v>
      </c>
      <c r="Z77" s="277">
        <f>Cash_Flow_Qtr!Z79</f>
        <v>2.94</v>
      </c>
      <c r="AA77" s="268">
        <f>Cash_Flow_Qtr!AA79</f>
        <v>0.73499999999999999</v>
      </c>
      <c r="AB77" s="268">
        <f>Cash_Flow_Qtr!AB79</f>
        <v>0.47499999999999998</v>
      </c>
      <c r="AC77" s="268">
        <f>Cash_Flow_Qtr!AC79</f>
        <v>0.47499999999999998</v>
      </c>
      <c r="AD77" s="268">
        <f>Cash_Flow_Qtr!AD79</f>
        <v>0.47499999999999998</v>
      </c>
      <c r="AE77" s="277">
        <f>Cash_Flow_Qtr!AE79</f>
        <v>2.16</v>
      </c>
      <c r="AF77" s="268">
        <f>Cash_Flow_Qtr!AF79</f>
        <v>0.47499999999999998</v>
      </c>
      <c r="AG77" s="268">
        <f>Cash_Flow_Qtr!AG79</f>
        <v>0.51</v>
      </c>
      <c r="AH77" s="268">
        <f>Cash_Flow_Qtr!AH79</f>
        <v>0.51</v>
      </c>
      <c r="AI77" s="268">
        <f>Cash_Flow_Qtr!AI79</f>
        <v>0.51</v>
      </c>
      <c r="AJ77" s="277">
        <f>Cash_Flow_Qtr!AJ79</f>
        <v>2.0049999999999999</v>
      </c>
      <c r="AK77" s="268">
        <f>Cash_Flow_Qtr!AK79</f>
        <v>0.51</v>
      </c>
      <c r="AL77" s="268">
        <f>Cash_Flow_Qtr!AL79</f>
        <v>0.55000000000000004</v>
      </c>
      <c r="AM77" s="268">
        <f>Cash_Flow_Qtr!AM79</f>
        <v>0.55000000000000004</v>
      </c>
      <c r="AN77" s="268">
        <f>Cash_Flow_Qtr!AN79</f>
        <v>0.55000000000000004</v>
      </c>
      <c r="AO77" s="277">
        <f>Cash_Flow_Qtr!AO79</f>
        <v>2.16</v>
      </c>
      <c r="AP77" s="268">
        <f>Cash_Flow_Qtr!AP79</f>
        <v>0.55000000000000004</v>
      </c>
      <c r="AQ77" s="268">
        <f>Cash_Flow_Qtr!AQ79</f>
        <v>0.59</v>
      </c>
      <c r="AR77" s="268">
        <f>Cash_Flow_Qtr!AR79</f>
        <v>0.59</v>
      </c>
      <c r="AS77" s="268">
        <f>Cash_Flow_Qtr!AS79</f>
        <v>0.59</v>
      </c>
      <c r="AT77" s="277">
        <f>Cash_Flow_Qtr!AT79</f>
        <v>2.3199999999999998</v>
      </c>
      <c r="AU77" s="268">
        <f>Cash_Flow_Qtr!AU79</f>
        <v>0.59</v>
      </c>
      <c r="AV77" s="268">
        <f>Cash_Flow_Qtr!AV79</f>
        <v>0.63</v>
      </c>
      <c r="AW77" s="268">
        <f>Cash_Flow_Qtr!AW79</f>
        <v>0.63</v>
      </c>
      <c r="AX77" s="268">
        <f>Cash_Flow_Qtr!AX79</f>
        <v>0.63</v>
      </c>
      <c r="AY77" s="277">
        <f>Cash_Flow_Qtr!AY79</f>
        <v>2.48</v>
      </c>
      <c r="AZ77" s="268">
        <f>Cash_Flow_Qtr!AZ79</f>
        <v>0.63</v>
      </c>
      <c r="BA77" s="268">
        <f>Cash_Flow_Qtr!BA79</f>
        <v>0.68</v>
      </c>
      <c r="BB77" s="268">
        <f>Cash_Flow_Qtr!BB79</f>
        <v>0.68</v>
      </c>
      <c r="BC77" s="268">
        <f>Cash_Flow_Qtr!BC79</f>
        <v>0.68</v>
      </c>
      <c r="BD77" s="277">
        <f>Cash_Flow_Qtr!BD79</f>
        <v>2.6700000000000004</v>
      </c>
      <c r="BE77" s="268">
        <f>Cash_Flow_Qtr!BE79</f>
        <v>0.68</v>
      </c>
      <c r="BF77" s="268">
        <f>Cash_Flow_Qtr!BF79</f>
        <v>0.73</v>
      </c>
      <c r="BG77" s="268">
        <f>Cash_Flow_Qtr!BG79</f>
        <v>0.73099999999999998</v>
      </c>
      <c r="BH77" s="268">
        <f>Cash_Flow_Qtr!BH79</f>
        <v>0.7292500000000004</v>
      </c>
      <c r="BI77" s="277">
        <f>Cash_Flow_Qtr!BI79</f>
        <v>2.8702500000000004</v>
      </c>
      <c r="BJ77" s="319"/>
      <c r="BK77" s="112"/>
      <c r="BM77"/>
    </row>
    <row r="78" spans="1:65">
      <c r="A78" s="1" t="s">
        <v>4</v>
      </c>
      <c r="B78" s="34"/>
      <c r="C78" s="35"/>
      <c r="D78" s="35"/>
      <c r="E78" s="35"/>
      <c r="F78" s="36"/>
      <c r="G78" s="34"/>
      <c r="H78" s="35"/>
      <c r="I78" s="35"/>
      <c r="J78" s="35"/>
      <c r="K78" s="36"/>
      <c r="L78" s="34"/>
      <c r="M78" s="35"/>
      <c r="N78" s="35"/>
      <c r="O78" s="35"/>
      <c r="P78" s="36"/>
      <c r="Q78" s="34"/>
      <c r="R78" s="35"/>
      <c r="S78" s="35"/>
      <c r="T78" s="35"/>
      <c r="U78" s="36"/>
      <c r="V78" s="73" t="str">
        <f>Cash_Flow_Qtr!V80</f>
        <v>NM</v>
      </c>
      <c r="W78" s="231" t="str">
        <f>Cash_Flow_Qtr!W80</f>
        <v>NM</v>
      </c>
      <c r="X78" s="231" t="str">
        <f>Cash_Flow_Qtr!X80</f>
        <v>NM</v>
      </c>
      <c r="Y78" s="231" t="str">
        <f>Cash_Flow_Qtr!Y80</f>
        <v>NM</v>
      </c>
      <c r="Z78" s="186" t="str">
        <f>Cash_Flow_Qtr!Z80</f>
        <v>NM</v>
      </c>
      <c r="AA78" s="359">
        <f>Cash_Flow_Qtr!AA80</f>
        <v>0</v>
      </c>
      <c r="AB78" s="404">
        <f>Cash_Flow_Qtr!AB80</f>
        <v>-0.35374149659863952</v>
      </c>
      <c r="AC78" s="404">
        <f>Cash_Flow_Qtr!AC80</f>
        <v>-0.35374149659863952</v>
      </c>
      <c r="AD78" s="404">
        <f>Cash_Flow_Qtr!AD80</f>
        <v>-0.35374149659863952</v>
      </c>
      <c r="AE78" s="226">
        <f>Cash_Flow_Qtr!AE80</f>
        <v>-0.26530612244897955</v>
      </c>
      <c r="AF78" s="359">
        <f>Cash_Flow_Qtr!AF80</f>
        <v>-0.35374149659863952</v>
      </c>
      <c r="AG78" s="231">
        <f>Cash_Flow_Qtr!AG80</f>
        <v>7.3684210526315796E-2</v>
      </c>
      <c r="AH78" s="404">
        <f>Cash_Flow_Qtr!AH80</f>
        <v>7.3684210526315796E-2</v>
      </c>
      <c r="AI78" s="404">
        <f>Cash_Flow_Qtr!AI80</f>
        <v>7.3684210526315796E-2</v>
      </c>
      <c r="AJ78" s="226">
        <f>Cash_Flow_Qtr!AJ80</f>
        <v>-7.1759259259259411E-2</v>
      </c>
      <c r="AK78" s="359">
        <f>Cash_Flow_Qtr!AK80</f>
        <v>7.3684210526315796E-2</v>
      </c>
      <c r="AL78" s="231">
        <f>Cash_Flow_Qtr!AL80</f>
        <v>7.8431372549019773E-2</v>
      </c>
      <c r="AM78" s="404">
        <f>Cash_Flow_Qtr!AM80</f>
        <v>7.8431372549019773E-2</v>
      </c>
      <c r="AN78" s="404">
        <f>Cash_Flow_Qtr!AN80</f>
        <v>7.8431372549019773E-2</v>
      </c>
      <c r="AO78" s="226">
        <f>Cash_Flow_Qtr!AO80</f>
        <v>7.7306733167082475E-2</v>
      </c>
      <c r="AP78" s="359">
        <f>Cash_Flow_Qtr!AP80</f>
        <v>7.8431372549019773E-2</v>
      </c>
      <c r="AQ78" s="231">
        <f>Cash_Flow_Qtr!AQ80</f>
        <v>7.2727272727272529E-2</v>
      </c>
      <c r="AR78" s="404">
        <f>Cash_Flow_Qtr!AR80</f>
        <v>7.2727272727272529E-2</v>
      </c>
      <c r="AS78" s="404">
        <f>Cash_Flow_Qtr!AS80</f>
        <v>7.2727272727272529E-2</v>
      </c>
      <c r="AT78" s="226">
        <f>Cash_Flow_Qtr!AT80</f>
        <v>7.4074074074073959E-2</v>
      </c>
      <c r="AU78" s="359">
        <f>Cash_Flow_Qtr!AU80</f>
        <v>7.2727272727272529E-2</v>
      </c>
      <c r="AV78" s="231">
        <f>Cash_Flow_Qtr!AV80</f>
        <v>6.7796610169491567E-2</v>
      </c>
      <c r="AW78" s="404">
        <f>Cash_Flow_Qtr!AW80</f>
        <v>6.7796610169491567E-2</v>
      </c>
      <c r="AX78" s="404">
        <f>Cash_Flow_Qtr!AX80</f>
        <v>6.7796610169491567E-2</v>
      </c>
      <c r="AY78" s="226">
        <f>Cash_Flow_Qtr!AY80</f>
        <v>6.8965517241379448E-2</v>
      </c>
      <c r="AZ78" s="359">
        <f>Cash_Flow_Qtr!AZ80</f>
        <v>6.7796610169491567E-2</v>
      </c>
      <c r="BA78" s="231">
        <f>Cash_Flow_Qtr!BA80</f>
        <v>7.9365079365079527E-2</v>
      </c>
      <c r="BB78" s="404">
        <f>Cash_Flow_Qtr!BB80</f>
        <v>7.9365079365079527E-2</v>
      </c>
      <c r="BC78" s="404">
        <f>Cash_Flow_Qtr!BC80</f>
        <v>7.9365079365079527E-2</v>
      </c>
      <c r="BD78" s="226">
        <f>Cash_Flow_Qtr!BD80</f>
        <v>7.6612903225806717E-2</v>
      </c>
      <c r="BE78" s="359">
        <f>Cash_Flow_Qtr!BE80</f>
        <v>7.9365079365079527E-2</v>
      </c>
      <c r="BF78" s="404">
        <f>Cash_Flow_Qtr!BF80</f>
        <v>7.3529411764705843E-2</v>
      </c>
      <c r="BG78" s="404">
        <f>Cash_Flow_Qtr!BG80</f>
        <v>7.4999999999999997E-2</v>
      </c>
      <c r="BH78" s="231">
        <f>Cash_Flow_Qtr!BW80</f>
        <v>0</v>
      </c>
      <c r="BI78" s="186">
        <f>Cash_Flow_Qtr!BX80</f>
        <v>0</v>
      </c>
      <c r="BK78" s="112"/>
      <c r="BM78"/>
    </row>
    <row r="79" spans="1:65">
      <c r="A79" s="2"/>
      <c r="B79" s="48"/>
      <c r="C79" s="49"/>
      <c r="E79" s="49"/>
      <c r="F79" s="47"/>
      <c r="G79" s="48"/>
      <c r="H79" s="49"/>
      <c r="J79" s="49"/>
      <c r="K79" s="47"/>
      <c r="L79" s="48"/>
      <c r="M79" s="49"/>
      <c r="O79" s="49"/>
      <c r="P79" s="47"/>
      <c r="Q79" s="48"/>
      <c r="R79" s="49"/>
      <c r="T79" s="49"/>
      <c r="U79" s="47"/>
      <c r="V79" s="48"/>
      <c r="W79" s="49"/>
      <c r="Y79" s="49"/>
      <c r="Z79" s="47"/>
      <c r="AA79" s="402"/>
      <c r="AB79" s="403"/>
      <c r="AD79" s="403"/>
      <c r="AE79" s="47"/>
      <c r="AF79" s="402"/>
      <c r="AG79" s="49"/>
      <c r="AI79" s="403"/>
      <c r="AJ79" s="47"/>
      <c r="AK79" s="402"/>
      <c r="AL79" s="49"/>
      <c r="AN79" s="403"/>
      <c r="AO79" s="47"/>
      <c r="AP79" s="402"/>
      <c r="AQ79" s="49"/>
      <c r="AS79" s="403"/>
      <c r="AT79" s="47"/>
      <c r="AU79" s="402"/>
      <c r="AV79" s="49"/>
      <c r="AX79" s="403"/>
      <c r="AY79" s="47"/>
      <c r="AZ79" s="402"/>
      <c r="BA79" s="49"/>
      <c r="BC79" s="403"/>
      <c r="BD79" s="47"/>
      <c r="BE79" s="402"/>
      <c r="BH79" s="49"/>
      <c r="BI79" s="47"/>
      <c r="BK79" s="112"/>
      <c r="BM79"/>
    </row>
    <row r="80" spans="1:65">
      <c r="A80" s="405" t="s">
        <v>18</v>
      </c>
      <c r="B80" s="406"/>
      <c r="C80" s="406"/>
      <c r="D80" s="406"/>
      <c r="E80" s="406"/>
      <c r="F80" s="407"/>
      <c r="G80" s="406"/>
      <c r="H80" s="406"/>
      <c r="I80" s="406"/>
      <c r="J80" s="406"/>
      <c r="K80" s="407"/>
      <c r="L80" s="406"/>
      <c r="M80" s="406"/>
      <c r="N80" s="406"/>
      <c r="O80" s="406"/>
      <c r="P80" s="407"/>
      <c r="Q80" s="406"/>
      <c r="R80" s="406"/>
      <c r="S80" s="406"/>
      <c r="T80" s="406"/>
      <c r="U80" s="407"/>
      <c r="V80" s="406"/>
      <c r="W80" s="406"/>
      <c r="X80" s="406"/>
      <c r="Y80" s="406"/>
      <c r="Z80" s="407"/>
      <c r="AA80" s="71"/>
      <c r="AB80" s="71"/>
      <c r="AC80" s="71"/>
      <c r="AD80" s="71"/>
      <c r="AE80" s="117"/>
      <c r="AF80" s="71"/>
      <c r="AG80" s="71"/>
      <c r="AH80" s="71"/>
      <c r="AI80" s="71"/>
      <c r="AJ80" s="117"/>
      <c r="AK80" s="71"/>
      <c r="AL80" s="71"/>
      <c r="AM80" s="71"/>
      <c r="AN80" s="71"/>
      <c r="AO80" s="117"/>
      <c r="AP80" s="71"/>
      <c r="AQ80" s="71"/>
      <c r="AR80" s="71"/>
      <c r="AS80" s="71"/>
      <c r="AT80" s="117"/>
      <c r="AU80" s="71"/>
      <c r="AV80" s="71"/>
      <c r="AW80" s="71"/>
      <c r="AX80" s="71"/>
      <c r="AY80" s="117"/>
      <c r="AZ80" s="71"/>
      <c r="BA80" s="71"/>
      <c r="BB80" s="71"/>
      <c r="BC80" s="71"/>
      <c r="BD80" s="117"/>
      <c r="BE80" s="71"/>
      <c r="BF80" s="71"/>
      <c r="BG80" s="71"/>
      <c r="BH80" s="71"/>
      <c r="BI80" s="117"/>
      <c r="BK80" s="112"/>
      <c r="BM80"/>
    </row>
    <row r="81" spans="1:65">
      <c r="A81" s="1" t="s">
        <v>60</v>
      </c>
      <c r="B81" s="127"/>
      <c r="C81" s="37"/>
      <c r="D81" s="37"/>
      <c r="E81" s="179"/>
      <c r="F81" s="38"/>
      <c r="G81" s="127"/>
      <c r="H81" s="37"/>
      <c r="I81" s="37"/>
      <c r="J81" s="179"/>
      <c r="K81" s="38"/>
      <c r="L81" s="127"/>
      <c r="M81" s="37"/>
      <c r="N81" s="37"/>
      <c r="O81" s="179"/>
      <c r="P81" s="38"/>
      <c r="Q81" s="127"/>
      <c r="R81" s="37"/>
      <c r="S81" s="37"/>
      <c r="T81" s="179"/>
      <c r="U81" s="38"/>
      <c r="V81" s="127">
        <f>Cash_Flow_Qtr!V5</f>
        <v>942</v>
      </c>
      <c r="W81" s="37">
        <f>Cash_Flow_Qtr!W5</f>
        <v>388</v>
      </c>
      <c r="X81" s="37">
        <f>Cash_Flow_Qtr!X5</f>
        <v>692</v>
      </c>
      <c r="Y81" s="179">
        <f>Cash_Flow_Qtr!Y5</f>
        <v>686</v>
      </c>
      <c r="Z81" s="38">
        <f>Cash_Flow_Qtr!Z5</f>
        <v>2708</v>
      </c>
      <c r="AA81" s="127">
        <f>Cash_Flow_Qtr!AA5</f>
        <v>980</v>
      </c>
      <c r="AB81" s="37">
        <f>Cash_Flow_Qtr!AB5</f>
        <v>859</v>
      </c>
      <c r="AC81" s="37">
        <f>Cash_Flow_Qtr!AC5</f>
        <v>1164</v>
      </c>
      <c r="AD81" s="179">
        <f>Cash_Flow_Qtr!AD5</f>
        <v>1153</v>
      </c>
      <c r="AE81" s="38">
        <f>Cash_Flow_Qtr!AE5</f>
        <v>4156</v>
      </c>
      <c r="AF81" s="127">
        <f>Cash_Flow_Qtr!AF5</f>
        <v>1123</v>
      </c>
      <c r="AG81" s="37">
        <f>Cash_Flow_Qtr!AG5</f>
        <v>1132</v>
      </c>
      <c r="AH81" s="37">
        <f>Cash_Flow_Qtr!AH5</f>
        <v>1158</v>
      </c>
      <c r="AI81" s="179">
        <f>Cash_Flow_Qtr!AI5</f>
        <v>1144</v>
      </c>
      <c r="AJ81" s="38">
        <f>Cash_Flow_Qtr!AJ5</f>
        <v>4557</v>
      </c>
      <c r="AK81" s="127">
        <f>Cash_Flow_Qtr!AK5</f>
        <v>1014</v>
      </c>
      <c r="AL81" s="37">
        <f>Cash_Flow_Qtr!AL5</f>
        <v>999</v>
      </c>
      <c r="AM81" s="37">
        <f>Cash_Flow_Qtr!AM5</f>
        <v>1047</v>
      </c>
      <c r="AN81" s="179">
        <f>Cash_Flow_Qtr!AN5</f>
        <v>1048</v>
      </c>
      <c r="AO81" s="38">
        <f>Cash_Flow_Qtr!AO5</f>
        <v>4108</v>
      </c>
      <c r="AP81" s="127">
        <f>Cash_Flow_Qtr!AP5</f>
        <v>1034</v>
      </c>
      <c r="AQ81" s="37">
        <f>Cash_Flow_Qtr!AQ5</f>
        <v>1044</v>
      </c>
      <c r="AR81" s="37">
        <f>Cash_Flow_Qtr!AR5</f>
        <v>1074</v>
      </c>
      <c r="AS81" s="179">
        <f>Cash_Flow_Qtr!AS5</f>
        <v>1059</v>
      </c>
      <c r="AT81" s="38">
        <f>Cash_Flow_Qtr!AT5</f>
        <v>4211</v>
      </c>
      <c r="AU81" s="127">
        <f>Cash_Flow_Qtr!AU5</f>
        <v>1059</v>
      </c>
      <c r="AV81" s="37">
        <f>Cash_Flow_Qtr!AV5</f>
        <v>1072</v>
      </c>
      <c r="AW81" s="37">
        <f>Cash_Flow_Qtr!AW5</f>
        <v>1094</v>
      </c>
      <c r="AX81" s="179">
        <f>Cash_Flow_Qtr!AX5</f>
        <v>1139</v>
      </c>
      <c r="AY81" s="38">
        <f>Cash_Flow_Qtr!AY5</f>
        <v>4364</v>
      </c>
      <c r="AZ81" s="127">
        <f>Cash_Flow_Qtr!AZ5</f>
        <v>1052</v>
      </c>
      <c r="BA81" s="37">
        <f>Cash_Flow_Qtr!BA5</f>
        <v>1076</v>
      </c>
      <c r="BB81" s="37">
        <f>Cash_Flow_Qtr!BB5</f>
        <v>1091</v>
      </c>
      <c r="BC81" s="179">
        <f>Cash_Flow_Qtr!BC5</f>
        <v>1159</v>
      </c>
      <c r="BD81" s="38">
        <f>Cash_Flow_Qtr!BD5</f>
        <v>4378</v>
      </c>
      <c r="BE81" s="127">
        <f>Cash_Flow_Qtr!BE5</f>
        <v>1071</v>
      </c>
      <c r="BF81" s="37">
        <f>Cash_Flow_Qtr!BF5</f>
        <v>1079</v>
      </c>
      <c r="BG81" s="37">
        <f>Cash_Flow_Qtr!BG5</f>
        <v>1055.5862500000001</v>
      </c>
      <c r="BH81" s="179">
        <f>Cash_Flow_Qtr!BH5</f>
        <v>1008.8577499999999</v>
      </c>
      <c r="BI81" s="38">
        <f>Cash_Flow_Qtr!BI5</f>
        <v>4214.4440000000004</v>
      </c>
      <c r="BK81" s="112"/>
      <c r="BM81"/>
    </row>
    <row r="82" spans="1:65">
      <c r="A82" s="8" t="s">
        <v>40</v>
      </c>
      <c r="B82" s="23"/>
      <c r="C82" s="23"/>
      <c r="D82" s="23"/>
      <c r="E82" s="23"/>
      <c r="F82" s="24"/>
      <c r="G82" s="23"/>
      <c r="H82" s="23"/>
      <c r="I82" s="23"/>
      <c r="J82" s="23"/>
      <c r="K82" s="24"/>
      <c r="L82" s="23"/>
      <c r="M82" s="23"/>
      <c r="N82" s="23"/>
      <c r="O82" s="23"/>
      <c r="P82" s="24"/>
      <c r="Q82" s="23"/>
      <c r="R82" s="23"/>
      <c r="S82" s="23"/>
      <c r="T82" s="23"/>
      <c r="U82" s="24"/>
      <c r="V82" s="23">
        <f>V28+V81</f>
        <v>3703</v>
      </c>
      <c r="W82" s="23">
        <f>W28+W81</f>
        <v>3255</v>
      </c>
      <c r="X82" s="23">
        <f>X28+X81</f>
        <v>3656</v>
      </c>
      <c r="Y82" s="23">
        <f>Z82-SUM(V82:X82)</f>
        <v>3401</v>
      </c>
      <c r="Z82" s="24">
        <f>Z28+Z81</f>
        <v>14015</v>
      </c>
      <c r="AA82" s="23">
        <f>AA28+AA81</f>
        <v>3877</v>
      </c>
      <c r="AB82" s="23">
        <f>AB28+AB81</f>
        <v>1791</v>
      </c>
      <c r="AC82" s="23">
        <f>AC28+AC81</f>
        <v>2319</v>
      </c>
      <c r="AD82" s="23">
        <f>AE82-SUM(AA82:AC82)</f>
        <v>2587</v>
      </c>
      <c r="AE82" s="24">
        <f>AE28+AE81</f>
        <v>10574</v>
      </c>
      <c r="AF82" s="23">
        <f>AF28+AF81</f>
        <v>2720</v>
      </c>
      <c r="AG82" s="23">
        <f>AG28+AG81</f>
        <v>2989</v>
      </c>
      <c r="AH82" s="23">
        <f>AH28+AH81</f>
        <v>3106</v>
      </c>
      <c r="AI82" s="23">
        <f>AJ82-SUM(AF82:AH82)</f>
        <v>3005</v>
      </c>
      <c r="AJ82" s="24">
        <f>AJ28+AJ81</f>
        <v>11820</v>
      </c>
      <c r="AK82" s="23">
        <f>AK28+AK81</f>
        <v>2912</v>
      </c>
      <c r="AL82" s="23">
        <f>AL28+AL81</f>
        <v>2881</v>
      </c>
      <c r="AM82" s="23">
        <f>AM28+AM81</f>
        <v>3033</v>
      </c>
      <c r="AN82" s="23">
        <f>AO82-SUM(AK82:AM82)</f>
        <v>3105</v>
      </c>
      <c r="AO82" s="24">
        <f>AO28+AO81</f>
        <v>11931</v>
      </c>
      <c r="AP82" s="23">
        <f>AP28+AP81</f>
        <v>3187</v>
      </c>
      <c r="AQ82" s="23">
        <f>AQ28+AQ81</f>
        <v>3287</v>
      </c>
      <c r="AR82" s="23">
        <f>AR28+AR81</f>
        <v>3302</v>
      </c>
      <c r="AS82" s="23">
        <f>AT82-SUM(AP82:AR82)</f>
        <v>3330</v>
      </c>
      <c r="AT82" s="24">
        <f>AT28+AT81</f>
        <v>13106</v>
      </c>
      <c r="AU82" s="23">
        <f>AU28+AU81</f>
        <v>3351</v>
      </c>
      <c r="AV82" s="23">
        <f>AV28+AV81</f>
        <v>3632</v>
      </c>
      <c r="AW82" s="23">
        <f>AW28+AW81</f>
        <v>3573</v>
      </c>
      <c r="AX82" s="23">
        <f>AY82-SUM(AU82:AW82)</f>
        <v>3991</v>
      </c>
      <c r="AY82" s="24">
        <f>AY28+AY81</f>
        <v>14547</v>
      </c>
      <c r="AZ82" s="23">
        <f>AZ28+AZ81</f>
        <v>3715</v>
      </c>
      <c r="BA82" s="23">
        <f>BA28+BA81</f>
        <v>3869</v>
      </c>
      <c r="BB82" s="23">
        <f>BB28+BB81</f>
        <v>4057</v>
      </c>
      <c r="BC82" s="23">
        <f>BD82-SUM(AZ82:BB82)</f>
        <v>4126</v>
      </c>
      <c r="BD82" s="24">
        <f>BD28+BD81</f>
        <v>15767</v>
      </c>
      <c r="BE82" s="23">
        <f>BE28+BE81</f>
        <v>4094</v>
      </c>
      <c r="BF82" s="23">
        <f>BF28+BF81</f>
        <v>4438</v>
      </c>
      <c r="BG82" s="23">
        <f>BG28+BG81</f>
        <v>4270.6707774999995</v>
      </c>
      <c r="BH82" s="23">
        <f>BI82-SUM(BE82:BG82)</f>
        <v>4325.0603695000027</v>
      </c>
      <c r="BI82" s="24">
        <f>BI28+BI81</f>
        <v>17127.731147000002</v>
      </c>
      <c r="BK82" s="112"/>
      <c r="BM82"/>
    </row>
    <row r="83" spans="1:65">
      <c r="A83" s="1" t="s">
        <v>41</v>
      </c>
      <c r="B83" s="113"/>
      <c r="C83" s="114"/>
      <c r="D83" s="114"/>
      <c r="E83" s="114"/>
      <c r="F83" s="115"/>
      <c r="G83" s="113"/>
      <c r="H83" s="114"/>
      <c r="I83" s="114"/>
      <c r="J83" s="114"/>
      <c r="K83" s="115"/>
      <c r="L83" s="113"/>
      <c r="M83" s="114"/>
      <c r="N83" s="114"/>
      <c r="O83" s="114"/>
      <c r="P83" s="115"/>
      <c r="Q83" s="113"/>
      <c r="R83" s="114"/>
      <c r="S83" s="114"/>
      <c r="T83" s="114"/>
      <c r="U83" s="115"/>
      <c r="V83" s="113">
        <f t="shared" ref="V83:AG83" si="310">V82/V9</f>
        <v>0.21013505844966518</v>
      </c>
      <c r="W83" s="114">
        <f t="shared" si="310"/>
        <v>0.17674847958297132</v>
      </c>
      <c r="X83" s="114">
        <f t="shared" si="310"/>
        <v>0.19496587030716722</v>
      </c>
      <c r="Y83" s="114">
        <f t="shared" si="310"/>
        <v>0.17488558646577879</v>
      </c>
      <c r="Z83" s="115">
        <f t="shared" si="310"/>
        <v>0.18878726241631533</v>
      </c>
      <c r="AA83" s="119">
        <f t="shared" si="310"/>
        <v>0.21067217301526925</v>
      </c>
      <c r="AB83" s="120">
        <f t="shared" si="310"/>
        <v>0.12240295243302352</v>
      </c>
      <c r="AC83" s="120">
        <f t="shared" si="310"/>
        <v>0.15411709975410381</v>
      </c>
      <c r="AD83" s="120">
        <f t="shared" si="310"/>
        <v>0.15600313574142194</v>
      </c>
      <c r="AE83" s="227">
        <f t="shared" si="310"/>
        <v>0.16351967834222531</v>
      </c>
      <c r="AF83" s="119">
        <f t="shared" ref="AF83" si="311">AF82/AF9</f>
        <v>0.17834896072388695</v>
      </c>
      <c r="AG83" s="114">
        <f t="shared" si="310"/>
        <v>0.1882241813602015</v>
      </c>
      <c r="AH83" s="120">
        <f t="shared" ref="AH83:AL83" si="312">AH82/AH9</f>
        <v>0.19157466230802442</v>
      </c>
      <c r="AI83" s="120">
        <f t="shared" si="312"/>
        <v>0.17630837831494955</v>
      </c>
      <c r="AJ83" s="227">
        <f t="shared" si="312"/>
        <v>0.18357457911412065</v>
      </c>
      <c r="AK83" s="119">
        <f t="shared" si="312"/>
        <v>0.18528887757699161</v>
      </c>
      <c r="AL83" s="114">
        <f t="shared" si="312"/>
        <v>0.17659678803481671</v>
      </c>
      <c r="AM83" s="120">
        <f t="shared" ref="AM83:AQ83" si="313">AM82/AM9</f>
        <v>0.1789274969028376</v>
      </c>
      <c r="AN83" s="120">
        <f t="shared" si="313"/>
        <v>0.17161333112253357</v>
      </c>
      <c r="AO83" s="227">
        <f t="shared" si="313"/>
        <v>0.17787816441542179</v>
      </c>
      <c r="AP83" s="119">
        <f t="shared" si="313"/>
        <v>0.18514000232369002</v>
      </c>
      <c r="AQ83" s="114">
        <f t="shared" si="313"/>
        <v>0.17947037947037947</v>
      </c>
      <c r="AR83" s="120">
        <f t="shared" ref="AR83:AV83" si="314">AR82/AR9</f>
        <v>0.17422963275643732</v>
      </c>
      <c r="AS83" s="120">
        <f t="shared" si="314"/>
        <v>0.16797820823244553</v>
      </c>
      <c r="AT83" s="227">
        <f t="shared" si="314"/>
        <v>0.17638113182154633</v>
      </c>
      <c r="AU83" s="119">
        <f t="shared" si="314"/>
        <v>0.17358197358197358</v>
      </c>
      <c r="AV83" s="114">
        <f t="shared" si="314"/>
        <v>0.18351776059825173</v>
      </c>
      <c r="AW83" s="120">
        <f t="shared" ref="AW83:BA83" si="315">AW82/AW9</f>
        <v>0.17785852954353129</v>
      </c>
      <c r="AX83" s="120">
        <f t="shared" si="315"/>
        <v>0.18457198353604959</v>
      </c>
      <c r="AY83" s="227">
        <f t="shared" si="315"/>
        <v>0.18001930501930502</v>
      </c>
      <c r="AZ83" s="119">
        <f t="shared" si="315"/>
        <v>0.18295085196493646</v>
      </c>
      <c r="BA83" s="114">
        <f t="shared" si="315"/>
        <v>0.1792780686715166</v>
      </c>
      <c r="BB83" s="120">
        <f t="shared" ref="BB83:BE83" si="316">BB82/BB9</f>
        <v>0.18048758786368893</v>
      </c>
      <c r="BC83" s="120">
        <f t="shared" si="316"/>
        <v>0.17022856671342521</v>
      </c>
      <c r="BD83" s="227">
        <f t="shared" si="316"/>
        <v>0.17795108517770278</v>
      </c>
      <c r="BE83" s="119">
        <f t="shared" si="316"/>
        <v>0.1854502627287552</v>
      </c>
      <c r="BF83" s="120">
        <f t="shared" ref="BF83:BG83" si="317">BF82/BF9</f>
        <v>0.17967611336032388</v>
      </c>
      <c r="BG83" s="120">
        <f t="shared" si="317"/>
        <v>0.17814424862778516</v>
      </c>
      <c r="BH83" s="114">
        <f t="shared" ref="BH83:BI83" si="318">BH82/BH9</f>
        <v>0.17132438155138272</v>
      </c>
      <c r="BI83" s="115">
        <f t="shared" si="318"/>
        <v>0.17842507901564278</v>
      </c>
      <c r="BK83" s="112"/>
      <c r="BM83"/>
    </row>
    <row r="84" spans="1:65">
      <c r="A84" s="2"/>
      <c r="B84" s="34"/>
      <c r="C84" s="35"/>
      <c r="D84" s="35"/>
      <c r="E84" s="35"/>
      <c r="F84" s="36"/>
      <c r="G84" s="34"/>
      <c r="H84" s="35"/>
      <c r="I84" s="35"/>
      <c r="J84" s="35"/>
      <c r="K84" s="36"/>
      <c r="L84" s="34"/>
      <c r="M84" s="35"/>
      <c r="N84" s="35"/>
      <c r="O84" s="35"/>
      <c r="P84" s="36"/>
      <c r="Q84" s="34"/>
      <c r="R84" s="35"/>
      <c r="S84" s="35"/>
      <c r="T84" s="35"/>
      <c r="U84" s="36"/>
      <c r="V84" s="34"/>
      <c r="W84" s="35"/>
      <c r="X84" s="35"/>
      <c r="Y84" s="35"/>
      <c r="Z84" s="36"/>
      <c r="AA84" s="408"/>
      <c r="AB84" s="409"/>
      <c r="AC84" s="33"/>
      <c r="AD84" s="33"/>
      <c r="AE84" s="137"/>
      <c r="AF84" s="408"/>
      <c r="AG84" s="197"/>
      <c r="AH84" s="33"/>
      <c r="AI84" s="33"/>
      <c r="AJ84" s="137"/>
      <c r="AK84" s="408"/>
      <c r="AL84" s="197"/>
      <c r="AM84" s="33"/>
      <c r="AN84" s="33"/>
      <c r="AO84" s="137"/>
      <c r="AP84" s="408"/>
      <c r="AQ84" s="197"/>
      <c r="AR84" s="33"/>
      <c r="AS84" s="33"/>
      <c r="AT84" s="137"/>
      <c r="AU84" s="408"/>
      <c r="AV84" s="197"/>
      <c r="AW84" s="33"/>
      <c r="AX84" s="33"/>
      <c r="AY84" s="137"/>
      <c r="AZ84" s="408"/>
      <c r="BA84" s="197"/>
      <c r="BB84" s="33"/>
      <c r="BC84" s="33"/>
      <c r="BD84" s="137"/>
      <c r="BE84" s="408"/>
      <c r="BF84" s="33"/>
      <c r="BG84" s="33"/>
      <c r="BH84" s="35"/>
      <c r="BI84" s="36"/>
      <c r="BK84" s="112"/>
      <c r="BM84"/>
    </row>
    <row r="85" spans="1:65">
      <c r="A85" s="1" t="s">
        <v>15</v>
      </c>
      <c r="B85" s="41"/>
      <c r="C85" s="41"/>
      <c r="D85" s="41"/>
      <c r="E85" s="21"/>
      <c r="F85" s="43"/>
      <c r="G85" s="41"/>
      <c r="H85" s="41"/>
      <c r="I85" s="41"/>
      <c r="J85" s="21"/>
      <c r="K85" s="43"/>
      <c r="L85" s="41"/>
      <c r="M85" s="41"/>
      <c r="N85" s="41"/>
      <c r="O85" s="21"/>
      <c r="P85" s="43"/>
      <c r="Q85" s="41"/>
      <c r="R85" s="41"/>
      <c r="S85" s="41"/>
      <c r="T85" s="21"/>
      <c r="U85" s="43"/>
      <c r="V85" s="41">
        <v>-13296</v>
      </c>
      <c r="W85" s="41">
        <v>-13759</v>
      </c>
      <c r="X85" s="41" t="s">
        <v>310</v>
      </c>
      <c r="Y85" s="21" t="str">
        <f>IFERROR(Z85-SUM(V85:X85),"NM")</f>
        <v>NM</v>
      </c>
      <c r="Z85" s="43" t="s">
        <v>310</v>
      </c>
      <c r="AA85" s="41">
        <v>-13817</v>
      </c>
      <c r="AB85" s="41">
        <v>-12214</v>
      </c>
      <c r="AC85" s="41">
        <v>-13004</v>
      </c>
      <c r="AD85" s="41">
        <v>-14266</v>
      </c>
      <c r="AE85" s="22">
        <f>SUM(AA85:AD85)</f>
        <v>-53301</v>
      </c>
      <c r="AF85" s="41">
        <v>-12537</v>
      </c>
      <c r="AG85" s="41">
        <v>-12655</v>
      </c>
      <c r="AH85" s="41">
        <v>-13089</v>
      </c>
      <c r="AI85" s="41">
        <v>-13616</v>
      </c>
      <c r="AJ85" s="22">
        <f>SUM(AF85:AI85)</f>
        <v>-51897</v>
      </c>
      <c r="AK85" s="41">
        <v>-12560</v>
      </c>
      <c r="AL85" s="41">
        <v>-12856</v>
      </c>
      <c r="AM85" s="41">
        <v>-13464</v>
      </c>
      <c r="AN85" s="41">
        <v>-14526</v>
      </c>
      <c r="AO85" s="22">
        <f>SUM(AK85:AN85)</f>
        <v>-53406</v>
      </c>
      <c r="AP85" s="41">
        <v>-13645</v>
      </c>
      <c r="AQ85" s="41">
        <v>-14518</v>
      </c>
      <c r="AR85" s="41">
        <v>-12750</v>
      </c>
      <c r="AS85" s="41">
        <v>-15918</v>
      </c>
      <c r="AT85" s="22">
        <f>SUM(AP85:AS85)</f>
        <v>-56831</v>
      </c>
      <c r="AU85" s="41">
        <v>-15744</v>
      </c>
      <c r="AV85" s="41">
        <v>-16141</v>
      </c>
      <c r="AW85" s="41">
        <v>-16055</v>
      </c>
      <c r="AX85" s="41">
        <v>-17388</v>
      </c>
      <c r="AY85" s="22">
        <f>SUM(AU85:AX85)</f>
        <v>-65328</v>
      </c>
      <c r="AZ85" s="41">
        <v>-16190</v>
      </c>
      <c r="BA85" s="41">
        <v>-17205</v>
      </c>
      <c r="BB85" s="41">
        <v>-17898</v>
      </c>
      <c r="BC85" s="41">
        <v>-19521</v>
      </c>
      <c r="BD85" s="22">
        <f>SUM(AZ85:BC85)</f>
        <v>-70814</v>
      </c>
      <c r="BE85" s="41">
        <v>-17482</v>
      </c>
      <c r="BF85" s="41">
        <v>-19575</v>
      </c>
      <c r="BG85" s="42">
        <f t="shared" ref="BG85" si="319">BG93-BG9</f>
        <v>-19178.484</v>
      </c>
      <c r="BH85" s="42">
        <f t="shared" ref="BH85" si="320">BH93-BH9</f>
        <v>-20559.689600000002</v>
      </c>
      <c r="BI85" s="22">
        <f>SUM(BE85:BH85)</f>
        <v>-76795.173599999995</v>
      </c>
      <c r="BK85" s="112"/>
      <c r="BM85"/>
    </row>
    <row r="86" spans="1:65">
      <c r="A86" s="1" t="s">
        <v>289</v>
      </c>
      <c r="B86" s="41"/>
      <c r="C86" s="41"/>
      <c r="D86" s="37"/>
      <c r="E86" s="21"/>
      <c r="F86" s="38"/>
      <c r="G86" s="41"/>
      <c r="H86" s="41"/>
      <c r="I86" s="41"/>
      <c r="J86" s="21"/>
      <c r="K86" s="43"/>
      <c r="L86" s="41"/>
      <c r="M86" s="41"/>
      <c r="N86" s="41"/>
      <c r="O86" s="21"/>
      <c r="P86" s="43"/>
      <c r="Q86" s="41"/>
      <c r="R86" s="41"/>
      <c r="S86" s="41"/>
      <c r="T86" s="21"/>
      <c r="U86" s="43"/>
      <c r="V86" s="41">
        <f>-1192-W86</f>
        <v>-587</v>
      </c>
      <c r="W86" s="41">
        <v>-605</v>
      </c>
      <c r="X86" s="41" t="s">
        <v>310</v>
      </c>
      <c r="Y86" s="21" t="str">
        <f>IFERROR(Z86-SUM(V86:X86),"NM")</f>
        <v>NM</v>
      </c>
      <c r="Z86" s="43" t="s">
        <v>310</v>
      </c>
      <c r="AA86" s="41">
        <f>-1230-AB86</f>
        <v>-535</v>
      </c>
      <c r="AB86" s="41">
        <v>-695</v>
      </c>
      <c r="AC86" s="41">
        <v>-642</v>
      </c>
      <c r="AD86" s="41">
        <v>-710</v>
      </c>
      <c r="AE86" s="22">
        <f>SUM(AA86:AD86)</f>
        <v>-2582</v>
      </c>
      <c r="AF86" s="41">
        <v>-589</v>
      </c>
      <c r="AG86" s="41">
        <v>-657</v>
      </c>
      <c r="AH86" s="41">
        <v>-676</v>
      </c>
      <c r="AI86" s="41">
        <v>-810</v>
      </c>
      <c r="AJ86" s="22">
        <f>SUM(AF86:AI86)</f>
        <v>-2732</v>
      </c>
      <c r="AK86" s="41">
        <v>-635</v>
      </c>
      <c r="AL86" s="41">
        <v>-698</v>
      </c>
      <c r="AM86" s="41">
        <v>-662</v>
      </c>
      <c r="AN86" s="41">
        <v>-716</v>
      </c>
      <c r="AO86" s="22">
        <f>SUM(AK86:AN86)</f>
        <v>-2711</v>
      </c>
      <c r="AP86" s="41">
        <v>-607</v>
      </c>
      <c r="AQ86" s="41">
        <v>-729</v>
      </c>
      <c r="AR86" s="41">
        <v>-712</v>
      </c>
      <c r="AS86" s="41">
        <v>-757</v>
      </c>
      <c r="AT86" s="22">
        <f>SUM(AP86:AS86)</f>
        <v>-2805</v>
      </c>
      <c r="AU86" s="41">
        <v>-669</v>
      </c>
      <c r="AV86" s="41">
        <v>-706</v>
      </c>
      <c r="AW86" s="41">
        <v>-751</v>
      </c>
      <c r="AX86" s="41">
        <v>-808</v>
      </c>
      <c r="AY86" s="22">
        <f>SUM(AU86:AX86)</f>
        <v>-2934</v>
      </c>
      <c r="AZ86" s="41">
        <v>-637</v>
      </c>
      <c r="BA86" s="41">
        <v>-697</v>
      </c>
      <c r="BB86" s="41">
        <v>-684</v>
      </c>
      <c r="BC86" s="41">
        <v>-789</v>
      </c>
      <c r="BD86" s="22">
        <f>SUM(AZ86:BC86)</f>
        <v>-2807</v>
      </c>
      <c r="BE86" s="41">
        <v>-627</v>
      </c>
      <c r="BF86" s="41">
        <v>-726</v>
      </c>
      <c r="BG86" s="42">
        <f t="shared" ref="BG86" si="321">-BG97*BG9</f>
        <v>-958.92420000000004</v>
      </c>
      <c r="BH86" s="42">
        <f t="shared" ref="BH86" si="322">-BH97*BH9</f>
        <v>-1009.79448</v>
      </c>
      <c r="BI86" s="22">
        <f>SUM(BE86:BH86)</f>
        <v>-3321.7186799999999</v>
      </c>
      <c r="BK86" s="112"/>
      <c r="BM86"/>
    </row>
    <row r="87" spans="1:65">
      <c r="A87" s="1" t="s">
        <v>290</v>
      </c>
      <c r="B87" s="41"/>
      <c r="C87" s="41"/>
      <c r="D87" s="37"/>
      <c r="E87" s="21"/>
      <c r="F87" s="38"/>
      <c r="G87" s="41"/>
      <c r="H87" s="41"/>
      <c r="I87" s="41"/>
      <c r="J87" s="21"/>
      <c r="K87" s="43"/>
      <c r="L87" s="41"/>
      <c r="M87" s="41"/>
      <c r="N87" s="41"/>
      <c r="O87" s="21"/>
      <c r="P87" s="43"/>
      <c r="Q87" s="41"/>
      <c r="R87" s="41"/>
      <c r="S87" s="41"/>
      <c r="T87" s="21"/>
      <c r="U87" s="43"/>
      <c r="V87" s="41">
        <v>-1607</v>
      </c>
      <c r="W87" s="41">
        <v>-1680</v>
      </c>
      <c r="X87" s="41" t="s">
        <v>310</v>
      </c>
      <c r="Y87" s="21" t="str">
        <f>IFERROR(Z87-SUM(V87:X87),"NM")</f>
        <v>NM</v>
      </c>
      <c r="Z87" s="43" t="s">
        <v>310</v>
      </c>
      <c r="AA87" s="41">
        <v>-1705</v>
      </c>
      <c r="AB87" s="41">
        <v>-1811</v>
      </c>
      <c r="AC87" s="41">
        <v>-1401</v>
      </c>
      <c r="AD87" s="41">
        <v>-1351</v>
      </c>
      <c r="AE87" s="22">
        <f>SUM(AA87:AD87)</f>
        <v>-6268</v>
      </c>
      <c r="AF87" s="41">
        <v>-1220</v>
      </c>
      <c r="AG87" s="41">
        <v>-1368</v>
      </c>
      <c r="AH87" s="41">
        <v>-1229</v>
      </c>
      <c r="AI87" s="41">
        <v>-1407</v>
      </c>
      <c r="AJ87" s="22">
        <f>SUM(AF87:AI87)</f>
        <v>-5224</v>
      </c>
      <c r="AK87" s="41">
        <v>-1469</v>
      </c>
      <c r="AL87" s="41">
        <v>-1424</v>
      </c>
      <c r="AM87" s="41">
        <v>-1391</v>
      </c>
      <c r="AN87" s="41">
        <v>-1379</v>
      </c>
      <c r="AO87" s="22">
        <f>SUM(AK87:AN87)</f>
        <v>-5663</v>
      </c>
      <c r="AP87" s="41">
        <v>-1398</v>
      </c>
      <c r="AQ87" s="41">
        <v>-1635</v>
      </c>
      <c r="AR87" s="41">
        <v>-1401</v>
      </c>
      <c r="AS87" s="41">
        <v>-1445</v>
      </c>
      <c r="AT87" s="22">
        <f>SUM(AP87:AS87)</f>
        <v>-5879</v>
      </c>
      <c r="AU87" s="41">
        <v>-1394</v>
      </c>
      <c r="AV87" s="41">
        <v>-1449</v>
      </c>
      <c r="AW87" s="41">
        <v>-1389</v>
      </c>
      <c r="AX87" s="41">
        <v>-1574</v>
      </c>
      <c r="AY87" s="22">
        <f>SUM(AU87:AX87)</f>
        <v>-5806</v>
      </c>
      <c r="AZ87" s="41">
        <v>-1448</v>
      </c>
      <c r="BA87" s="41">
        <v>-1573</v>
      </c>
      <c r="BB87" s="41">
        <v>-1436</v>
      </c>
      <c r="BC87" s="41">
        <v>-1638</v>
      </c>
      <c r="BD87" s="22">
        <f>SUM(AZ87:BC87)</f>
        <v>-6095</v>
      </c>
      <c r="BE87" s="41">
        <v>-1476</v>
      </c>
      <c r="BF87" s="41">
        <v>-1658</v>
      </c>
      <c r="BG87" s="42">
        <f t="shared" ref="BG87" si="323">-BG98*BG9</f>
        <v>-1917.8484000000001</v>
      </c>
      <c r="BH87" s="42">
        <f t="shared" ref="BH87" si="324">-BH98*BH9</f>
        <v>-2019.58896</v>
      </c>
      <c r="BI87" s="22">
        <f>SUM(BE87:BH87)</f>
        <v>-7071.4373599999999</v>
      </c>
      <c r="BK87" s="112"/>
      <c r="BM87"/>
    </row>
    <row r="88" spans="1:65" hidden="1" outlineLevel="1">
      <c r="A88" s="1" t="s">
        <v>322</v>
      </c>
      <c r="B88" s="41"/>
      <c r="C88" s="41"/>
      <c r="D88" s="37"/>
      <c r="E88" s="21"/>
      <c r="F88" s="38"/>
      <c r="G88" s="41"/>
      <c r="H88" s="41"/>
      <c r="I88" s="41"/>
      <c r="J88" s="21"/>
      <c r="K88" s="43"/>
      <c r="L88" s="41"/>
      <c r="M88" s="41"/>
      <c r="N88" s="41"/>
      <c r="O88" s="21"/>
      <c r="P88" s="43"/>
      <c r="Q88" s="41"/>
      <c r="R88" s="41"/>
      <c r="S88" s="41"/>
      <c r="T88" s="21"/>
      <c r="U88" s="43"/>
      <c r="V88" s="41">
        <v>0</v>
      </c>
      <c r="W88" s="41">
        <v>0</v>
      </c>
      <c r="X88" s="41" t="s">
        <v>310</v>
      </c>
      <c r="Y88" s="21" t="str">
        <f>IFERROR(Z88-SUM(V88:X88),"NM")</f>
        <v>NM</v>
      </c>
      <c r="Z88" s="43" t="s">
        <v>310</v>
      </c>
      <c r="AA88" s="41">
        <f>-3183-AB88</f>
        <v>0</v>
      </c>
      <c r="AB88" s="41">
        <v>-3183</v>
      </c>
      <c r="AC88" s="41">
        <v>0</v>
      </c>
      <c r="AD88" s="41">
        <v>0</v>
      </c>
      <c r="AE88" s="22">
        <f>SUM(AA88:AD88)</f>
        <v>-3183</v>
      </c>
      <c r="AF88" s="41">
        <v>0</v>
      </c>
      <c r="AG88" s="41">
        <v>0</v>
      </c>
      <c r="AH88" s="41">
        <v>0</v>
      </c>
      <c r="AI88" s="41">
        <v>0</v>
      </c>
      <c r="AJ88" s="22">
        <f>SUM(AF88:AI88)</f>
        <v>0</v>
      </c>
      <c r="AK88" s="41">
        <v>0</v>
      </c>
      <c r="AL88" s="41">
        <v>0</v>
      </c>
      <c r="AM88" s="41">
        <v>0</v>
      </c>
      <c r="AN88" s="41">
        <v>0</v>
      </c>
      <c r="AO88" s="22">
        <f>SUM(AK88:AN88)</f>
        <v>0</v>
      </c>
      <c r="AP88" s="41">
        <v>0</v>
      </c>
      <c r="AQ88" s="41">
        <v>0</v>
      </c>
      <c r="AR88" s="41">
        <v>0</v>
      </c>
      <c r="AS88" s="41">
        <v>0</v>
      </c>
      <c r="AT88" s="22">
        <f>SUM(AP88:AS88)</f>
        <v>0</v>
      </c>
      <c r="AU88" s="41">
        <v>0</v>
      </c>
      <c r="AV88" s="41">
        <v>0</v>
      </c>
      <c r="AW88" s="41">
        <v>0</v>
      </c>
      <c r="AX88" s="41">
        <v>0</v>
      </c>
      <c r="AY88" s="22">
        <f>SUM(AU88:AX88)</f>
        <v>0</v>
      </c>
      <c r="AZ88" s="41">
        <v>0</v>
      </c>
      <c r="BA88" s="41">
        <v>0</v>
      </c>
      <c r="BB88" s="41">
        <v>0</v>
      </c>
      <c r="BC88" s="41">
        <v>0</v>
      </c>
      <c r="BD88" s="22">
        <f>SUM(AZ88:BC88)</f>
        <v>0</v>
      </c>
      <c r="BE88" s="41">
        <v>0</v>
      </c>
      <c r="BF88" s="41">
        <v>0</v>
      </c>
      <c r="BG88" s="42">
        <v>0</v>
      </c>
      <c r="BH88" s="42">
        <v>0</v>
      </c>
      <c r="BI88" s="22">
        <f>SUM(BE88:BH88)</f>
        <v>0</v>
      </c>
      <c r="BK88" s="112"/>
      <c r="BM88"/>
    </row>
    <row r="89" spans="1:65" hidden="1" outlineLevel="1">
      <c r="A89" s="1" t="s">
        <v>47</v>
      </c>
      <c r="B89" s="41"/>
      <c r="C89" s="41"/>
      <c r="D89" s="37"/>
      <c r="E89" s="21"/>
      <c r="F89" s="38"/>
      <c r="G89" s="41"/>
      <c r="H89" s="41"/>
      <c r="I89" s="41"/>
      <c r="J89" s="21"/>
      <c r="K89" s="43"/>
      <c r="L89" s="41"/>
      <c r="M89" s="41"/>
      <c r="N89" s="41"/>
      <c r="O89" s="21"/>
      <c r="P89" s="43"/>
      <c r="Q89" s="41"/>
      <c r="R89" s="41"/>
      <c r="S89" s="41"/>
      <c r="T89" s="21"/>
      <c r="U89" s="43"/>
      <c r="V89" s="41">
        <f>181-W89</f>
        <v>63</v>
      </c>
      <c r="W89" s="41">
        <v>118</v>
      </c>
      <c r="X89" s="41" t="s">
        <v>310</v>
      </c>
      <c r="Y89" s="21" t="str">
        <f>IFERROR(Z89-SUM(V89:X89),"NM")</f>
        <v>NM</v>
      </c>
      <c r="Z89" s="43" t="s">
        <v>310</v>
      </c>
      <c r="AA89" s="41">
        <f>101-AB89</f>
        <v>19</v>
      </c>
      <c r="AB89" s="41">
        <v>82</v>
      </c>
      <c r="AC89" s="41">
        <v>734</v>
      </c>
      <c r="AD89" s="41">
        <v>50</v>
      </c>
      <c r="AE89" s="22">
        <f>SUM(AA89:AD89)</f>
        <v>885</v>
      </c>
      <c r="AF89" s="41">
        <v>108</v>
      </c>
      <c r="AG89" s="41">
        <v>82</v>
      </c>
      <c r="AH89" s="41">
        <v>124</v>
      </c>
      <c r="AI89" s="41">
        <v>109</v>
      </c>
      <c r="AJ89" s="22">
        <f>SUM(AF89:AI89)</f>
        <v>423</v>
      </c>
      <c r="AK89" s="41">
        <v>-28</v>
      </c>
      <c r="AL89" s="41">
        <v>17</v>
      </c>
      <c r="AM89" s="41">
        <v>46</v>
      </c>
      <c r="AN89" s="41">
        <v>29</v>
      </c>
      <c r="AO89" s="22">
        <f>SUM(AK89:AN89)</f>
        <v>64</v>
      </c>
      <c r="AP89" s="41">
        <v>-88</v>
      </c>
      <c r="AQ89" s="41">
        <v>25</v>
      </c>
      <c r="AR89" s="41">
        <v>0</v>
      </c>
      <c r="AS89" s="41">
        <v>0</v>
      </c>
      <c r="AT89" s="22">
        <f>SUM(AP89:AS89)</f>
        <v>-63</v>
      </c>
      <c r="AU89" s="41">
        <v>0</v>
      </c>
      <c r="AV89" s="41">
        <v>0</v>
      </c>
      <c r="AW89" s="41">
        <v>0</v>
      </c>
      <c r="AX89" s="41">
        <v>0</v>
      </c>
      <c r="AY89" s="22">
        <f>SUM(AU89:AX89)</f>
        <v>0</v>
      </c>
      <c r="AZ89" s="41">
        <v>0</v>
      </c>
      <c r="BA89" s="41">
        <v>0</v>
      </c>
      <c r="BB89" s="41">
        <v>0</v>
      </c>
      <c r="BC89" s="41">
        <v>0</v>
      </c>
      <c r="BD89" s="22">
        <f>SUM(AZ89:BC89)</f>
        <v>0</v>
      </c>
      <c r="BE89" s="41">
        <v>0</v>
      </c>
      <c r="BF89" s="41">
        <v>0</v>
      </c>
      <c r="BG89" s="42">
        <f t="shared" ref="BG89" si="325">BG28-BG93-BG86-BG87-BG88</f>
        <v>1297.2361274999998</v>
      </c>
      <c r="BH89" s="42">
        <f t="shared" ref="BH89" si="326">BH28-BH93-BH86-BH87-BH88</f>
        <v>1660.4136595000004</v>
      </c>
      <c r="BI89" s="22">
        <f>SUM(BE89:BH89)</f>
        <v>2957.6497870000003</v>
      </c>
      <c r="BK89" s="112"/>
      <c r="BM89"/>
    </row>
    <row r="90" spans="1:65" collapsed="1">
      <c r="A90" s="13" t="s">
        <v>10</v>
      </c>
      <c r="B90" s="170"/>
      <c r="C90" s="171"/>
      <c r="D90" s="171"/>
      <c r="E90" s="80"/>
      <c r="F90" s="81"/>
      <c r="G90" s="170"/>
      <c r="H90" s="171"/>
      <c r="I90" s="171"/>
      <c r="J90" s="80"/>
      <c r="K90" s="81"/>
      <c r="L90" s="170"/>
      <c r="M90" s="171"/>
      <c r="N90" s="171"/>
      <c r="O90" s="80"/>
      <c r="P90" s="81"/>
      <c r="Q90" s="170"/>
      <c r="R90" s="171"/>
      <c r="S90" s="171"/>
      <c r="T90" s="80"/>
      <c r="U90" s="81"/>
      <c r="V90" s="170">
        <f t="shared" ref="V90:AA90" si="327">SUM(V85:V89)</f>
        <v>-15427</v>
      </c>
      <c r="W90" s="171">
        <f t="shared" si="327"/>
        <v>-15926</v>
      </c>
      <c r="X90" s="171">
        <f t="shared" si="327"/>
        <v>0</v>
      </c>
      <c r="Y90" s="80">
        <f t="shared" si="327"/>
        <v>0</v>
      </c>
      <c r="Z90" s="81">
        <f t="shared" si="327"/>
        <v>0</v>
      </c>
      <c r="AA90" s="410">
        <f t="shared" si="327"/>
        <v>-16038</v>
      </c>
      <c r="AB90" s="411">
        <f>SUM(AB85:AB89)</f>
        <v>-17821</v>
      </c>
      <c r="AC90" s="411">
        <f t="shared" ref="AC90:AG90" si="328">SUM(AC85:AC89)</f>
        <v>-14313</v>
      </c>
      <c r="AD90" s="80">
        <f t="shared" si="328"/>
        <v>-16277</v>
      </c>
      <c r="AE90" s="81">
        <f t="shared" si="328"/>
        <v>-64449</v>
      </c>
      <c r="AF90" s="410">
        <f t="shared" si="328"/>
        <v>-14238</v>
      </c>
      <c r="AG90" s="171">
        <f t="shared" si="328"/>
        <v>-14598</v>
      </c>
      <c r="AH90" s="411">
        <f t="shared" ref="AH90:AL90" si="329">SUM(AH85:AH89)</f>
        <v>-14870</v>
      </c>
      <c r="AI90" s="80">
        <f>SUM(AI85:AI89)</f>
        <v>-15724</v>
      </c>
      <c r="AJ90" s="81">
        <f t="shared" si="329"/>
        <v>-59430</v>
      </c>
      <c r="AK90" s="410">
        <f t="shared" si="329"/>
        <v>-14692</v>
      </c>
      <c r="AL90" s="171">
        <f t="shared" si="329"/>
        <v>-14961</v>
      </c>
      <c r="AM90" s="411">
        <f t="shared" ref="AM90" si="330">SUM(AM85:AM89)</f>
        <v>-15471</v>
      </c>
      <c r="AN90" s="80">
        <f>SUM(AN85:AN89)</f>
        <v>-16592</v>
      </c>
      <c r="AO90" s="81">
        <f t="shared" ref="AO90:AR90" si="331">SUM(AO85:AO89)</f>
        <v>-61716</v>
      </c>
      <c r="AP90" s="410">
        <f t="shared" si="331"/>
        <v>-15738</v>
      </c>
      <c r="AQ90" s="171">
        <f t="shared" si="331"/>
        <v>-16857</v>
      </c>
      <c r="AR90" s="411">
        <f t="shared" si="331"/>
        <v>-14863</v>
      </c>
      <c r="AS90" s="80">
        <f>SUM(AS85:AS89)</f>
        <v>-18120</v>
      </c>
      <c r="AT90" s="81">
        <f t="shared" ref="AT90:AW90" si="332">SUM(AT85:AT89)</f>
        <v>-65578</v>
      </c>
      <c r="AU90" s="410">
        <f t="shared" si="332"/>
        <v>-17807</v>
      </c>
      <c r="AV90" s="171">
        <f t="shared" si="332"/>
        <v>-18296</v>
      </c>
      <c r="AW90" s="411">
        <f t="shared" si="332"/>
        <v>-18195</v>
      </c>
      <c r="AX90" s="80">
        <f>SUM(AX85:AX89)</f>
        <v>-19770</v>
      </c>
      <c r="AY90" s="81">
        <f t="shared" ref="AY90:BB90" si="333">SUM(AY85:AY89)</f>
        <v>-74068</v>
      </c>
      <c r="AZ90" s="410">
        <f t="shared" si="333"/>
        <v>-18275</v>
      </c>
      <c r="BA90" s="171">
        <f t="shared" si="333"/>
        <v>-19475</v>
      </c>
      <c r="BB90" s="411">
        <f t="shared" si="333"/>
        <v>-20018</v>
      </c>
      <c r="BC90" s="80">
        <f>SUM(BC85:BC89)</f>
        <v>-21948</v>
      </c>
      <c r="BD90" s="81">
        <f t="shared" ref="BD90:BF90" si="334">SUM(BD85:BD89)</f>
        <v>-79716</v>
      </c>
      <c r="BE90" s="410">
        <f t="shared" si="334"/>
        <v>-19585</v>
      </c>
      <c r="BF90" s="171">
        <f t="shared" si="334"/>
        <v>-21959</v>
      </c>
      <c r="BG90" s="411">
        <f t="shared" ref="BG90" si="335">SUM(BG85:BG89)</f>
        <v>-20758.0204725</v>
      </c>
      <c r="BH90" s="80">
        <f t="shared" ref="BH90:BI90" si="336">SUM(BH85:BH89)</f>
        <v>-21928.659380500001</v>
      </c>
      <c r="BI90" s="81">
        <f t="shared" si="336"/>
        <v>-84230.679852999994</v>
      </c>
      <c r="BK90" s="112"/>
      <c r="BM90"/>
    </row>
    <row r="91" spans="1:65">
      <c r="A91" s="1" t="s">
        <v>4</v>
      </c>
      <c r="B91" s="34"/>
      <c r="C91" s="35"/>
      <c r="D91" s="35"/>
      <c r="E91" s="35"/>
      <c r="F91" s="36"/>
      <c r="G91" s="34"/>
      <c r="H91" s="35"/>
      <c r="I91" s="35"/>
      <c r="J91" s="35"/>
      <c r="K91" s="36"/>
      <c r="L91" s="34"/>
      <c r="M91" s="35"/>
      <c r="N91" s="35"/>
      <c r="O91" s="35"/>
      <c r="P91" s="36"/>
      <c r="Q91" s="34"/>
      <c r="R91" s="35"/>
      <c r="S91" s="35"/>
      <c r="T91" s="35"/>
      <c r="U91" s="36"/>
      <c r="V91" s="34" t="str">
        <f t="shared" ref="V91:AH91" si="337">IFERROR(V90/Q90-1,"NM")</f>
        <v>NM</v>
      </c>
      <c r="W91" s="35" t="str">
        <f t="shared" si="337"/>
        <v>NM</v>
      </c>
      <c r="X91" s="35" t="str">
        <f t="shared" si="337"/>
        <v>NM</v>
      </c>
      <c r="Y91" s="35" t="str">
        <f t="shared" si="337"/>
        <v>NM</v>
      </c>
      <c r="Z91" s="36" t="str">
        <f t="shared" si="337"/>
        <v>NM</v>
      </c>
      <c r="AA91" s="232">
        <f t="shared" si="337"/>
        <v>3.9605885784663286E-2</v>
      </c>
      <c r="AB91" s="33">
        <f t="shared" si="337"/>
        <v>0.11898781866130848</v>
      </c>
      <c r="AC91" s="33" t="str">
        <f t="shared" si="337"/>
        <v>NM</v>
      </c>
      <c r="AD91" s="33" t="str">
        <f t="shared" si="337"/>
        <v>NM</v>
      </c>
      <c r="AE91" s="137" t="str">
        <f t="shared" si="337"/>
        <v>NM</v>
      </c>
      <c r="AF91" s="232">
        <f t="shared" si="337"/>
        <v>-0.11223344556677894</v>
      </c>
      <c r="AG91" s="35">
        <f>AG90/AB90-1</f>
        <v>-0.18085404859435494</v>
      </c>
      <c r="AH91" s="33">
        <f t="shared" si="337"/>
        <v>3.8915671068259661E-2</v>
      </c>
      <c r="AI91" s="33">
        <f t="shared" ref="AI91" si="338">IFERROR(AI90/AD90-1,"NM")</f>
        <v>-3.397431959206243E-2</v>
      </c>
      <c r="AJ91" s="137">
        <f t="shared" ref="AJ91:AK91" si="339">IFERROR(AJ90/AE90-1,"NM")</f>
        <v>-7.7875529488432682E-2</v>
      </c>
      <c r="AK91" s="232">
        <f t="shared" si="339"/>
        <v>3.1886500913049565E-2</v>
      </c>
      <c r="AL91" s="35">
        <f>AL90/AG90-1</f>
        <v>2.4866420057542138E-2</v>
      </c>
      <c r="AM91" s="33">
        <f t="shared" ref="AM91" si="340">IFERROR(AM90/AH90-1,"NM")</f>
        <v>4.041694687289854E-2</v>
      </c>
      <c r="AN91" s="33">
        <f t="shared" ref="AN91" si="341">IFERROR(AN90/AI90-1,"NM")</f>
        <v>5.5202238616128163E-2</v>
      </c>
      <c r="AO91" s="137">
        <f t="shared" ref="AO91:AP91" si="342">IFERROR(AO90/AJ90-1,"NM")</f>
        <v>3.8465421504290775E-2</v>
      </c>
      <c r="AP91" s="232">
        <f t="shared" si="342"/>
        <v>7.1195208276613187E-2</v>
      </c>
      <c r="AQ91" s="35">
        <f>AQ90/AL90-1</f>
        <v>0.12672949669139766</v>
      </c>
      <c r="AR91" s="33">
        <f t="shared" ref="AR91" si="343">IFERROR(AR90/AM90-1,"NM")</f>
        <v>-3.9299334238252159E-2</v>
      </c>
      <c r="AS91" s="33">
        <f t="shared" ref="AS91" si="344">IFERROR(AS90/AN90-1,"NM")</f>
        <v>9.2092574734812027E-2</v>
      </c>
      <c r="AT91" s="137">
        <f t="shared" ref="AT91:AU91" si="345">IFERROR(AT90/AO90-1,"NM")</f>
        <v>6.2576965454663291E-2</v>
      </c>
      <c r="AU91" s="232">
        <f t="shared" si="345"/>
        <v>0.1314652433600203</v>
      </c>
      <c r="AV91" s="35">
        <f>AV90/AQ90-1</f>
        <v>8.5365130212967877E-2</v>
      </c>
      <c r="AW91" s="33">
        <f t="shared" ref="AW91" si="346">IFERROR(AW90/AR90-1,"NM")</f>
        <v>0.22418085177958691</v>
      </c>
      <c r="AX91" s="33">
        <f t="shared" ref="AX91" si="347">IFERROR(AX90/AS90-1,"NM")</f>
        <v>9.1059602649006699E-2</v>
      </c>
      <c r="AY91" s="137">
        <f t="shared" ref="AY91:AZ91" si="348">IFERROR(AY90/AT90-1,"NM")</f>
        <v>0.12946414956235319</v>
      </c>
      <c r="AZ91" s="232">
        <f t="shared" si="348"/>
        <v>2.6281799292413144E-2</v>
      </c>
      <c r="BA91" s="35">
        <f>BA90/AV90-1</f>
        <v>6.4440314822912015E-2</v>
      </c>
      <c r="BB91" s="33">
        <f t="shared" ref="BB91" si="349">IFERROR(BB90/AW90-1,"NM")</f>
        <v>0.10019236053860947</v>
      </c>
      <c r="BC91" s="33">
        <f t="shared" ref="BC91" si="350">IFERROR(BC90/AX90-1,"NM")</f>
        <v>0.11016691957511382</v>
      </c>
      <c r="BD91" s="137">
        <f t="shared" ref="BD91:BE91" si="351">IFERROR(BD90/AY90-1,"NM")</f>
        <v>7.625425284873355E-2</v>
      </c>
      <c r="BE91" s="232">
        <f t="shared" si="351"/>
        <v>7.1682626538987604E-2</v>
      </c>
      <c r="BF91" s="35">
        <f>BF90/BA90-1</f>
        <v>0.12754813863928116</v>
      </c>
      <c r="BG91" s="33">
        <f t="shared" ref="BG91" si="352">BG90/BB90-1</f>
        <v>3.6967752647617091E-2</v>
      </c>
      <c r="BH91" s="35">
        <f t="shared" ref="BH91" si="353">BH90/BC90-1</f>
        <v>-8.8120190905771612E-4</v>
      </c>
      <c r="BI91" s="36">
        <f>BI90/BD90-1</f>
        <v>5.6634550817903584E-2</v>
      </c>
      <c r="BK91" s="112"/>
      <c r="BM91"/>
    </row>
    <row r="92" spans="1:65">
      <c r="A92" s="2"/>
      <c r="B92" s="34"/>
      <c r="C92" s="35"/>
      <c r="D92" s="35"/>
      <c r="E92" s="35"/>
      <c r="F92" s="36"/>
      <c r="G92" s="34"/>
      <c r="H92" s="35"/>
      <c r="I92" s="35"/>
      <c r="J92" s="35"/>
      <c r="K92" s="36"/>
      <c r="L92" s="34"/>
      <c r="M92" s="35"/>
      <c r="N92" s="35"/>
      <c r="O92" s="35"/>
      <c r="P92" s="36"/>
      <c r="Q92" s="34"/>
      <c r="R92" s="35"/>
      <c r="S92" s="35"/>
      <c r="T92" s="35"/>
      <c r="U92" s="36"/>
      <c r="V92" s="34"/>
      <c r="W92" s="35"/>
      <c r="X92" s="35"/>
      <c r="Y92" s="35"/>
      <c r="Z92" s="36"/>
      <c r="AA92" s="410"/>
      <c r="AB92" s="412"/>
      <c r="AC92" s="412"/>
      <c r="AD92" s="33"/>
      <c r="AE92" s="137"/>
      <c r="AF92" s="410"/>
      <c r="AG92" s="35"/>
      <c r="AH92" s="412"/>
      <c r="AI92" s="33"/>
      <c r="AJ92" s="137"/>
      <c r="AK92" s="410"/>
      <c r="AL92" s="35"/>
      <c r="AM92" s="412"/>
      <c r="AN92" s="33"/>
      <c r="AO92" s="137"/>
      <c r="AP92" s="410"/>
      <c r="AQ92" s="35"/>
      <c r="AR92" s="412"/>
      <c r="AS92" s="33"/>
      <c r="AT92" s="137"/>
      <c r="AU92" s="410"/>
      <c r="AV92" s="35"/>
      <c r="AW92" s="412"/>
      <c r="AX92" s="33"/>
      <c r="AY92" s="137"/>
      <c r="AZ92" s="410"/>
      <c r="BA92" s="35"/>
      <c r="BB92" s="412"/>
      <c r="BC92" s="33"/>
      <c r="BD92" s="137"/>
      <c r="BE92" s="410"/>
      <c r="BF92" s="35"/>
      <c r="BG92" s="412"/>
      <c r="BH92" s="35"/>
      <c r="BI92" s="36"/>
      <c r="BK92" s="112"/>
      <c r="BM92"/>
    </row>
    <row r="93" spans="1:65">
      <c r="A93" s="4" t="s">
        <v>13</v>
      </c>
      <c r="B93" s="80"/>
      <c r="C93" s="80"/>
      <c r="D93" s="80"/>
      <c r="E93" s="80"/>
      <c r="F93" s="81"/>
      <c r="G93" s="80"/>
      <c r="H93" s="80"/>
      <c r="I93" s="80"/>
      <c r="J93" s="80"/>
      <c r="K93" s="81"/>
      <c r="L93" s="80"/>
      <c r="M93" s="80"/>
      <c r="N93" s="80"/>
      <c r="O93" s="80"/>
      <c r="P93" s="81"/>
      <c r="Q93" s="80"/>
      <c r="R93" s="80"/>
      <c r="S93" s="80"/>
      <c r="T93" s="80"/>
      <c r="U93" s="81"/>
      <c r="V93" s="80">
        <f>V9+V85</f>
        <v>4326</v>
      </c>
      <c r="W93" s="80">
        <f>W9+W85</f>
        <v>4657</v>
      </c>
      <c r="X93" s="80" t="str">
        <f>IFERROR(X9+X85,"NM")</f>
        <v>NM</v>
      </c>
      <c r="Y93" s="80" t="str">
        <f>IFERROR(Y9+Y85,"NM")</f>
        <v>NM</v>
      </c>
      <c r="Z93" s="81" t="str">
        <f>IFERROR(Z9+Z85,"NM")</f>
        <v>NM</v>
      </c>
      <c r="AA93" s="80">
        <f t="shared" ref="AA93:AF93" si="354">AA9+AA85</f>
        <v>4586</v>
      </c>
      <c r="AB93" s="80">
        <f t="shared" si="354"/>
        <v>2418</v>
      </c>
      <c r="AC93" s="80">
        <f t="shared" si="354"/>
        <v>2043</v>
      </c>
      <c r="AD93" s="80">
        <f t="shared" si="354"/>
        <v>2317</v>
      </c>
      <c r="AE93" s="81">
        <f t="shared" si="354"/>
        <v>11364</v>
      </c>
      <c r="AF93" s="80">
        <f t="shared" si="354"/>
        <v>2714</v>
      </c>
      <c r="AG93" s="80">
        <f t="shared" ref="AG93:AK93" si="355">AG9+AG85</f>
        <v>3225</v>
      </c>
      <c r="AH93" s="80">
        <f t="shared" si="355"/>
        <v>3124</v>
      </c>
      <c r="AI93" s="80">
        <f t="shared" si="355"/>
        <v>3428</v>
      </c>
      <c r="AJ93" s="81">
        <f t="shared" si="355"/>
        <v>12491</v>
      </c>
      <c r="AK93" s="80">
        <f t="shared" si="355"/>
        <v>3156</v>
      </c>
      <c r="AL93" s="80">
        <f t="shared" ref="AL93:AP93" si="356">AL9+AL85</f>
        <v>3458</v>
      </c>
      <c r="AM93" s="80">
        <f t="shared" si="356"/>
        <v>3487</v>
      </c>
      <c r="AN93" s="80">
        <f t="shared" si="356"/>
        <v>3567</v>
      </c>
      <c r="AO93" s="81">
        <f t="shared" si="356"/>
        <v>13668</v>
      </c>
      <c r="AP93" s="80">
        <f t="shared" si="356"/>
        <v>3569</v>
      </c>
      <c r="AQ93" s="80">
        <f t="shared" ref="AQ93:AU93" si="357">AQ9+AQ85</f>
        <v>3797</v>
      </c>
      <c r="AR93" s="80">
        <f t="shared" si="357"/>
        <v>6202</v>
      </c>
      <c r="AS93" s="80">
        <f t="shared" si="357"/>
        <v>3906</v>
      </c>
      <c r="AT93" s="81">
        <f t="shared" si="357"/>
        <v>17474</v>
      </c>
      <c r="AU93" s="80">
        <f t="shared" si="357"/>
        <v>3561</v>
      </c>
      <c r="AV93" s="80">
        <f t="shared" ref="AV93:AZ93" si="358">AV9+AV85</f>
        <v>3650</v>
      </c>
      <c r="AW93" s="80">
        <f t="shared" si="358"/>
        <v>4034</v>
      </c>
      <c r="AX93" s="80">
        <f t="shared" si="358"/>
        <v>4235</v>
      </c>
      <c r="AY93" s="81">
        <f t="shared" si="358"/>
        <v>15480</v>
      </c>
      <c r="AZ93" s="80">
        <f t="shared" si="358"/>
        <v>4116</v>
      </c>
      <c r="BA93" s="80">
        <f t="shared" ref="BA93:BE93" si="359">BA9+BA85</f>
        <v>4376</v>
      </c>
      <c r="BB93" s="80">
        <f t="shared" si="359"/>
        <v>4580</v>
      </c>
      <c r="BC93" s="80">
        <f t="shared" si="359"/>
        <v>4717</v>
      </c>
      <c r="BD93" s="81">
        <f t="shared" si="359"/>
        <v>17789</v>
      </c>
      <c r="BE93" s="80">
        <f t="shared" si="359"/>
        <v>4594</v>
      </c>
      <c r="BF93" s="80">
        <f t="shared" ref="BF93" si="360">BF9+BF85</f>
        <v>5125</v>
      </c>
      <c r="BG93" s="80">
        <f t="shared" ref="BG93" si="361">BG94*BG9</f>
        <v>4794.6210000000001</v>
      </c>
      <c r="BH93" s="80">
        <f>BI93-SUM(BE93:BG93)</f>
        <v>4685.1723999999995</v>
      </c>
      <c r="BI93" s="81">
        <f>BI94*BI9</f>
        <v>19198.793399999999</v>
      </c>
      <c r="BK93" s="112"/>
      <c r="BM93"/>
    </row>
    <row r="94" spans="1:65">
      <c r="A94" s="1" t="s">
        <v>12</v>
      </c>
      <c r="B94" s="34"/>
      <c r="C94" s="35"/>
      <c r="D94" s="35"/>
      <c r="E94" s="35"/>
      <c r="F94" s="36"/>
      <c r="G94" s="34"/>
      <c r="H94" s="35"/>
      <c r="I94" s="35"/>
      <c r="J94" s="35"/>
      <c r="K94" s="36"/>
      <c r="L94" s="34"/>
      <c r="M94" s="35"/>
      <c r="N94" s="35"/>
      <c r="O94" s="35"/>
      <c r="P94" s="36"/>
      <c r="Q94" s="34"/>
      <c r="R94" s="35"/>
      <c r="S94" s="35"/>
      <c r="T94" s="35"/>
      <c r="U94" s="36"/>
      <c r="V94" s="34">
        <f>V93/V9</f>
        <v>0.24548859380320054</v>
      </c>
      <c r="W94" s="35">
        <f>W93/W9</f>
        <v>0.252877932232841</v>
      </c>
      <c r="X94" s="35" t="str">
        <f>IFERROR(X93/X9,"NM")</f>
        <v>NM</v>
      </c>
      <c r="Y94" s="35" t="str">
        <f>IFERROR(Y93/Y9,"NM")</f>
        <v>NM</v>
      </c>
      <c r="Z94" s="36" t="str">
        <f>IFERROR(Z93/Z9,"NM")</f>
        <v>NM</v>
      </c>
      <c r="AA94" s="232">
        <f t="shared" ref="AA94:AF94" si="362">AA93/AA9</f>
        <v>0.24919850024452536</v>
      </c>
      <c r="AB94" s="33">
        <f t="shared" si="362"/>
        <v>0.1652542372881356</v>
      </c>
      <c r="AC94" s="33">
        <f t="shared" si="362"/>
        <v>0.13577457300458562</v>
      </c>
      <c r="AD94" s="32">
        <f t="shared" si="362"/>
        <v>0.13972140143520473</v>
      </c>
      <c r="AE94" s="137">
        <f t="shared" si="362"/>
        <v>0.17573648805381581</v>
      </c>
      <c r="AF94" s="232">
        <f t="shared" si="362"/>
        <v>0.17795554389876073</v>
      </c>
      <c r="AG94" s="33">
        <f t="shared" ref="AG94:AK94" si="363">AG93/AG9</f>
        <v>0.20308564231738035</v>
      </c>
      <c r="AH94" s="33">
        <f t="shared" si="363"/>
        <v>0.19268488250169616</v>
      </c>
      <c r="AI94" s="32">
        <f t="shared" si="363"/>
        <v>0.20112649612766956</v>
      </c>
      <c r="AJ94" s="137">
        <f t="shared" si="363"/>
        <v>0.19399577561036219</v>
      </c>
      <c r="AK94" s="232">
        <f t="shared" si="363"/>
        <v>0.20081445660473402</v>
      </c>
      <c r="AL94" s="33">
        <f t="shared" ref="AL94:AP94" si="364">AL93/AL9</f>
        <v>0.21196518327816599</v>
      </c>
      <c r="AM94" s="33">
        <f t="shared" si="364"/>
        <v>0.20571057754704739</v>
      </c>
      <c r="AN94" s="32">
        <f t="shared" si="364"/>
        <v>0.19714806831371248</v>
      </c>
      <c r="AO94" s="137">
        <f t="shared" si="364"/>
        <v>0.20377493514625639</v>
      </c>
      <c r="AP94" s="232">
        <f t="shared" si="364"/>
        <v>0.20733124201231556</v>
      </c>
      <c r="AQ94" s="33">
        <f t="shared" ref="AQ94:AU94" si="365">AQ93/AQ9</f>
        <v>0.20731640731640733</v>
      </c>
      <c r="AR94" s="33">
        <f t="shared" si="365"/>
        <v>0.32724778387505277</v>
      </c>
      <c r="AS94" s="32">
        <f t="shared" si="365"/>
        <v>0.19703389830508475</v>
      </c>
      <c r="AT94" s="137">
        <f t="shared" si="365"/>
        <v>0.23516587039903103</v>
      </c>
      <c r="AU94" s="232">
        <f t="shared" si="365"/>
        <v>0.18445998445998446</v>
      </c>
      <c r="AV94" s="33">
        <f t="shared" ref="AV94:AZ94" si="366">AV93/AV9</f>
        <v>0.18442726491839725</v>
      </c>
      <c r="AW94" s="33">
        <f t="shared" si="366"/>
        <v>0.20080641146896311</v>
      </c>
      <c r="AX94" s="32">
        <f t="shared" si="366"/>
        <v>0.1958562641631596</v>
      </c>
      <c r="AY94" s="137">
        <f t="shared" si="366"/>
        <v>0.19156519156519156</v>
      </c>
      <c r="AZ94" s="232">
        <f t="shared" si="366"/>
        <v>0.20269870974096327</v>
      </c>
      <c r="BA94" s="33">
        <f t="shared" ref="BA94:BE94" si="367">BA93/BA9</f>
        <v>0.20277095593345998</v>
      </c>
      <c r="BB94" s="33">
        <f t="shared" si="367"/>
        <v>0.20375478245395498</v>
      </c>
      <c r="BC94" s="32">
        <f t="shared" si="367"/>
        <v>0.19461176664741314</v>
      </c>
      <c r="BD94" s="137">
        <f t="shared" si="367"/>
        <v>0.20077198288996986</v>
      </c>
      <c r="BE94" s="232">
        <f t="shared" si="367"/>
        <v>0.2080992933502446</v>
      </c>
      <c r="BF94" s="33">
        <f t="shared" ref="BF94" si="368">BF93/BF9</f>
        <v>0.20748987854251011</v>
      </c>
      <c r="BG94" s="193">
        <f t="shared" ref="BG94" si="369">$BI94</f>
        <v>0.2</v>
      </c>
      <c r="BH94" s="120">
        <f>BH93/BH9</f>
        <v>0.18558914681331984</v>
      </c>
      <c r="BI94" s="377">
        <v>0.2</v>
      </c>
      <c r="BK94" s="112"/>
      <c r="BM94"/>
    </row>
    <row r="95" spans="1:65">
      <c r="A95" s="1"/>
      <c r="B95" s="41"/>
      <c r="C95" s="41"/>
      <c r="D95" s="37"/>
      <c r="E95" s="21"/>
      <c r="F95" s="38"/>
      <c r="G95" s="41"/>
      <c r="H95" s="41"/>
      <c r="I95" s="41"/>
      <c r="J95" s="21"/>
      <c r="K95" s="43"/>
      <c r="L95" s="41"/>
      <c r="M95" s="41"/>
      <c r="N95" s="41"/>
      <c r="O95" s="21"/>
      <c r="P95" s="43"/>
      <c r="Q95" s="41"/>
      <c r="R95" s="41"/>
      <c r="S95" s="41"/>
      <c r="T95" s="21"/>
      <c r="U95" s="43"/>
      <c r="V95" s="41"/>
      <c r="W95" s="41"/>
      <c r="X95" s="41"/>
      <c r="Y95" s="21"/>
      <c r="Z95" s="43"/>
      <c r="AA95" s="41"/>
      <c r="AB95" s="42"/>
      <c r="AC95" s="42"/>
      <c r="AD95" s="42"/>
      <c r="AE95" s="22"/>
      <c r="AF95" s="41"/>
      <c r="AG95" s="42"/>
      <c r="AH95" s="42"/>
      <c r="AI95" s="42"/>
      <c r="AJ95" s="22"/>
      <c r="AK95" s="41"/>
      <c r="AL95" s="42"/>
      <c r="AM95" s="42"/>
      <c r="AN95" s="42"/>
      <c r="AO95" s="22"/>
      <c r="AP95" s="41"/>
      <c r="AQ95" s="42"/>
      <c r="AR95" s="42"/>
      <c r="AS95" s="42"/>
      <c r="AT95" s="22"/>
      <c r="AU95" s="41"/>
      <c r="AV95" s="42"/>
      <c r="AW95" s="42"/>
      <c r="AX95" s="42"/>
      <c r="AY95" s="22"/>
      <c r="AZ95" s="41"/>
      <c r="BA95" s="42"/>
      <c r="BB95" s="42"/>
      <c r="BC95" s="42"/>
      <c r="BD95" s="22"/>
      <c r="BE95" s="41"/>
      <c r="BF95" s="42"/>
      <c r="BG95" s="42"/>
      <c r="BH95" s="42"/>
      <c r="BI95" s="22"/>
      <c r="BK95" s="112"/>
      <c r="BM95"/>
    </row>
    <row r="96" spans="1:65">
      <c r="A96" s="4" t="s">
        <v>314</v>
      </c>
      <c r="B96" s="34"/>
      <c r="C96" s="35"/>
      <c r="D96" s="35"/>
      <c r="E96" s="35"/>
      <c r="F96" s="36"/>
      <c r="G96" s="34"/>
      <c r="H96" s="35"/>
      <c r="I96" s="35"/>
      <c r="J96" s="35"/>
      <c r="K96" s="36"/>
      <c r="L96" s="34"/>
      <c r="M96" s="35"/>
      <c r="N96" s="35"/>
      <c r="O96" s="35"/>
      <c r="P96" s="36"/>
      <c r="Q96" s="34"/>
      <c r="R96" s="35"/>
      <c r="S96" s="35"/>
      <c r="T96" s="35"/>
      <c r="U96" s="36"/>
      <c r="V96" s="41"/>
      <c r="W96" s="41"/>
      <c r="X96" s="35"/>
      <c r="Y96" s="35"/>
      <c r="Z96" s="36"/>
      <c r="AA96" s="232"/>
      <c r="AB96" s="33"/>
      <c r="AC96" s="33"/>
      <c r="AD96" s="33"/>
      <c r="AE96" s="137"/>
      <c r="AF96" s="232"/>
      <c r="AG96" s="33"/>
      <c r="AH96" s="33"/>
      <c r="AI96" s="33"/>
      <c r="AJ96" s="137"/>
      <c r="AK96" s="232"/>
      <c r="AL96" s="33"/>
      <c r="AM96" s="33"/>
      <c r="AN96" s="33"/>
      <c r="AO96" s="137"/>
      <c r="AP96" s="232"/>
      <c r="AQ96" s="33"/>
      <c r="AR96" s="33"/>
      <c r="AS96" s="33"/>
      <c r="AT96" s="137"/>
      <c r="AU96" s="232"/>
      <c r="AV96" s="33"/>
      <c r="AW96" s="33"/>
      <c r="AX96" s="33"/>
      <c r="AY96" s="137"/>
      <c r="AZ96" s="232"/>
      <c r="BA96" s="33"/>
      <c r="BB96" s="33"/>
      <c r="BC96" s="33"/>
      <c r="BD96" s="137"/>
      <c r="BE96" s="232"/>
      <c r="BF96" s="33"/>
      <c r="BG96" s="33"/>
      <c r="BH96" s="35"/>
      <c r="BI96" s="36"/>
      <c r="BK96" s="112"/>
      <c r="BM96"/>
    </row>
    <row r="97" spans="1:74">
      <c r="A97" s="1" t="s">
        <v>289</v>
      </c>
      <c r="B97" s="34"/>
      <c r="C97" s="35"/>
      <c r="D97" s="35"/>
      <c r="E97" s="35"/>
      <c r="F97" s="36"/>
      <c r="G97" s="34"/>
      <c r="H97" s="35"/>
      <c r="I97" s="35"/>
      <c r="J97" s="35"/>
      <c r="K97" s="36"/>
      <c r="L97" s="34"/>
      <c r="M97" s="35"/>
      <c r="N97" s="35"/>
      <c r="O97" s="35"/>
      <c r="P97" s="36"/>
      <c r="Q97" s="34"/>
      <c r="R97" s="35"/>
      <c r="S97" s="35"/>
      <c r="T97" s="35"/>
      <c r="U97" s="36"/>
      <c r="V97" s="41"/>
      <c r="W97" s="41"/>
      <c r="X97" s="35"/>
      <c r="Y97" s="35"/>
      <c r="Z97" s="36"/>
      <c r="AA97" s="232">
        <f>-AA86/AA9</f>
        <v>2.9071347062978863E-2</v>
      </c>
      <c r="AB97" s="33">
        <f>-AB86/AB9</f>
        <v>4.7498633132859486E-2</v>
      </c>
      <c r="AC97" s="33">
        <f t="shared" ref="AC97:AD97" si="370">-AC86/AC9</f>
        <v>4.2666312221705326E-2</v>
      </c>
      <c r="AD97" s="32">
        <f t="shared" si="370"/>
        <v>4.2814930953385996E-2</v>
      </c>
      <c r="AE97" s="137">
        <f>-AE86/AE9</f>
        <v>3.9928864145983144E-2</v>
      </c>
      <c r="AF97" s="232">
        <f>-AF86/AF9</f>
        <v>3.8620418333224049E-2</v>
      </c>
      <c r="AG97" s="33">
        <f>-AG86/AG9</f>
        <v>4.13727959697733E-2</v>
      </c>
      <c r="AH97" s="33">
        <f t="shared" ref="AH97:AI97" si="371">-AH86/AH9</f>
        <v>4.1694936162338866E-2</v>
      </c>
      <c r="AI97" s="32">
        <f t="shared" si="371"/>
        <v>4.752405538605961E-2</v>
      </c>
      <c r="AJ97" s="137">
        <f>-AJ86/AJ9</f>
        <v>4.2430266509287447E-2</v>
      </c>
      <c r="AK97" s="232">
        <f>-AK86/AK9</f>
        <v>4.0404683125477223E-2</v>
      </c>
      <c r="AL97" s="33">
        <f>-AL86/AL9</f>
        <v>4.2785337746720609E-2</v>
      </c>
      <c r="AM97" s="33">
        <f t="shared" ref="AM97:AN97" si="372">-AM86/AM9</f>
        <v>3.905374314199752E-2</v>
      </c>
      <c r="AN97" s="32">
        <f t="shared" si="372"/>
        <v>3.9573315646935281E-2</v>
      </c>
      <c r="AO97" s="137">
        <f>-AO86/AO9</f>
        <v>4.0418045740525391E-2</v>
      </c>
      <c r="AP97" s="232">
        <f>-AP86/AP9</f>
        <v>3.5261996049726969E-2</v>
      </c>
      <c r="AQ97" s="33">
        <f>-AQ86/AQ9</f>
        <v>3.9803439803439804E-2</v>
      </c>
      <c r="AR97" s="33">
        <f t="shared" ref="AR97:AS97" si="373">-AR86/AR9</f>
        <v>3.7568594343604898E-2</v>
      </c>
      <c r="AS97" s="32">
        <f t="shared" si="373"/>
        <v>3.8186037126715096E-2</v>
      </c>
      <c r="AT97" s="137">
        <f>-AT86/AT9</f>
        <v>3.7749814951887492E-2</v>
      </c>
      <c r="AU97" s="232">
        <f>-AU86/AU9</f>
        <v>3.4654234654234652E-2</v>
      </c>
      <c r="AV97" s="33">
        <f>-AV86/AV9</f>
        <v>3.5672780556818759E-2</v>
      </c>
      <c r="AW97" s="33">
        <f t="shared" ref="AW97:AX97" si="374">-AW86/AW9</f>
        <v>3.7383642789586342E-2</v>
      </c>
      <c r="AX97" s="32">
        <f t="shared" si="374"/>
        <v>3.7367617814364332E-2</v>
      </c>
      <c r="AY97" s="137">
        <f>-AY86/AY9</f>
        <v>3.6308286308286308E-2</v>
      </c>
      <c r="AZ97" s="232">
        <f>-AZ86/AZ9</f>
        <v>3.1370038412291933E-2</v>
      </c>
      <c r="BA97" s="33">
        <f>-BA86/BA9</f>
        <v>3.2296927853204205E-2</v>
      </c>
      <c r="BB97" s="33">
        <f t="shared" ref="BB97:BC97" si="375">-BB86/BB9</f>
        <v>3.0429753536791528E-2</v>
      </c>
      <c r="BC97" s="32">
        <f t="shared" si="375"/>
        <v>3.2552190774816407E-2</v>
      </c>
      <c r="BD97" s="137">
        <f>-BD86/BD9</f>
        <v>3.1680642867622989E-2</v>
      </c>
      <c r="BE97" s="232">
        <f>-BE86/BE9</f>
        <v>2.8401884399347706E-2</v>
      </c>
      <c r="BF97" s="33">
        <f>-BF86/BF9</f>
        <v>2.9392712550607287E-2</v>
      </c>
      <c r="BG97" s="196">
        <v>0.04</v>
      </c>
      <c r="BH97" s="196">
        <v>0.04</v>
      </c>
      <c r="BI97" s="36">
        <f>-BI86/BI9</f>
        <v>3.4603410858101119E-2</v>
      </c>
      <c r="BK97" s="112"/>
      <c r="BM97"/>
    </row>
    <row r="98" spans="1:74">
      <c r="A98" s="1" t="s">
        <v>290</v>
      </c>
      <c r="B98" s="34"/>
      <c r="C98" s="35"/>
      <c r="D98" s="35"/>
      <c r="E98" s="35"/>
      <c r="F98" s="36"/>
      <c r="G98" s="34"/>
      <c r="H98" s="35"/>
      <c r="I98" s="35"/>
      <c r="J98" s="35"/>
      <c r="K98" s="36"/>
      <c r="L98" s="34"/>
      <c r="M98" s="35"/>
      <c r="N98" s="35"/>
      <c r="O98" s="35"/>
      <c r="P98" s="36"/>
      <c r="Q98" s="34"/>
      <c r="R98" s="35"/>
      <c r="S98" s="35"/>
      <c r="T98" s="35"/>
      <c r="U98" s="36"/>
      <c r="V98" s="34"/>
      <c r="W98" s="35"/>
      <c r="X98" s="35"/>
      <c r="Y98" s="35"/>
      <c r="Z98" s="36"/>
      <c r="AA98" s="232">
        <f>-AA87/AA9</f>
        <v>9.2647937836222355E-2</v>
      </c>
      <c r="AB98" s="33">
        <f>-AB87/AB9</f>
        <v>0.12376981957353746</v>
      </c>
      <c r="AC98" s="33">
        <f t="shared" ref="AC98:AD98" si="376">-AC87/AC9</f>
        <v>9.3108260782880314E-2</v>
      </c>
      <c r="AD98" s="32">
        <f t="shared" si="376"/>
        <v>8.1468974250738707E-2</v>
      </c>
      <c r="AE98" s="137">
        <f>-AE87/AE9</f>
        <v>9.6930333256011747E-2</v>
      </c>
      <c r="AF98" s="232">
        <f>-AF87/AF9</f>
        <v>7.9994754442331645E-2</v>
      </c>
      <c r="AG98" s="33">
        <f>-AG87/AG9</f>
        <v>8.6146095717884133E-2</v>
      </c>
      <c r="AH98" s="33">
        <f t="shared" ref="AH98:AI98" si="377">-AH87/AH9</f>
        <v>7.5803367667920799E-2</v>
      </c>
      <c r="AI98" s="32">
        <f t="shared" si="377"/>
        <v>8.255104435578503E-2</v>
      </c>
      <c r="AJ98" s="137">
        <f>-AJ87/AJ9</f>
        <v>8.1133130396968373E-2</v>
      </c>
      <c r="AK98" s="232">
        <f>-AK87/AK9</f>
        <v>9.3471621277678801E-2</v>
      </c>
      <c r="AL98" s="33">
        <f>-AL87/AL9</f>
        <v>8.7286992766948637E-2</v>
      </c>
      <c r="AM98" s="33">
        <f t="shared" ref="AM98:AN98" si="378">-AM87/AM9</f>
        <v>8.2060055453955519E-2</v>
      </c>
      <c r="AN98" s="32">
        <f t="shared" si="378"/>
        <v>7.6217321616094624E-2</v>
      </c>
      <c r="AO98" s="137">
        <f>-AO87/AO9</f>
        <v>8.4429137967021492E-2</v>
      </c>
      <c r="AP98" s="232">
        <f>-AP87/AP9</f>
        <v>8.121296619031021E-2</v>
      </c>
      <c r="AQ98" s="33">
        <f>-AQ87/AQ9</f>
        <v>8.9271089271089274E-2</v>
      </c>
      <c r="AR98" s="33">
        <f t="shared" ref="AR98:AS98" si="379">-AR87/AR9</f>
        <v>7.3923596454200088E-2</v>
      </c>
      <c r="AS98" s="32">
        <f t="shared" si="379"/>
        <v>7.2891444713478609E-2</v>
      </c>
      <c r="AT98" s="137">
        <f>-AT87/AT9</f>
        <v>7.9119843886683264E-2</v>
      </c>
      <c r="AU98" s="232">
        <f>-AU87/AU9</f>
        <v>7.2209272209272216E-2</v>
      </c>
      <c r="AV98" s="33">
        <f>-AV87/AV9</f>
        <v>7.3215097771714421E-2</v>
      </c>
      <c r="AW98" s="33">
        <f t="shared" ref="AW98:AX98" si="380">-AW87/AW9</f>
        <v>6.9142316690726263E-2</v>
      </c>
      <c r="AX98" s="32">
        <f t="shared" si="380"/>
        <v>7.2792859455209732E-2</v>
      </c>
      <c r="AY98" s="137">
        <f>-AY87/AY9</f>
        <v>7.1849321849321843E-2</v>
      </c>
      <c r="AZ98" s="232">
        <f>-AZ87/AZ9</f>
        <v>7.1308972717423424E-2</v>
      </c>
      <c r="BA98" s="33">
        <f>-BA87/BA9</f>
        <v>7.2888188684490984E-2</v>
      </c>
      <c r="BB98" s="33">
        <f t="shared" ref="BB98:BC98" si="381">-BB87/BB9</f>
        <v>6.3884687249755323E-2</v>
      </c>
      <c r="BC98" s="32">
        <f t="shared" si="381"/>
        <v>6.7579833319580826E-2</v>
      </c>
      <c r="BD98" s="137">
        <f>-BD87/BD9</f>
        <v>6.8789995824069167E-2</v>
      </c>
      <c r="BE98" s="232">
        <f>-BE87/BE9</f>
        <v>6.6859938394636706E-2</v>
      </c>
      <c r="BF98" s="33">
        <f>-BF87/BF9</f>
        <v>6.71255060728745E-2</v>
      </c>
      <c r="BG98" s="217">
        <v>0.08</v>
      </c>
      <c r="BH98" s="217">
        <v>0.08</v>
      </c>
      <c r="BI98" s="36">
        <f>-BI87/BI9</f>
        <v>7.3665435245529556E-2</v>
      </c>
      <c r="BK98" s="112"/>
      <c r="BM98"/>
    </row>
    <row r="99" spans="1:74">
      <c r="A99" s="2"/>
      <c r="B99" s="34"/>
      <c r="C99" s="35"/>
      <c r="D99" s="35"/>
      <c r="E99" s="35"/>
      <c r="F99" s="36"/>
      <c r="G99" s="34"/>
      <c r="H99" s="35"/>
      <c r="I99" s="35"/>
      <c r="J99" s="35"/>
      <c r="K99" s="36"/>
      <c r="L99" s="34"/>
      <c r="M99" s="35"/>
      <c r="N99" s="35"/>
      <c r="O99" s="35"/>
      <c r="P99" s="36"/>
      <c r="Q99" s="34"/>
      <c r="R99" s="35"/>
      <c r="S99" s="35"/>
      <c r="T99" s="35"/>
      <c r="U99" s="36"/>
      <c r="V99" s="34"/>
      <c r="W99" s="35"/>
      <c r="X99" s="35"/>
      <c r="Y99" s="35"/>
      <c r="Z99" s="36"/>
      <c r="AA99" s="232"/>
      <c r="AB99" s="33"/>
      <c r="AC99" s="33"/>
      <c r="AD99" s="33"/>
      <c r="AE99" s="137"/>
      <c r="AF99" s="232"/>
      <c r="AG99" s="35"/>
      <c r="AH99" s="33"/>
      <c r="AI99" s="33"/>
      <c r="AJ99" s="137"/>
      <c r="AK99" s="232"/>
      <c r="AL99" s="35"/>
      <c r="AM99" s="33"/>
      <c r="AN99" s="33"/>
      <c r="AO99" s="137"/>
      <c r="AP99" s="232"/>
      <c r="AQ99" s="35"/>
      <c r="AR99" s="33"/>
      <c r="AS99" s="33"/>
      <c r="AT99" s="137"/>
      <c r="AU99" s="232"/>
      <c r="AV99" s="33"/>
      <c r="AW99" s="33"/>
      <c r="AX99" s="35"/>
      <c r="AY99" s="36"/>
      <c r="AZ99" s="232"/>
      <c r="BA99" s="33"/>
      <c r="BB99" s="33"/>
      <c r="BC99" s="35"/>
      <c r="BD99" s="36"/>
      <c r="BE99" s="232"/>
      <c r="BF99" s="33"/>
      <c r="BG99" s="33"/>
      <c r="BH99" s="35"/>
      <c r="BI99" s="36"/>
      <c r="BK99" s="112"/>
      <c r="BM99"/>
    </row>
    <row r="100" spans="1:74">
      <c r="A100" s="13" t="s">
        <v>63</v>
      </c>
      <c r="B100" s="68"/>
      <c r="C100" s="69"/>
      <c r="D100" s="69"/>
      <c r="E100" s="49"/>
      <c r="F100" s="40"/>
      <c r="G100" s="68"/>
      <c r="H100" s="69"/>
      <c r="I100" s="69"/>
      <c r="J100" s="49"/>
      <c r="K100" s="40"/>
      <c r="L100" s="68"/>
      <c r="M100" s="69"/>
      <c r="N100" s="69"/>
      <c r="O100" s="49"/>
      <c r="P100" s="40"/>
      <c r="Q100" s="68"/>
      <c r="R100" s="69"/>
      <c r="S100" s="69"/>
      <c r="T100" s="49"/>
      <c r="U100" s="40"/>
      <c r="V100" s="68"/>
      <c r="W100" s="69"/>
      <c r="X100" s="69"/>
      <c r="Y100" s="49"/>
      <c r="Z100" s="40"/>
      <c r="AA100" s="413"/>
      <c r="AB100" s="414"/>
      <c r="AC100" s="414"/>
      <c r="AD100" s="403"/>
      <c r="AE100" s="40"/>
      <c r="AF100" s="413"/>
      <c r="AG100" s="69"/>
      <c r="AH100" s="414"/>
      <c r="AI100" s="403"/>
      <c r="AJ100" s="40"/>
      <c r="AK100" s="413"/>
      <c r="AL100" s="69"/>
      <c r="AM100" s="414"/>
      <c r="AN100" s="403"/>
      <c r="AO100" s="40"/>
      <c r="AP100" s="413"/>
      <c r="AQ100" s="69"/>
      <c r="AR100" s="414"/>
      <c r="AS100" s="403"/>
      <c r="AT100" s="40"/>
      <c r="AU100" s="413"/>
      <c r="AV100" s="414"/>
      <c r="AW100" s="414"/>
      <c r="AX100" s="49"/>
      <c r="AY100" s="40"/>
      <c r="AZ100" s="413"/>
      <c r="BA100" s="414"/>
      <c r="BB100" s="414"/>
      <c r="BC100" s="49"/>
      <c r="BD100" s="40"/>
      <c r="BE100" s="413"/>
      <c r="BF100" s="414"/>
      <c r="BG100" s="414"/>
      <c r="BH100" s="49"/>
      <c r="BI100" s="40"/>
      <c r="BK100" s="112"/>
      <c r="BM100"/>
    </row>
    <row r="101" spans="1:74">
      <c r="A101" s="1" t="s">
        <v>61</v>
      </c>
      <c r="B101" s="21"/>
      <c r="C101" s="21"/>
      <c r="D101" s="37"/>
      <c r="E101" s="21"/>
      <c r="F101" s="38"/>
      <c r="G101" s="21"/>
      <c r="H101" s="21"/>
      <c r="I101" s="21"/>
      <c r="J101" s="21"/>
      <c r="K101" s="22"/>
      <c r="L101" s="21"/>
      <c r="M101" s="21"/>
      <c r="N101" s="21"/>
      <c r="O101" s="21"/>
      <c r="P101" s="22"/>
      <c r="Q101" s="21"/>
      <c r="R101" s="21"/>
      <c r="S101" s="21"/>
      <c r="T101" s="21"/>
      <c r="U101" s="22"/>
      <c r="V101" s="216">
        <f t="shared" ref="V101:Y101" si="382">SUM(V20,-V32)</f>
        <v>11</v>
      </c>
      <c r="W101" s="21">
        <f t="shared" si="382"/>
        <v>19</v>
      </c>
      <c r="X101" s="21">
        <f t="shared" si="382"/>
        <v>39</v>
      </c>
      <c r="Y101" s="180">
        <f t="shared" si="382"/>
        <v>3</v>
      </c>
      <c r="Z101" s="22">
        <f>SUM(Z20,-Z32)</f>
        <v>72</v>
      </c>
      <c r="AA101" s="216">
        <f t="shared" ref="AA101:AG101" si="383">SUM(AA20,-AA32)</f>
        <v>158</v>
      </c>
      <c r="AB101" s="21">
        <f t="shared" si="383"/>
        <v>132</v>
      </c>
      <c r="AC101" s="21">
        <f t="shared" si="383"/>
        <v>148</v>
      </c>
      <c r="AD101" s="180">
        <f t="shared" si="383"/>
        <v>134</v>
      </c>
      <c r="AE101" s="22">
        <f t="shared" si="383"/>
        <v>572</v>
      </c>
      <c r="AF101" s="216">
        <f t="shared" si="383"/>
        <v>390</v>
      </c>
      <c r="AG101" s="21">
        <f t="shared" si="383"/>
        <v>389</v>
      </c>
      <c r="AH101" s="21">
        <f t="shared" ref="AH101:AL101" si="384">SUM(AH20,-AH32)</f>
        <v>389</v>
      </c>
      <c r="AI101" s="180">
        <f t="shared" si="384"/>
        <v>388</v>
      </c>
      <c r="AJ101" s="22">
        <f t="shared" si="384"/>
        <v>1556</v>
      </c>
      <c r="AK101" s="216">
        <f t="shared" si="384"/>
        <v>389</v>
      </c>
      <c r="AL101" s="21">
        <f t="shared" si="384"/>
        <v>382</v>
      </c>
      <c r="AM101" s="21">
        <f t="shared" ref="AM101:AQ101" si="385">SUM(AM20,-AM32)</f>
        <v>377</v>
      </c>
      <c r="AN101" s="180">
        <f t="shared" si="385"/>
        <v>383</v>
      </c>
      <c r="AO101" s="22">
        <f t="shared" si="385"/>
        <v>1531</v>
      </c>
      <c r="AP101" s="216">
        <f t="shared" si="385"/>
        <v>406</v>
      </c>
      <c r="AQ101" s="21">
        <f t="shared" si="385"/>
        <v>355</v>
      </c>
      <c r="AR101" s="21">
        <f t="shared" ref="AR101:AU101" si="386">SUM(AR20,-AR32)</f>
        <v>405</v>
      </c>
      <c r="AS101" s="180">
        <f t="shared" si="386"/>
        <v>471</v>
      </c>
      <c r="AT101" s="22">
        <f t="shared" si="386"/>
        <v>1637</v>
      </c>
      <c r="AU101" s="216">
        <f t="shared" si="386"/>
        <v>364.86075949367091</v>
      </c>
      <c r="AV101" s="21">
        <f t="shared" ref="AV101" si="387">SUM(AV20,-AV32)</f>
        <v>343</v>
      </c>
      <c r="AW101" s="21">
        <f t="shared" ref="AW101:BA101" si="388">SUM(AW20,-AW32)</f>
        <v>344</v>
      </c>
      <c r="AX101" s="180">
        <f t="shared" si="388"/>
        <v>349</v>
      </c>
      <c r="AY101" s="22">
        <f t="shared" si="388"/>
        <v>1400.8607594936709</v>
      </c>
      <c r="AZ101" s="216">
        <f t="shared" si="388"/>
        <v>336</v>
      </c>
      <c r="BA101" s="21">
        <f t="shared" si="388"/>
        <v>321</v>
      </c>
      <c r="BB101" s="21">
        <f t="shared" ref="BB101:BE101" si="389">SUM(BB20,-BB32)</f>
        <v>334</v>
      </c>
      <c r="BC101" s="180">
        <f t="shared" si="389"/>
        <v>71</v>
      </c>
      <c r="BD101" s="22">
        <f t="shared" si="389"/>
        <v>1062</v>
      </c>
      <c r="BE101" s="216">
        <f t="shared" si="389"/>
        <v>329</v>
      </c>
      <c r="BF101" s="21">
        <f t="shared" ref="BF101:BG101" si="390">SUM(BF20,-BF32)</f>
        <v>321</v>
      </c>
      <c r="BG101" s="21">
        <f t="shared" si="390"/>
        <v>309</v>
      </c>
      <c r="BH101" s="180">
        <f t="shared" ref="BH101:BI101" si="391">SUM(BH20,-BH32)</f>
        <v>291</v>
      </c>
      <c r="BI101" s="22">
        <f t="shared" si="391"/>
        <v>1250</v>
      </c>
      <c r="BK101" s="112"/>
      <c r="BM101"/>
    </row>
    <row r="102" spans="1:74">
      <c r="A102" s="1" t="s">
        <v>45</v>
      </c>
      <c r="B102" s="21"/>
      <c r="C102" s="21"/>
      <c r="D102" s="37"/>
      <c r="E102" s="21"/>
      <c r="F102" s="38"/>
      <c r="G102" s="21"/>
      <c r="H102" s="21"/>
      <c r="I102" s="21"/>
      <c r="J102" s="21"/>
      <c r="K102" s="22"/>
      <c r="L102" s="21"/>
      <c r="M102" s="21"/>
      <c r="N102" s="21"/>
      <c r="O102" s="21"/>
      <c r="P102" s="22"/>
      <c r="Q102" s="21"/>
      <c r="R102" s="21"/>
      <c r="S102" s="21"/>
      <c r="T102" s="21"/>
      <c r="U102" s="22"/>
      <c r="V102" s="21" t="str">
        <f t="shared" ref="V102:AD102" si="392">V21</f>
        <v>ND</v>
      </c>
      <c r="W102" s="21" t="str">
        <f t="shared" si="392"/>
        <v>ND</v>
      </c>
      <c r="X102" s="21" t="str">
        <f t="shared" si="392"/>
        <v>ND</v>
      </c>
      <c r="Y102" s="21" t="str">
        <f t="shared" si="392"/>
        <v>ND</v>
      </c>
      <c r="Z102" s="22" t="str">
        <f t="shared" si="392"/>
        <v>ND</v>
      </c>
      <c r="AA102" s="21">
        <f t="shared" si="392"/>
        <v>499</v>
      </c>
      <c r="AB102" s="21">
        <f t="shared" si="392"/>
        <v>497</v>
      </c>
      <c r="AC102" s="21">
        <f t="shared" si="392"/>
        <v>498</v>
      </c>
      <c r="AD102" s="21">
        <f t="shared" si="392"/>
        <v>488</v>
      </c>
      <c r="AE102" s="22">
        <f>SUM(AA102:AD102)</f>
        <v>1982</v>
      </c>
      <c r="AF102" s="21">
        <f t="shared" ref="AF102" si="393">AF21</f>
        <v>524</v>
      </c>
      <c r="AG102" s="21">
        <f>AG21</f>
        <v>526</v>
      </c>
      <c r="AH102" s="21">
        <f t="shared" ref="AH102:AI102" si="394">AH21</f>
        <v>601</v>
      </c>
      <c r="AI102" s="21">
        <f t="shared" si="394"/>
        <v>550</v>
      </c>
      <c r="AJ102" s="22">
        <f>SUM(AF102:AI102)</f>
        <v>2201</v>
      </c>
      <c r="AK102" s="21">
        <f t="shared" ref="AK102" si="395">AK21</f>
        <v>469</v>
      </c>
      <c r="AL102" s="21">
        <f>AL21</f>
        <v>471</v>
      </c>
      <c r="AM102" s="21">
        <f t="shared" ref="AM102:AN102" si="396">AM21</f>
        <v>469</v>
      </c>
      <c r="AN102" s="21">
        <f t="shared" si="396"/>
        <v>476</v>
      </c>
      <c r="AO102" s="22">
        <f>SUM(AK102:AN102)</f>
        <v>1885</v>
      </c>
      <c r="AP102" s="21">
        <f t="shared" ref="AP102" si="397">AP21</f>
        <v>329</v>
      </c>
      <c r="AQ102" s="21">
        <f>AQ21</f>
        <v>376</v>
      </c>
      <c r="AR102" s="21">
        <f t="shared" ref="AR102:AS102" si="398">AR21</f>
        <v>310</v>
      </c>
      <c r="AS102" s="21">
        <f t="shared" si="398"/>
        <v>257</v>
      </c>
      <c r="AT102" s="22">
        <f>SUM(AP102:AS102)</f>
        <v>1272</v>
      </c>
      <c r="AU102" s="21">
        <f t="shared" ref="AU102" si="399">AU21</f>
        <v>249</v>
      </c>
      <c r="AV102" s="21">
        <f t="shared" ref="AV102" si="400">AV21</f>
        <v>246</v>
      </c>
      <c r="AW102" s="21">
        <f t="shared" ref="AW102:AX102" si="401">AW21</f>
        <v>244</v>
      </c>
      <c r="AX102" s="21">
        <f t="shared" si="401"/>
        <v>232</v>
      </c>
      <c r="AY102" s="22">
        <f>SUM(AU102:AX102)</f>
        <v>971</v>
      </c>
      <c r="AZ102" s="21">
        <f t="shared" ref="AZ102:BC102" si="402">AZ21</f>
        <v>215</v>
      </c>
      <c r="BA102" s="21">
        <f t="shared" si="402"/>
        <v>216</v>
      </c>
      <c r="BB102" s="21">
        <f t="shared" si="402"/>
        <v>229</v>
      </c>
      <c r="BC102" s="21">
        <f t="shared" si="402"/>
        <v>213</v>
      </c>
      <c r="BD102" s="22">
        <f>SUM(AZ102:BC102)</f>
        <v>873</v>
      </c>
      <c r="BE102" s="21">
        <f t="shared" ref="BE102" si="403">BE21</f>
        <v>200</v>
      </c>
      <c r="BF102" s="21">
        <f t="shared" ref="BF102:BG102" si="404">BF21</f>
        <v>200</v>
      </c>
      <c r="BG102" s="21">
        <f t="shared" si="404"/>
        <v>200</v>
      </c>
      <c r="BH102" s="21">
        <f t="shared" ref="BH102" si="405">BH21</f>
        <v>200</v>
      </c>
      <c r="BI102" s="22">
        <f>SUM(BE102:BH102)</f>
        <v>800</v>
      </c>
      <c r="BK102" s="112"/>
      <c r="BM102"/>
    </row>
    <row r="103" spans="1:74">
      <c r="A103" s="13" t="s">
        <v>64</v>
      </c>
      <c r="B103" s="80"/>
      <c r="C103" s="80"/>
      <c r="D103" s="80"/>
      <c r="E103" s="172"/>
      <c r="F103" s="81"/>
      <c r="G103" s="80"/>
      <c r="H103" s="80"/>
      <c r="I103" s="80"/>
      <c r="J103" s="172"/>
      <c r="K103" s="81"/>
      <c r="L103" s="80"/>
      <c r="M103" s="80"/>
      <c r="N103" s="80"/>
      <c r="O103" s="172"/>
      <c r="P103" s="81"/>
      <c r="Q103" s="80"/>
      <c r="R103" s="80"/>
      <c r="S103" s="80"/>
      <c r="T103" s="172"/>
      <c r="U103" s="81"/>
      <c r="V103" s="80">
        <f>V22-V32</f>
        <v>367</v>
      </c>
      <c r="W103" s="80">
        <f>W22-W32</f>
        <v>372</v>
      </c>
      <c r="X103" s="80">
        <f t="shared" ref="X103:AG103" si="406">X22-X32</f>
        <v>390</v>
      </c>
      <c r="Y103" s="80">
        <f t="shared" si="406"/>
        <v>357</v>
      </c>
      <c r="Z103" s="81">
        <f t="shared" si="406"/>
        <v>1486</v>
      </c>
      <c r="AA103" s="80">
        <f t="shared" si="406"/>
        <v>657</v>
      </c>
      <c r="AB103" s="80">
        <f t="shared" si="406"/>
        <v>629</v>
      </c>
      <c r="AC103" s="80">
        <f t="shared" si="406"/>
        <v>646</v>
      </c>
      <c r="AD103" s="80">
        <f t="shared" si="406"/>
        <v>622</v>
      </c>
      <c r="AE103" s="81">
        <f t="shared" si="406"/>
        <v>2554</v>
      </c>
      <c r="AF103" s="80">
        <f t="shared" si="406"/>
        <v>914</v>
      </c>
      <c r="AG103" s="80">
        <f t="shared" si="406"/>
        <v>915</v>
      </c>
      <c r="AH103" s="80">
        <f t="shared" ref="AH103:AL103" si="407">AH22-AH32</f>
        <v>990</v>
      </c>
      <c r="AI103" s="80">
        <f t="shared" si="407"/>
        <v>938</v>
      </c>
      <c r="AJ103" s="81">
        <f t="shared" si="407"/>
        <v>3757</v>
      </c>
      <c r="AK103" s="80">
        <f t="shared" si="407"/>
        <v>858</v>
      </c>
      <c r="AL103" s="80">
        <f t="shared" si="407"/>
        <v>853</v>
      </c>
      <c r="AM103" s="80">
        <f t="shared" ref="AM103:AQ103" si="408">AM22-AM32</f>
        <v>846</v>
      </c>
      <c r="AN103" s="80">
        <f t="shared" si="408"/>
        <v>859</v>
      </c>
      <c r="AO103" s="81">
        <f t="shared" si="408"/>
        <v>3416</v>
      </c>
      <c r="AP103" s="80">
        <f t="shared" si="408"/>
        <v>735</v>
      </c>
      <c r="AQ103" s="80">
        <f t="shared" si="408"/>
        <v>731</v>
      </c>
      <c r="AR103" s="80">
        <f t="shared" ref="AR103:AU103" si="409">AR22-AR32</f>
        <v>715</v>
      </c>
      <c r="AS103" s="80">
        <f t="shared" si="409"/>
        <v>728</v>
      </c>
      <c r="AT103" s="81">
        <f t="shared" si="409"/>
        <v>2909</v>
      </c>
      <c r="AU103" s="80">
        <f t="shared" si="409"/>
        <v>613.86075949367091</v>
      </c>
      <c r="AV103" s="80">
        <f t="shared" ref="AV103" si="410">AV22-AV32</f>
        <v>589</v>
      </c>
      <c r="AW103" s="80">
        <f t="shared" ref="AW103:BA103" si="411">AW22-AW32</f>
        <v>588</v>
      </c>
      <c r="AX103" s="80">
        <f t="shared" si="411"/>
        <v>581</v>
      </c>
      <c r="AY103" s="81">
        <f t="shared" si="411"/>
        <v>2371.8607594936711</v>
      </c>
      <c r="AZ103" s="80">
        <f t="shared" si="411"/>
        <v>551</v>
      </c>
      <c r="BA103" s="80">
        <f t="shared" si="411"/>
        <v>537</v>
      </c>
      <c r="BB103" s="80">
        <f t="shared" ref="BB103:BE103" si="412">BB22-BB32</f>
        <v>563</v>
      </c>
      <c r="BC103" s="80">
        <f t="shared" si="412"/>
        <v>284</v>
      </c>
      <c r="BD103" s="81">
        <f t="shared" si="412"/>
        <v>1935</v>
      </c>
      <c r="BE103" s="80">
        <f t="shared" si="412"/>
        <v>529</v>
      </c>
      <c r="BF103" s="80">
        <f t="shared" ref="BF103:BG103" si="413">BF22-BF32</f>
        <v>521</v>
      </c>
      <c r="BG103" s="80">
        <f t="shared" si="413"/>
        <v>509</v>
      </c>
      <c r="BH103" s="80">
        <f t="shared" ref="BH103:BI103" si="414">BH22-BH32</f>
        <v>491</v>
      </c>
      <c r="BI103" s="81">
        <f t="shared" si="414"/>
        <v>2050</v>
      </c>
      <c r="BK103" s="112"/>
      <c r="BM103"/>
    </row>
    <row r="104" spans="1:74">
      <c r="A104" s="12" t="s">
        <v>38</v>
      </c>
      <c r="F104" s="26"/>
      <c r="K104" s="26"/>
      <c r="P104" s="26"/>
      <c r="U104" s="26"/>
      <c r="V104" s="25" t="b">
        <f>(V22+-V32)=V103</f>
        <v>1</v>
      </c>
      <c r="W104" s="25" t="b">
        <f>(W22+-W32)=W103</f>
        <v>1</v>
      </c>
      <c r="X104" s="25" t="b">
        <f t="shared" ref="X104:AG104" si="415">(X22+-X32)=X103</f>
        <v>1</v>
      </c>
      <c r="Y104" s="25" t="b">
        <f t="shared" si="415"/>
        <v>1</v>
      </c>
      <c r="Z104" s="26" t="b">
        <f t="shared" si="415"/>
        <v>1</v>
      </c>
      <c r="AA104" s="25" t="b">
        <f t="shared" si="415"/>
        <v>1</v>
      </c>
      <c r="AB104" s="25" t="b">
        <f t="shared" si="415"/>
        <v>1</v>
      </c>
      <c r="AC104" s="25" t="b">
        <f t="shared" si="415"/>
        <v>1</v>
      </c>
      <c r="AD104" s="25" t="b">
        <f t="shared" si="415"/>
        <v>1</v>
      </c>
      <c r="AE104" s="26" t="b">
        <f t="shared" si="415"/>
        <v>1</v>
      </c>
      <c r="AF104" s="25" t="b">
        <f t="shared" si="415"/>
        <v>1</v>
      </c>
      <c r="AG104" s="25" t="b">
        <f t="shared" si="415"/>
        <v>1</v>
      </c>
      <c r="AH104" s="25" t="b">
        <f t="shared" ref="AH104:AL104" si="416">(AH22+-AH32)=AH103</f>
        <v>1</v>
      </c>
      <c r="AI104" s="25" t="b">
        <f t="shared" si="416"/>
        <v>1</v>
      </c>
      <c r="AJ104" s="26" t="b">
        <f t="shared" si="416"/>
        <v>1</v>
      </c>
      <c r="AK104" s="25" t="b">
        <f t="shared" si="416"/>
        <v>1</v>
      </c>
      <c r="AL104" s="25" t="b">
        <f t="shared" si="416"/>
        <v>1</v>
      </c>
      <c r="AM104" s="25" t="b">
        <f t="shared" ref="AM104:AQ104" si="417">(AM22+-AM32)=AM103</f>
        <v>1</v>
      </c>
      <c r="AN104" s="25" t="b">
        <f t="shared" si="417"/>
        <v>1</v>
      </c>
      <c r="AO104" s="26" t="b">
        <f t="shared" si="417"/>
        <v>1</v>
      </c>
      <c r="AP104" s="25" t="b">
        <f t="shared" si="417"/>
        <v>1</v>
      </c>
      <c r="AQ104" s="25" t="b">
        <f t="shared" si="417"/>
        <v>1</v>
      </c>
      <c r="AR104" s="25" t="b">
        <f t="shared" ref="AR104:AU104" si="418">(AR22+-AR32)=AR103</f>
        <v>1</v>
      </c>
      <c r="AS104" s="25" t="b">
        <f t="shared" si="418"/>
        <v>1</v>
      </c>
      <c r="AT104" s="26" t="b">
        <f t="shared" si="418"/>
        <v>1</v>
      </c>
      <c r="AU104" s="25" t="b">
        <f t="shared" si="418"/>
        <v>1</v>
      </c>
      <c r="AV104" s="25" t="b">
        <f t="shared" ref="AV104" si="419">(AV22+-AV32)=AV103</f>
        <v>1</v>
      </c>
      <c r="AW104" s="25" t="b">
        <f t="shared" ref="AW104:BA104" si="420">(AW22+-AW32)=AW103</f>
        <v>1</v>
      </c>
      <c r="AX104" s="25" t="b">
        <f t="shared" si="420"/>
        <v>1</v>
      </c>
      <c r="AY104" s="26" t="b">
        <f t="shared" si="420"/>
        <v>1</v>
      </c>
      <c r="AZ104" s="25" t="b">
        <f t="shared" si="420"/>
        <v>1</v>
      </c>
      <c r="BA104" s="25" t="b">
        <f t="shared" si="420"/>
        <v>1</v>
      </c>
      <c r="BB104" s="25" t="b">
        <f t="shared" ref="BB104:BE104" si="421">(BB22+-BB32)=BB103</f>
        <v>1</v>
      </c>
      <c r="BC104" s="25" t="b">
        <f t="shared" si="421"/>
        <v>1</v>
      </c>
      <c r="BD104" s="26" t="b">
        <f t="shared" si="421"/>
        <v>1</v>
      </c>
      <c r="BE104" s="25" t="b">
        <f t="shared" si="421"/>
        <v>1</v>
      </c>
      <c r="BF104" s="25" t="b">
        <f t="shared" ref="BF104:BG104" si="422">(BF22+-BF32)=BF103</f>
        <v>1</v>
      </c>
      <c r="BG104" s="25" t="b">
        <f t="shared" si="422"/>
        <v>1</v>
      </c>
      <c r="BH104" s="25" t="b">
        <f t="shared" ref="BH104:BI104" si="423">(BH22+-BH32)=BH103</f>
        <v>1</v>
      </c>
      <c r="BI104" s="26" t="b">
        <f t="shared" si="423"/>
        <v>1</v>
      </c>
      <c r="BK104" s="112"/>
      <c r="BM104"/>
    </row>
    <row r="105" spans="1:74">
      <c r="A105" s="2"/>
      <c r="B105" s="34"/>
      <c r="C105" s="35"/>
      <c r="D105" s="35"/>
      <c r="E105" s="35"/>
      <c r="F105" s="36"/>
      <c r="G105" s="34"/>
      <c r="H105" s="35"/>
      <c r="I105" s="35"/>
      <c r="J105" s="35"/>
      <c r="K105" s="36"/>
      <c r="L105" s="34"/>
      <c r="M105" s="35"/>
      <c r="N105" s="35"/>
      <c r="O105" s="35"/>
      <c r="P105" s="36"/>
      <c r="Q105" s="34"/>
      <c r="R105" s="35"/>
      <c r="S105" s="35"/>
      <c r="T105" s="35"/>
      <c r="U105" s="36"/>
      <c r="V105" s="34"/>
      <c r="W105" s="35"/>
      <c r="X105" s="35"/>
      <c r="Y105" s="35"/>
      <c r="Z105" s="36"/>
      <c r="AA105" s="232"/>
      <c r="AB105" s="33"/>
      <c r="AC105" s="33"/>
      <c r="AD105" s="33"/>
      <c r="AE105" s="137"/>
      <c r="AF105" s="232"/>
      <c r="AG105" s="35"/>
      <c r="AH105" s="33"/>
      <c r="AI105" s="33"/>
      <c r="AJ105" s="137"/>
      <c r="AK105" s="232"/>
      <c r="AL105" s="35"/>
      <c r="AM105" s="33"/>
      <c r="AN105" s="33"/>
      <c r="AO105" s="137"/>
      <c r="AP105" s="232"/>
      <c r="AQ105" s="35"/>
      <c r="AR105" s="33"/>
      <c r="AS105" s="35"/>
      <c r="AT105" s="36"/>
      <c r="AU105" s="33"/>
      <c r="AV105" s="33"/>
      <c r="AW105" s="33"/>
      <c r="AX105" s="35"/>
      <c r="AY105" s="36"/>
      <c r="AZ105" s="33"/>
      <c r="BA105" s="33"/>
      <c r="BB105" s="33"/>
      <c r="BC105" s="35"/>
      <c r="BD105" s="36"/>
      <c r="BE105" s="33"/>
      <c r="BF105" s="33"/>
      <c r="BG105" s="33"/>
      <c r="BH105" s="35"/>
      <c r="BI105" s="36"/>
      <c r="BK105" s="112"/>
      <c r="BM105"/>
    </row>
    <row r="106" spans="1:74">
      <c r="A106" s="13" t="s">
        <v>249</v>
      </c>
      <c r="B106" s="41">
        <v>14</v>
      </c>
      <c r="C106" s="41">
        <v>13</v>
      </c>
      <c r="D106" s="41">
        <v>13</v>
      </c>
      <c r="E106" s="41">
        <v>13</v>
      </c>
      <c r="F106" s="22">
        <f>SUM(B106:E106)</f>
        <v>53</v>
      </c>
      <c r="G106" s="41">
        <v>13</v>
      </c>
      <c r="H106" s="41">
        <v>13</v>
      </c>
      <c r="I106" s="41">
        <v>13</v>
      </c>
      <c r="J106" s="41">
        <v>13</v>
      </c>
      <c r="K106" s="22">
        <f>SUM(G106:J106)</f>
        <v>52</v>
      </c>
      <c r="L106" s="41">
        <v>13</v>
      </c>
      <c r="M106" s="41">
        <v>13</v>
      </c>
      <c r="N106" s="41">
        <v>13</v>
      </c>
      <c r="O106" s="41">
        <v>13</v>
      </c>
      <c r="P106" s="22">
        <f>SUM(L106:O106)</f>
        <v>52</v>
      </c>
      <c r="Q106" s="41">
        <v>13</v>
      </c>
      <c r="R106" s="41">
        <v>13</v>
      </c>
      <c r="S106" s="41">
        <v>13</v>
      </c>
      <c r="T106" s="41">
        <v>13</v>
      </c>
      <c r="U106" s="22">
        <f>SUM(Q106:T106)</f>
        <v>52</v>
      </c>
      <c r="V106" s="41">
        <v>13</v>
      </c>
      <c r="W106" s="41">
        <v>13</v>
      </c>
      <c r="X106" s="41">
        <v>13</v>
      </c>
      <c r="Y106" s="41">
        <v>13</v>
      </c>
      <c r="Z106" s="22">
        <f>SUM(V106:Y106)</f>
        <v>52</v>
      </c>
      <c r="AA106" s="41">
        <v>13</v>
      </c>
      <c r="AB106" s="41">
        <v>13</v>
      </c>
      <c r="AC106" s="41">
        <v>13</v>
      </c>
      <c r="AD106" s="41">
        <v>13</v>
      </c>
      <c r="AE106" s="22">
        <f>SUM(AA106:AD106)</f>
        <v>52</v>
      </c>
      <c r="AF106" s="41">
        <v>13</v>
      </c>
      <c r="AG106" s="41">
        <v>13</v>
      </c>
      <c r="AH106" s="41">
        <v>13</v>
      </c>
      <c r="AI106" s="41">
        <v>13</v>
      </c>
      <c r="AJ106" s="22">
        <f>SUM(AF106:AI106)</f>
        <v>52</v>
      </c>
      <c r="AK106" s="41">
        <v>13</v>
      </c>
      <c r="AL106" s="41">
        <v>13</v>
      </c>
      <c r="AM106" s="41">
        <v>13</v>
      </c>
      <c r="AN106" s="41">
        <v>13</v>
      </c>
      <c r="AO106" s="22">
        <f>SUM(AK106:AN106)</f>
        <v>52</v>
      </c>
      <c r="AP106" s="41">
        <v>13</v>
      </c>
      <c r="AQ106" s="41">
        <v>13</v>
      </c>
      <c r="AR106" s="41">
        <v>13</v>
      </c>
      <c r="AS106" s="41">
        <v>13</v>
      </c>
      <c r="AT106" s="22">
        <f>SUM(AP106:AS106)</f>
        <v>52</v>
      </c>
      <c r="AU106" s="41">
        <v>13</v>
      </c>
      <c r="AV106" s="41">
        <v>13</v>
      </c>
      <c r="AW106" s="41">
        <v>13</v>
      </c>
      <c r="AX106" s="41">
        <v>13</v>
      </c>
      <c r="AY106" s="22">
        <f>SUM(AU106:AX106)</f>
        <v>52</v>
      </c>
      <c r="AZ106" s="41">
        <v>13</v>
      </c>
      <c r="BA106" s="41">
        <v>13</v>
      </c>
      <c r="BB106" s="41">
        <v>13</v>
      </c>
      <c r="BC106" s="41">
        <v>13</v>
      </c>
      <c r="BD106" s="22">
        <f>SUM(AZ106:BC106)</f>
        <v>52</v>
      </c>
      <c r="BE106" s="41">
        <v>13</v>
      </c>
      <c r="BF106" s="41">
        <v>13</v>
      </c>
      <c r="BG106" s="41">
        <v>13</v>
      </c>
      <c r="BH106" s="41">
        <v>13</v>
      </c>
      <c r="BI106" s="22">
        <f>SUM(BE106:BH106)</f>
        <v>52</v>
      </c>
      <c r="BK106" s="112"/>
      <c r="BM106"/>
    </row>
    <row r="107" spans="1:74">
      <c r="A107" s="2"/>
      <c r="B107" s="34"/>
      <c r="C107" s="35"/>
      <c r="D107" s="35"/>
      <c r="E107" s="35"/>
      <c r="F107" s="36"/>
      <c r="G107" s="34"/>
      <c r="H107" s="35"/>
      <c r="I107" s="35"/>
      <c r="J107" s="35"/>
      <c r="K107" s="36"/>
      <c r="L107" s="34"/>
      <c r="M107" s="35"/>
      <c r="N107" s="35"/>
      <c r="O107" s="35"/>
      <c r="P107" s="36"/>
      <c r="Q107" s="34"/>
      <c r="R107" s="35"/>
      <c r="S107" s="35"/>
      <c r="T107" s="35"/>
      <c r="U107" s="36"/>
      <c r="V107" s="34"/>
      <c r="W107" s="35"/>
      <c r="X107" s="35"/>
      <c r="Y107" s="35"/>
      <c r="Z107" s="36"/>
      <c r="AA107" s="34"/>
      <c r="AB107" s="35"/>
      <c r="AC107" s="35"/>
      <c r="AD107" s="35"/>
      <c r="AE107" s="36"/>
      <c r="AF107" s="35"/>
      <c r="AG107" s="35"/>
      <c r="AH107" s="35"/>
      <c r="AI107" s="35"/>
      <c r="AJ107" s="36"/>
      <c r="AK107" s="35"/>
      <c r="AL107" s="35"/>
      <c r="AM107" s="35"/>
      <c r="AN107" s="35"/>
      <c r="AO107" s="36"/>
      <c r="AP107" s="35"/>
      <c r="AQ107" s="35"/>
      <c r="AR107" s="35"/>
      <c r="AS107" s="35"/>
      <c r="AT107" s="36"/>
      <c r="AU107" s="35"/>
      <c r="AV107" s="35"/>
      <c r="AW107" s="35"/>
      <c r="AX107" s="35"/>
      <c r="AY107" s="36"/>
      <c r="AZ107" s="35"/>
      <c r="BA107" s="35"/>
      <c r="BB107" s="35"/>
      <c r="BC107" s="35"/>
      <c r="BD107" s="36"/>
      <c r="BE107" s="35"/>
      <c r="BF107" s="35"/>
      <c r="BG107" s="35"/>
      <c r="BH107" s="35"/>
      <c r="BI107" s="36"/>
      <c r="BK107" s="112"/>
      <c r="BM107"/>
    </row>
    <row r="108" spans="1:74">
      <c r="BK108" s="112"/>
      <c r="BM108"/>
    </row>
    <row r="109" spans="1:74">
      <c r="A109" s="116" t="s">
        <v>229</v>
      </c>
      <c r="B109" s="71"/>
      <c r="C109" s="71"/>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1"/>
      <c r="AI109" s="71"/>
      <c r="AJ109" s="71"/>
      <c r="AK109" s="71"/>
      <c r="AL109" s="71"/>
      <c r="AM109" s="71"/>
      <c r="AN109" s="71"/>
      <c r="AO109" s="71"/>
      <c r="AP109" s="71"/>
      <c r="AQ109" s="71"/>
      <c r="AR109" s="71"/>
      <c r="AS109" s="71"/>
      <c r="AT109" s="71"/>
      <c r="AU109" s="71"/>
      <c r="AV109" s="71"/>
      <c r="AW109" s="71"/>
      <c r="AX109" s="71"/>
      <c r="AY109" s="71"/>
      <c r="AZ109" s="71"/>
      <c r="BA109" s="71"/>
      <c r="BB109" s="71"/>
      <c r="BC109" s="71"/>
      <c r="BD109" s="71"/>
      <c r="BE109" s="71"/>
      <c r="BF109" s="71"/>
      <c r="BG109" s="71"/>
      <c r="BH109" s="71"/>
      <c r="BI109" s="71"/>
      <c r="BK109" s="112"/>
      <c r="BM109"/>
    </row>
    <row r="110" spans="1:74" hidden="1" outlineLevel="1">
      <c r="A110" t="s">
        <v>228</v>
      </c>
      <c r="B110" s="262"/>
      <c r="C110" s="262"/>
      <c r="D110" s="262"/>
      <c r="E110" s="262"/>
      <c r="F110" s="262"/>
      <c r="G110" s="262"/>
      <c r="H110" s="262"/>
      <c r="I110" s="262"/>
      <c r="J110" s="262"/>
      <c r="K110" s="262"/>
      <c r="L110" s="262"/>
      <c r="M110" s="262"/>
      <c r="N110" s="262"/>
      <c r="O110" s="262"/>
      <c r="P110" s="262"/>
      <c r="Q110" s="262"/>
      <c r="R110" s="262"/>
      <c r="S110" s="262"/>
      <c r="T110" s="262"/>
      <c r="U110" s="262" t="s">
        <v>310</v>
      </c>
      <c r="V110" s="262"/>
      <c r="W110" s="262"/>
      <c r="X110" s="262"/>
      <c r="Y110" s="262"/>
      <c r="Z110" s="262" t="s">
        <v>310</v>
      </c>
      <c r="AA110" s="262"/>
      <c r="AB110" s="262"/>
      <c r="AC110" s="262"/>
      <c r="AD110" s="262"/>
      <c r="AE110" s="262" t="s">
        <v>310</v>
      </c>
      <c r="AF110" s="262"/>
      <c r="AG110" s="262"/>
      <c r="AH110" s="262"/>
      <c r="AI110" s="262"/>
      <c r="AJ110" s="262" t="s">
        <v>310</v>
      </c>
      <c r="AK110" s="262"/>
      <c r="AL110" s="262"/>
      <c r="AM110" s="262"/>
      <c r="AN110" s="262"/>
      <c r="AO110" s="262" t="s">
        <v>310</v>
      </c>
      <c r="AP110" s="262"/>
      <c r="AQ110" s="262"/>
      <c r="AR110" s="262"/>
      <c r="AS110" s="262"/>
      <c r="AT110" s="262" t="s">
        <v>310</v>
      </c>
      <c r="AU110" s="262"/>
      <c r="AV110" s="262"/>
      <c r="AW110" s="262"/>
      <c r="AX110" s="262"/>
      <c r="AY110" s="262"/>
      <c r="AZ110" s="262"/>
      <c r="BA110" s="262"/>
      <c r="BB110" s="262"/>
      <c r="BC110" s="262"/>
      <c r="BD110" s="262"/>
      <c r="BE110" s="262"/>
      <c r="BF110" s="262"/>
      <c r="BG110" s="262"/>
      <c r="BH110" s="262"/>
      <c r="BI110" s="262"/>
      <c r="BJ110" s="317"/>
      <c r="BM110"/>
    </row>
    <row r="111" spans="1:74" hidden="1" outlineLevel="1">
      <c r="A111" t="s">
        <v>243</v>
      </c>
      <c r="B111" s="34"/>
      <c r="C111" s="34"/>
      <c r="D111" s="34"/>
      <c r="E111" s="34"/>
      <c r="F111" s="196"/>
      <c r="G111" s="34"/>
      <c r="H111" s="34"/>
      <c r="I111" s="34"/>
      <c r="J111" s="34"/>
      <c r="K111" s="196"/>
      <c r="L111" s="34"/>
      <c r="M111" s="34"/>
      <c r="N111" s="34"/>
      <c r="O111" s="34"/>
      <c r="P111" s="196"/>
      <c r="Q111" s="34"/>
      <c r="R111" s="34"/>
      <c r="S111" s="34"/>
      <c r="T111" s="34"/>
      <c r="U111" s="101">
        <f>V111</f>
        <v>0.21</v>
      </c>
      <c r="V111" s="34">
        <f>Z111</f>
        <v>0.21</v>
      </c>
      <c r="W111" s="34">
        <f>Z111</f>
        <v>0.21</v>
      </c>
      <c r="X111" s="34">
        <f>Z111</f>
        <v>0.21</v>
      </c>
      <c r="Y111" s="34">
        <f>Z111</f>
        <v>0.21</v>
      </c>
      <c r="Z111" s="196">
        <v>0.21</v>
      </c>
      <c r="AA111" s="34">
        <f t="shared" ref="AA111:AI111" si="424">Z111</f>
        <v>0.21</v>
      </c>
      <c r="AB111" s="34">
        <f t="shared" si="424"/>
        <v>0.21</v>
      </c>
      <c r="AC111" s="34">
        <f t="shared" si="424"/>
        <v>0.21</v>
      </c>
      <c r="AD111" s="34">
        <f t="shared" si="424"/>
        <v>0.21</v>
      </c>
      <c r="AE111" s="34">
        <f>Z111</f>
        <v>0.21</v>
      </c>
      <c r="AF111" s="34">
        <f t="shared" si="424"/>
        <v>0.21</v>
      </c>
      <c r="AG111" s="34">
        <f t="shared" si="424"/>
        <v>0.21</v>
      </c>
      <c r="AH111" s="34">
        <f t="shared" si="424"/>
        <v>0.21</v>
      </c>
      <c r="AI111" s="34">
        <f t="shared" si="424"/>
        <v>0.21</v>
      </c>
      <c r="AJ111" s="34">
        <f>AE111</f>
        <v>0.21</v>
      </c>
      <c r="AK111" s="34">
        <f t="shared" ref="AK111" si="425">AJ111</f>
        <v>0.21</v>
      </c>
      <c r="AL111" s="34">
        <f t="shared" ref="AL111" si="426">AK111</f>
        <v>0.21</v>
      </c>
      <c r="AM111" s="34">
        <f t="shared" ref="AM111" si="427">AL111</f>
        <v>0.21</v>
      </c>
      <c r="AN111" s="34">
        <f t="shared" ref="AN111" si="428">AM111</f>
        <v>0.21</v>
      </c>
      <c r="AO111" s="34">
        <f>AJ111</f>
        <v>0.21</v>
      </c>
      <c r="AP111" s="34">
        <f t="shared" ref="AP111:AR111" si="429">AO111</f>
        <v>0.21</v>
      </c>
      <c r="AQ111" s="34">
        <f t="shared" si="429"/>
        <v>0.21</v>
      </c>
      <c r="AR111" s="34">
        <f t="shared" si="429"/>
        <v>0.21</v>
      </c>
      <c r="AS111" s="34">
        <f t="shared" ref="AS111" si="430">AR111</f>
        <v>0.21</v>
      </c>
      <c r="AT111" s="34">
        <f>AO111</f>
        <v>0.21</v>
      </c>
      <c r="AU111" s="34">
        <f t="shared" ref="AU111:AY111" si="431">AP111</f>
        <v>0.21</v>
      </c>
      <c r="AV111" s="34">
        <f t="shared" si="431"/>
        <v>0.21</v>
      </c>
      <c r="AW111" s="34">
        <f t="shared" si="431"/>
        <v>0.21</v>
      </c>
      <c r="AX111" s="34">
        <f t="shared" si="431"/>
        <v>0.21</v>
      </c>
      <c r="AY111" s="34">
        <f t="shared" si="431"/>
        <v>0.21</v>
      </c>
      <c r="AZ111" s="34">
        <f t="shared" ref="AZ111" si="432">AU111</f>
        <v>0.21</v>
      </c>
      <c r="BA111" s="34">
        <f t="shared" ref="BA111" si="433">AV111</f>
        <v>0.21</v>
      </c>
      <c r="BB111" s="34">
        <f t="shared" ref="BB111" si="434">AW111</f>
        <v>0.21</v>
      </c>
      <c r="BC111" s="34">
        <f t="shared" ref="BC111" si="435">AX111</f>
        <v>0.21</v>
      </c>
      <c r="BD111" s="34">
        <f t="shared" ref="BD111" si="436">AY111</f>
        <v>0.21</v>
      </c>
      <c r="BE111" s="34">
        <f t="shared" ref="BE111" si="437">AZ111</f>
        <v>0.21</v>
      </c>
      <c r="BF111" s="34">
        <f t="shared" ref="BF111" si="438">BA111</f>
        <v>0.21</v>
      </c>
      <c r="BG111" s="34">
        <f t="shared" ref="BG111" si="439">BB111</f>
        <v>0.21</v>
      </c>
      <c r="BH111" s="34">
        <f t="shared" ref="BH111" si="440">BC111</f>
        <v>0.21</v>
      </c>
      <c r="BI111" s="34">
        <f t="shared" ref="BI111" si="441">BD111</f>
        <v>0.21</v>
      </c>
      <c r="BJ111" s="317"/>
      <c r="BM111"/>
    </row>
    <row r="112" spans="1:74" s="261" customFormat="1" hidden="1" outlineLevel="1">
      <c r="A112" t="s">
        <v>227</v>
      </c>
      <c r="B112" s="42"/>
      <c r="C112" s="42"/>
      <c r="D112" s="42"/>
      <c r="E112" s="42"/>
      <c r="F112" s="42"/>
      <c r="G112" s="42"/>
      <c r="H112" s="42"/>
      <c r="I112" s="42"/>
      <c r="J112" s="42"/>
      <c r="K112" s="42"/>
      <c r="L112" s="42"/>
      <c r="M112" s="42"/>
      <c r="N112" s="42"/>
      <c r="O112" s="42"/>
      <c r="P112" s="42"/>
      <c r="Q112" s="42"/>
      <c r="R112" s="42"/>
      <c r="S112" s="42"/>
      <c r="T112" s="42"/>
      <c r="U112" s="42"/>
      <c r="V112" s="42">
        <f t="shared" ref="V112:AJ112" si="442">V28-V9</f>
        <v>-14861</v>
      </c>
      <c r="W112" s="42">
        <f t="shared" si="442"/>
        <v>-15549</v>
      </c>
      <c r="X112" s="42">
        <f t="shared" si="442"/>
        <v>-15788</v>
      </c>
      <c r="Y112" s="42">
        <f t="shared" si="442"/>
        <v>-16732</v>
      </c>
      <c r="Z112" s="42">
        <f t="shared" si="442"/>
        <v>-62930</v>
      </c>
      <c r="AA112" s="42">
        <f t="shared" si="442"/>
        <v>-15506</v>
      </c>
      <c r="AB112" s="42">
        <f t="shared" si="442"/>
        <v>-13700</v>
      </c>
      <c r="AC112" s="42">
        <f t="shared" si="442"/>
        <v>-13892</v>
      </c>
      <c r="AD112" s="42">
        <f t="shared" si="442"/>
        <v>-15149</v>
      </c>
      <c r="AE112" s="42">
        <f t="shared" si="442"/>
        <v>-58247</v>
      </c>
      <c r="AF112" s="42">
        <f t="shared" si="442"/>
        <v>-13654</v>
      </c>
      <c r="AG112" s="42">
        <f t="shared" si="442"/>
        <v>-14023</v>
      </c>
      <c r="AH112" s="42">
        <f t="shared" ref="AH112" si="443">AH28-AH9</f>
        <v>-14265</v>
      </c>
      <c r="AI112" s="42">
        <f t="shared" si="442"/>
        <v>-15183</v>
      </c>
      <c r="AJ112" s="42">
        <f t="shared" si="442"/>
        <v>-57125</v>
      </c>
      <c r="AK112" s="42">
        <f t="shared" ref="AK112:AR112" si="444">AK28-AK9</f>
        <v>-13818</v>
      </c>
      <c r="AL112" s="42">
        <f t="shared" si="444"/>
        <v>-14432</v>
      </c>
      <c r="AM112" s="42">
        <f t="shared" si="444"/>
        <v>-14965</v>
      </c>
      <c r="AN112" s="42">
        <f t="shared" si="444"/>
        <v>-16036</v>
      </c>
      <c r="AO112" s="42">
        <f t="shared" si="444"/>
        <v>-59251</v>
      </c>
      <c r="AP112" s="42">
        <f t="shared" si="444"/>
        <v>-15061</v>
      </c>
      <c r="AQ112" s="42">
        <f t="shared" si="444"/>
        <v>-16072</v>
      </c>
      <c r="AR112" s="42">
        <f t="shared" si="444"/>
        <v>-16724</v>
      </c>
      <c r="AS112" s="42">
        <f t="shared" ref="AS112:AT112" si="445">AS28-AS9</f>
        <v>-17553</v>
      </c>
      <c r="AT112" s="42">
        <f t="shared" si="445"/>
        <v>-65410</v>
      </c>
      <c r="AU112" s="42">
        <f t="shared" ref="AU112:AY112" si="446">AU28-AU9</f>
        <v>-17013</v>
      </c>
      <c r="AV112" s="42">
        <f t="shared" si="446"/>
        <v>-17231</v>
      </c>
      <c r="AW112" s="42">
        <f t="shared" si="446"/>
        <v>-17610</v>
      </c>
      <c r="AX112" s="42">
        <f t="shared" si="446"/>
        <v>-18771</v>
      </c>
      <c r="AY112" s="42">
        <f t="shared" si="446"/>
        <v>-70625</v>
      </c>
      <c r="AZ112" s="42">
        <f t="shared" ref="AZ112:BD112" si="447">AZ28-AZ9</f>
        <v>-17643</v>
      </c>
      <c r="BA112" s="42">
        <f t="shared" si="447"/>
        <v>-18788</v>
      </c>
      <c r="BB112" s="42">
        <f t="shared" si="447"/>
        <v>-19512</v>
      </c>
      <c r="BC112" s="42">
        <f t="shared" si="447"/>
        <v>-21271</v>
      </c>
      <c r="BD112" s="42">
        <f t="shared" si="447"/>
        <v>-77214</v>
      </c>
      <c r="BE112" s="42">
        <f t="shared" ref="BE112:BI112" si="448">BE28-BE9</f>
        <v>-19053</v>
      </c>
      <c r="BF112" s="42">
        <f t="shared" si="448"/>
        <v>-21341</v>
      </c>
      <c r="BG112" s="42">
        <f t="shared" si="448"/>
        <v>-20758.0204725</v>
      </c>
      <c r="BH112" s="42">
        <f t="shared" si="448"/>
        <v>-21928.659380500001</v>
      </c>
      <c r="BI112" s="42">
        <f t="shared" si="448"/>
        <v>-83080.679852999994</v>
      </c>
      <c r="BJ112" s="317"/>
      <c r="BL112" s="384"/>
      <c r="BM112"/>
      <c r="BN112"/>
      <c r="BO112"/>
      <c r="BQ112"/>
      <c r="BR112"/>
      <c r="BS112"/>
      <c r="BT112"/>
      <c r="BU112"/>
      <c r="BV112"/>
    </row>
    <row r="113" spans="1:74" s="264" customFormat="1" hidden="1" outlineLevel="1">
      <c r="A113" t="s">
        <v>246</v>
      </c>
      <c r="B113" s="37"/>
      <c r="C113" s="37"/>
      <c r="D113" s="37"/>
      <c r="E113" s="37"/>
      <c r="F113" s="37"/>
      <c r="G113" s="37"/>
      <c r="H113" s="37"/>
      <c r="I113" s="37"/>
      <c r="J113" s="37"/>
      <c r="K113" s="37"/>
      <c r="L113" s="37"/>
      <c r="M113" s="37"/>
      <c r="N113" s="37"/>
      <c r="O113" s="37"/>
      <c r="P113" s="37"/>
      <c r="Q113" s="37"/>
      <c r="R113" s="37"/>
      <c r="S113" s="37"/>
      <c r="T113" s="37"/>
      <c r="U113" s="37"/>
      <c r="V113" s="37">
        <f>SUM(Cash_Flow_Qtr!V39,Cash_Flow_Qtr!V41)</f>
        <v>-24</v>
      </c>
      <c r="W113" s="37">
        <f>SUM(Cash_Flow_Qtr!W39,Cash_Flow_Qtr!W41)</f>
        <v>-34</v>
      </c>
      <c r="X113" s="37">
        <f>SUM(Cash_Flow_Qtr!X39,Cash_Flow_Qtr!X41)</f>
        <v>-39</v>
      </c>
      <c r="Y113" s="37">
        <f>SUM(Cash_Flow_Qtr!Y39,Cash_Flow_Qtr!Y41)</f>
        <v>-27</v>
      </c>
      <c r="Z113" s="37">
        <f>SUM(Cash_Flow_Qtr!Z39,Cash_Flow_Qtr!Z41)</f>
        <v>-124</v>
      </c>
      <c r="AA113" s="37">
        <f>SUM(Cash_Flow_Qtr!AA39,Cash_Flow_Qtr!AA41)</f>
        <v>-41</v>
      </c>
      <c r="AB113" s="37">
        <f>SUM(Cash_Flow_Qtr!AB39,Cash_Flow_Qtr!AB41)</f>
        <v>4</v>
      </c>
      <c r="AC113" s="37">
        <f>SUM(Cash_Flow_Qtr!AC39,Cash_Flow_Qtr!AC41)</f>
        <v>-4</v>
      </c>
      <c r="AD113" s="37">
        <f>SUM(Cash_Flow_Qtr!AD39,Cash_Flow_Qtr!AD41)</f>
        <v>9</v>
      </c>
      <c r="AE113" s="37">
        <f>SUM(Cash_Flow_Qtr!AE39,Cash_Flow_Qtr!AE41)</f>
        <v>-32</v>
      </c>
      <c r="AF113" s="37">
        <f>SUM(Cash_Flow_Qtr!AF39,Cash_Flow_Qtr!AF41)</f>
        <v>-374</v>
      </c>
      <c r="AG113" s="37">
        <f>SUM(Cash_Flow_Qtr!AG39,Cash_Flow_Qtr!AG41)</f>
        <v>-631</v>
      </c>
      <c r="AH113" s="37">
        <f>SUM(Cash_Flow_Qtr!AH39,Cash_Flow_Qtr!AH41)</f>
        <v>-992</v>
      </c>
      <c r="AI113" s="37">
        <f>SUM(Cash_Flow_Qtr!AI39,Cash_Flow_Qtr!AI41)</f>
        <v>-323</v>
      </c>
      <c r="AJ113" s="37">
        <f>SUM(Cash_Flow_Qtr!AJ39,Cash_Flow_Qtr!AJ41)</f>
        <v>-2320</v>
      </c>
      <c r="AK113" s="37">
        <f>SUM(Cash_Flow_Qtr!AK39,Cash_Flow_Qtr!AK41)</f>
        <v>-743</v>
      </c>
      <c r="AL113" s="37">
        <f>SUM(Cash_Flow_Qtr!AL39,Cash_Flow_Qtr!AL41)</f>
        <v>-1036</v>
      </c>
      <c r="AM113" s="37">
        <f>SUM(Cash_Flow_Qtr!AM39,Cash_Flow_Qtr!AM41)</f>
        <v>-616</v>
      </c>
      <c r="AN113" s="37">
        <f>SUM(Cash_Flow_Qtr!AN39,Cash_Flow_Qtr!AN41)</f>
        <v>-408</v>
      </c>
      <c r="AO113" s="37">
        <f>SUM(Cash_Flow_Qtr!AO39,Cash_Flow_Qtr!AO41)</f>
        <v>-2803</v>
      </c>
      <c r="AP113" s="37">
        <f>SUM(Cash_Flow_Qtr!AP39,Cash_Flow_Qtr!AP41)</f>
        <v>-562</v>
      </c>
      <c r="AQ113" s="37">
        <f>SUM(Cash_Flow_Qtr!AQ39,Cash_Flow_Qtr!AQ41)</f>
        <v>-596</v>
      </c>
      <c r="AR113" s="37">
        <f>SUM(Cash_Flow_Qtr!AR39,Cash_Flow_Qtr!AR41)</f>
        <v>-1429</v>
      </c>
      <c r="AS113" s="37">
        <f>SUM(Cash_Flow_Qtr!AS39,Cash_Flow_Qtr!AS41)</f>
        <v>-10283</v>
      </c>
      <c r="AT113" s="37">
        <f>SUM(Cash_Flow_Qtr!AT39,Cash_Flow_Qtr!AT41)</f>
        <v>-12870</v>
      </c>
      <c r="AU113" s="37">
        <f>SUM(Cash_Flow_Qtr!AU39,Cash_Flow_Qtr!AU41)</f>
        <v>-56</v>
      </c>
      <c r="AV113" s="37">
        <f>SUM(Cash_Flow_Qtr!AV39,Cash_Flow_Qtr!AV41)</f>
        <v>-44</v>
      </c>
      <c r="AW113" s="37">
        <f>SUM(Cash_Flow_Qtr!AW39,Cash_Flow_Qtr!AW41)</f>
        <v>-294</v>
      </c>
      <c r="AX113" s="37">
        <f>SUM(Cash_Flow_Qtr!AX39,Cash_Flow_Qtr!AX41)</f>
        <v>-50</v>
      </c>
      <c r="AY113" s="37">
        <f>SUM(Cash_Flow_Qtr!AY39,Cash_Flow_Qtr!AY41)</f>
        <v>-444</v>
      </c>
      <c r="AZ113" s="37">
        <f>SUM(Cash_Flow_Qtr!AZ39,Cash_Flow_Qtr!AZ41)</f>
        <v>-50</v>
      </c>
      <c r="BA113" s="37">
        <f>SUM(Cash_Flow_Qtr!BA39,Cash_Flow_Qtr!BA41)</f>
        <v>0</v>
      </c>
      <c r="BB113" s="37">
        <f>SUM(Cash_Flow_Qtr!BB39,Cash_Flow_Qtr!BB41)</f>
        <v>0</v>
      </c>
      <c r="BC113" s="37">
        <f>SUM(Cash_Flow_Qtr!BC39,Cash_Flow_Qtr!BC41)</f>
        <v>0</v>
      </c>
      <c r="BD113" s="37">
        <f>SUM(Cash_Flow_Qtr!BD39,Cash_Flow_Qtr!BD41)</f>
        <v>-50</v>
      </c>
      <c r="BE113" s="37">
        <f>SUM(Cash_Flow_Qtr!BE39,Cash_Flow_Qtr!BE41)</f>
        <v>0</v>
      </c>
      <c r="BF113" s="37">
        <f>SUM(Cash_Flow_Qtr!BF39,Cash_Flow_Qtr!BF41)</f>
        <v>0</v>
      </c>
      <c r="BG113" s="37">
        <f>SUM(Cash_Flow_Qtr!BG39,Cash_Flow_Qtr!BG41)</f>
        <v>0</v>
      </c>
      <c r="BH113" s="37">
        <f>SUM(Cash_Flow_Qtr!BH39,Cash_Flow_Qtr!BH41)</f>
        <v>0</v>
      </c>
      <c r="BI113" s="37">
        <f>SUM(Cash_Flow_Qtr!BI39,Cash_Flow_Qtr!BI41)</f>
        <v>0</v>
      </c>
      <c r="BJ113" s="317"/>
      <c r="BL113" s="385"/>
      <c r="BM113"/>
      <c r="BN113"/>
      <c r="BO113"/>
      <c r="BQ113"/>
      <c r="BR113"/>
      <c r="BS113"/>
      <c r="BT113"/>
      <c r="BU113"/>
      <c r="BV113"/>
    </row>
    <row r="114" spans="1:74" collapsed="1">
      <c r="BM114"/>
    </row>
    <row r="115" spans="1:74">
      <c r="BM115"/>
    </row>
    <row r="116" spans="1:74">
      <c r="BM116"/>
    </row>
    <row r="117" spans="1:74">
      <c r="BM117"/>
    </row>
    <row r="120" spans="1:74">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L120"/>
      <c r="BM120"/>
    </row>
    <row r="123" spans="1:74">
      <c r="A123" s="13"/>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theme="4" tint="0.39997558519241921"/>
  </sheetPr>
  <dimension ref="A1:BE201"/>
  <sheetViews>
    <sheetView showGridLines="0" zoomScale="80" zoomScaleNormal="80" workbookViewId="0">
      <pane xSplit="1" ySplit="2" topLeftCell="U3" activePane="bottomRight" state="frozen"/>
      <selection activeCell="Q2" sqref="Q2"/>
      <selection pane="topRight" activeCell="Q2" sqref="Q2"/>
      <selection pane="bottomLeft" activeCell="Q2" sqref="Q2"/>
      <selection pane="bottomRight" activeCell="AC85" sqref="AC85"/>
    </sheetView>
  </sheetViews>
  <sheetFormatPr defaultRowHeight="15" outlineLevelCol="2"/>
  <cols>
    <col min="1" max="1" width="48.140625" customWidth="1"/>
    <col min="2" max="11" width="12" style="25" hidden="1" customWidth="1"/>
    <col min="12" max="20" width="12" style="25" hidden="1" customWidth="1" outlineLevel="2"/>
    <col min="21" max="21" width="12" style="25" customWidth="1" outlineLevel="1" collapsed="1"/>
    <col min="22" max="23" width="12" customWidth="1"/>
    <col min="24" max="32" width="13" customWidth="1"/>
    <col min="33" max="33" width="9.140625" customWidth="1"/>
    <col min="34" max="34" width="28.7109375" customWidth="1"/>
    <col min="35" max="38" width="9.140625" customWidth="1"/>
    <col min="39" max="39" width="9" customWidth="1"/>
    <col min="40" max="40" width="72.7109375" customWidth="1" outlineLevel="1"/>
    <col min="41" max="45" width="9.140625" customWidth="1" outlineLevel="1"/>
    <col min="49" max="50" width="11.28515625" customWidth="1"/>
    <col min="51" max="51" width="10.5703125" customWidth="1"/>
    <col min="52" max="55" width="11.28515625" customWidth="1"/>
  </cols>
  <sheetData>
    <row r="1" spans="1:33">
      <c r="A1" s="14" t="s">
        <v>39</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row>
    <row r="2" spans="1:33">
      <c r="B2" s="106" t="str">
        <f>ProForma_IS_Annual!B2</f>
        <v>CY2000A</v>
      </c>
      <c r="C2" s="106" t="str">
        <f>ProForma_IS_Annual!C2</f>
        <v>CY2001A</v>
      </c>
      <c r="D2" s="106" t="str">
        <f>ProForma_IS_Annual!D2</f>
        <v>CY2002A</v>
      </c>
      <c r="E2" s="106" t="str">
        <f>ProForma_IS_Annual!E2</f>
        <v>CY2003A</v>
      </c>
      <c r="F2" s="106" t="str">
        <f>ProForma_IS_Annual!F2</f>
        <v>CY2004A</v>
      </c>
      <c r="G2" s="106" t="str">
        <f>ProForma_IS_Annual!G2</f>
        <v>CY2005A</v>
      </c>
      <c r="H2" s="106" t="str">
        <f>ProForma_IS_Annual!H2</f>
        <v>CY2006A</v>
      </c>
      <c r="I2" s="106" t="str">
        <f>ProForma_IS_Annual!I2</f>
        <v>CY2007A</v>
      </c>
      <c r="J2" s="106" t="str">
        <f>ProForma_IS_Annual!J2</f>
        <v>CY2008A</v>
      </c>
      <c r="K2" s="106" t="str">
        <f>ProForma_IS_Annual!K2</f>
        <v>CY2009A</v>
      </c>
      <c r="L2" s="106" t="str">
        <f>ProForma_IS_Annual!L2</f>
        <v>CY2010A</v>
      </c>
      <c r="M2" s="106" t="str">
        <f>ProForma_IS_Annual!M2</f>
        <v>CY2011A</v>
      </c>
      <c r="N2" s="106" t="str">
        <f>ProForma_IS_Annual!N2</f>
        <v>CY2012A</v>
      </c>
      <c r="O2" s="106" t="str">
        <f>ProForma_IS_Annual!O2</f>
        <v>CY2013A</v>
      </c>
      <c r="P2" s="106" t="str">
        <f>ProForma_IS_Annual!P2</f>
        <v>CY2014A</v>
      </c>
      <c r="Q2" s="106" t="str">
        <f>ProForma_IS_Annual!Q2</f>
        <v>CY2015A</v>
      </c>
      <c r="R2" s="106" t="str">
        <f>ProForma_IS_Annual!R2</f>
        <v>CY2016A</v>
      </c>
      <c r="S2" s="106" t="str">
        <f>ProForma_IS_Annual!S2</f>
        <v>CY2017A</v>
      </c>
      <c r="T2" s="106" t="str">
        <f>ProForma_IS_Annual!T2</f>
        <v>CY2018A</v>
      </c>
      <c r="U2" s="105" t="str">
        <f>ProForma_IS_Annual!U2</f>
        <v>CY2019A</v>
      </c>
      <c r="V2" s="106" t="str">
        <f>ProForma_IS_Annual!V2</f>
        <v>CY2020A</v>
      </c>
      <c r="W2" s="106" t="str">
        <f>ProForma_IS_Annual!W2</f>
        <v>CY2021A</v>
      </c>
      <c r="X2" s="106" t="str">
        <f>ProForma_IS_Annual!X2</f>
        <v>CY2022A</v>
      </c>
      <c r="Y2" s="106" t="str">
        <f>ProForma_IS_Annual!Y2</f>
        <v>CY2023A</v>
      </c>
      <c r="Z2" s="106" t="str">
        <f>ProForma_IS_Annual!Z2</f>
        <v>CY2024A</v>
      </c>
      <c r="AA2" s="106" t="str">
        <f>ProForma_IS_Annual!AA2</f>
        <v>CY2025A</v>
      </c>
      <c r="AB2" s="106" t="str">
        <f>ProForma_IS_Annual!AB2</f>
        <v>CY2026E</v>
      </c>
      <c r="AC2" s="106" t="str">
        <f>ProForma_IS_Annual!AC2</f>
        <v>CY2027E</v>
      </c>
      <c r="AD2" s="106" t="str">
        <f>ProForma_IS_Annual!AD2</f>
        <v>CY2028E</v>
      </c>
      <c r="AE2" s="106" t="str">
        <f>ProForma_IS_Annual!AE2</f>
        <v>CY2029E</v>
      </c>
      <c r="AF2" s="106" t="str">
        <f>ProForma_IS_Annual!AF2</f>
        <v>CY2030E</v>
      </c>
      <c r="AG2" s="314" t="s">
        <v>420</v>
      </c>
    </row>
    <row r="3" spans="1:33">
      <c r="A3" s="4" t="str">
        <f>Balance_Sheet_Qtr!A3</f>
        <v>Assets</v>
      </c>
      <c r="B3" s="26"/>
      <c r="C3" s="26"/>
      <c r="D3" s="26"/>
      <c r="E3" s="26"/>
      <c r="F3" s="26"/>
      <c r="G3" s="26"/>
      <c r="H3" s="26"/>
      <c r="I3" s="26"/>
      <c r="J3" s="26"/>
      <c r="K3" s="26"/>
      <c r="L3" s="26"/>
      <c r="M3" s="26"/>
      <c r="N3" s="26"/>
      <c r="O3" s="26"/>
      <c r="P3" s="26"/>
      <c r="Q3" s="26"/>
      <c r="R3" s="26"/>
      <c r="S3" s="26"/>
      <c r="T3" s="26"/>
      <c r="V3" s="206"/>
      <c r="W3" s="206"/>
      <c r="X3" s="206"/>
      <c r="Y3" s="206"/>
      <c r="Z3" s="206"/>
      <c r="AA3" s="206"/>
      <c r="AB3" s="206"/>
      <c r="AC3" s="206"/>
      <c r="AD3" s="206"/>
      <c r="AE3" s="206"/>
      <c r="AF3" s="206"/>
    </row>
    <row r="4" spans="1:33">
      <c r="A4" s="4" t="str">
        <f>Balance_Sheet_Qtr!A4</f>
        <v>Current Assets</v>
      </c>
      <c r="B4" s="26"/>
      <c r="C4" s="26"/>
      <c r="D4" s="26"/>
      <c r="E4" s="26"/>
      <c r="F4" s="26"/>
      <c r="G4" s="26"/>
      <c r="H4" s="26"/>
      <c r="I4" s="26"/>
      <c r="J4" s="26"/>
      <c r="K4" s="26"/>
      <c r="L4" s="26"/>
      <c r="M4" s="26"/>
      <c r="N4" s="26"/>
      <c r="O4" s="79"/>
      <c r="P4" s="79"/>
      <c r="Q4" s="26"/>
      <c r="R4" s="26"/>
      <c r="S4" s="26"/>
      <c r="T4" s="26"/>
      <c r="V4" s="206"/>
      <c r="W4" s="206"/>
      <c r="X4" s="206"/>
      <c r="Y4" s="206"/>
      <c r="Z4" s="206"/>
      <c r="AA4" s="206"/>
      <c r="AB4" s="206"/>
      <c r="AC4" s="206"/>
      <c r="AD4" s="206"/>
      <c r="AE4" s="206"/>
      <c r="AF4" s="206"/>
    </row>
    <row r="5" spans="1:33">
      <c r="A5" s="1" t="str">
        <f>Balance_Sheet_Qtr!A5</f>
        <v>Cash and Cash Equivalents</v>
      </c>
      <c r="B5" s="38"/>
      <c r="C5" s="38"/>
      <c r="D5" s="38"/>
      <c r="E5" s="38"/>
      <c r="F5" s="38"/>
      <c r="G5" s="38"/>
      <c r="H5" s="38"/>
      <c r="I5" s="38"/>
      <c r="J5" s="38"/>
      <c r="K5" s="38"/>
      <c r="L5" s="38"/>
      <c r="M5" s="38"/>
      <c r="N5" s="38"/>
      <c r="O5" s="38"/>
      <c r="P5" s="38"/>
      <c r="Q5" s="38">
        <f>Balance_Sheet_Qtr!F5</f>
        <v>0</v>
      </c>
      <c r="R5" s="38">
        <f>Balance_Sheet_Qtr!K5</f>
        <v>0</v>
      </c>
      <c r="S5" s="38">
        <f>Balance_Sheet_Qtr!P5</f>
        <v>0</v>
      </c>
      <c r="T5" s="38">
        <f>Balance_Sheet_Qtr!U5</f>
        <v>6212</v>
      </c>
      <c r="U5" s="37">
        <f>Balance_Sheet_Qtr!Z5</f>
        <v>4937</v>
      </c>
      <c r="V5" s="38">
        <f>Balance_Sheet_Qtr!AE5</f>
        <v>8802</v>
      </c>
      <c r="W5" s="38">
        <f>Balance_Sheet_Qtr!AJ5</f>
        <v>7832</v>
      </c>
      <c r="X5" s="38">
        <f>Balance_Sheet_Qtr!AO5</f>
        <v>6220</v>
      </c>
      <c r="Y5" s="38">
        <f>Balance_Sheet_Qtr!AT5</f>
        <v>6587</v>
      </c>
      <c r="Z5" s="38">
        <f>Balance_Sheet_Qtr!AY5</f>
        <v>5578</v>
      </c>
      <c r="AA5" s="38">
        <f>Balance_Sheet_Qtr!BD5</f>
        <v>7435</v>
      </c>
      <c r="AB5" s="38">
        <f>Balance_Sheet_Qtr!BI5</f>
        <v>8604.2143587620139</v>
      </c>
      <c r="AC5" s="38">
        <f>Cash_Flow_Annual!AC60</f>
        <v>9439.8404685194837</v>
      </c>
      <c r="AD5" s="38">
        <f>Cash_Flow_Annual!AD60</f>
        <v>12183.072621087589</v>
      </c>
      <c r="AE5" s="38">
        <f>Cash_Flow_Annual!AE60</f>
        <v>15154.271582754918</v>
      </c>
      <c r="AF5" s="38">
        <f>Cash_Flow_Annual!AF60</f>
        <v>18258.057323765934</v>
      </c>
    </row>
    <row r="6" spans="1:33">
      <c r="A6" s="1" t="str">
        <f>Balance_Sheet_Qtr!A6</f>
        <v>Restricted Cash</v>
      </c>
      <c r="B6" s="43"/>
      <c r="C6" s="43"/>
      <c r="D6" s="43"/>
      <c r="E6" s="43"/>
      <c r="F6" s="43"/>
      <c r="G6" s="43"/>
      <c r="H6" s="43"/>
      <c r="I6" s="43"/>
      <c r="J6" s="43"/>
      <c r="K6" s="43"/>
      <c r="L6" s="43"/>
      <c r="M6" s="43"/>
      <c r="N6" s="43"/>
      <c r="O6" s="43"/>
      <c r="P6" s="43"/>
      <c r="Q6" s="38">
        <f>Balance_Sheet_Qtr!F6</f>
        <v>0</v>
      </c>
      <c r="R6" s="38">
        <f>Balance_Sheet_Qtr!K6</f>
        <v>0</v>
      </c>
      <c r="S6" s="38">
        <f>Balance_Sheet_Qtr!P6</f>
        <v>0</v>
      </c>
      <c r="T6" s="38">
        <f>Balance_Sheet_Qtr!U6</f>
        <v>0</v>
      </c>
      <c r="U6" s="37">
        <f>Balance_Sheet_Qtr!Z6</f>
        <v>24</v>
      </c>
      <c r="V6" s="38">
        <f>Balance_Sheet_Qtr!AE6</f>
        <v>30</v>
      </c>
      <c r="W6" s="38">
        <f>Balance_Sheet_Qtr!AJ6</f>
        <v>21</v>
      </c>
      <c r="X6" s="38">
        <f>Balance_Sheet_Qtr!AO6</f>
        <v>71</v>
      </c>
      <c r="Y6" s="38">
        <f>Balance_Sheet_Qtr!AT6</f>
        <v>39</v>
      </c>
      <c r="Z6" s="38">
        <f>Balance_Sheet_Qtr!AY6</f>
        <v>28</v>
      </c>
      <c r="AA6" s="38">
        <f>Balance_Sheet_Qtr!BD6</f>
        <v>35</v>
      </c>
      <c r="AB6" s="38">
        <f>Balance_Sheet_Qtr!BI6</f>
        <v>87</v>
      </c>
      <c r="AC6" s="38">
        <f>Cash_Flow_Annual!AC58</f>
        <v>87</v>
      </c>
      <c r="AD6" s="38">
        <f>Cash_Flow_Annual!AD58</f>
        <v>87</v>
      </c>
      <c r="AE6" s="38">
        <f>Cash_Flow_Annual!AE58</f>
        <v>87</v>
      </c>
      <c r="AF6" s="38">
        <f>Cash_Flow_Annual!AF58</f>
        <v>87</v>
      </c>
    </row>
    <row r="7" spans="1:33">
      <c r="A7" s="1" t="str">
        <f>Balance_Sheet_Qtr!A7</f>
        <v>Accounts Receivables, Net</v>
      </c>
      <c r="B7" s="43"/>
      <c r="C7" s="43"/>
      <c r="D7" s="43"/>
      <c r="E7" s="43"/>
      <c r="F7" s="43"/>
      <c r="G7" s="43"/>
      <c r="H7" s="43"/>
      <c r="I7" s="43"/>
      <c r="J7" s="43"/>
      <c r="K7" s="43"/>
      <c r="L7" s="43"/>
      <c r="M7" s="43"/>
      <c r="N7" s="43"/>
      <c r="O7" s="43"/>
      <c r="P7" s="43"/>
      <c r="Q7" s="38">
        <f>Balance_Sheet_Qtr!F7</f>
        <v>0</v>
      </c>
      <c r="R7" s="38">
        <f>Balance_Sheet_Qtr!K7</f>
        <v>0</v>
      </c>
      <c r="S7" s="38">
        <f>Balance_Sheet_Qtr!P7</f>
        <v>0</v>
      </c>
      <c r="T7" s="38">
        <f>Balance_Sheet_Qtr!U7</f>
        <v>0</v>
      </c>
      <c r="U7" s="37">
        <f>Balance_Sheet_Qtr!Z7</f>
        <v>8743</v>
      </c>
      <c r="V7" s="38">
        <f>Balance_Sheet_Qtr!AE7</f>
        <v>9254</v>
      </c>
      <c r="W7" s="38">
        <f>Balance_Sheet_Qtr!AJ7</f>
        <v>9661</v>
      </c>
      <c r="X7" s="38">
        <f>Balance_Sheet_Qtr!AO7</f>
        <v>9108</v>
      </c>
      <c r="Y7" s="38">
        <f>Balance_Sheet_Qtr!AT7</f>
        <v>10838</v>
      </c>
      <c r="Z7" s="38">
        <f>Balance_Sheet_Qtr!AY7</f>
        <v>10976</v>
      </c>
      <c r="AA7" s="38">
        <f>Balance_Sheet_Qtr!BD7</f>
        <v>14701</v>
      </c>
      <c r="AB7" s="38">
        <f>Balance_Sheet_Qtr!BI7</f>
        <v>15779.830191780818</v>
      </c>
      <c r="AC7" s="22">
        <f>AC$64*(ProForma_IS_Annual!AC$9/(365))</f>
        <v>15548.678380860632</v>
      </c>
      <c r="AD7" s="22">
        <f>AD$64*(ProForma_IS_Annual!AD$9/(365))</f>
        <v>15527.049438676258</v>
      </c>
      <c r="AE7" s="22">
        <f>AE$64*(ProForma_IS_Annual!AE$9/(365))</f>
        <v>15091.340378477493</v>
      </c>
      <c r="AF7" s="22">
        <f>AF$64*(ProForma_IS_Annual!AF$9/(365))</f>
        <v>15238.696815330322</v>
      </c>
    </row>
    <row r="8" spans="1:33">
      <c r="A8" s="1" t="str">
        <f>Balance_Sheet_Qtr!A8</f>
        <v>Contract Assets</v>
      </c>
      <c r="B8" s="43"/>
      <c r="C8" s="43"/>
      <c r="D8" s="43"/>
      <c r="E8" s="43"/>
      <c r="F8" s="43"/>
      <c r="G8" s="43"/>
      <c r="H8" s="43"/>
      <c r="I8" s="43"/>
      <c r="J8" s="43"/>
      <c r="K8" s="43"/>
      <c r="L8" s="43"/>
      <c r="M8" s="43"/>
      <c r="N8" s="43"/>
      <c r="O8" s="43"/>
      <c r="P8" s="43"/>
      <c r="Q8" s="38">
        <f>Balance_Sheet_Qtr!F8</f>
        <v>0</v>
      </c>
      <c r="R8" s="38">
        <f>Balance_Sheet_Qtr!K8</f>
        <v>0</v>
      </c>
      <c r="S8" s="38">
        <f>Balance_Sheet_Qtr!P8</f>
        <v>0</v>
      </c>
      <c r="T8" s="38">
        <f>Balance_Sheet_Qtr!U8</f>
        <v>0</v>
      </c>
      <c r="U8" s="37">
        <f>Balance_Sheet_Qtr!Z8</f>
        <v>4462</v>
      </c>
      <c r="V8" s="38">
        <f>Balance_Sheet_Qtr!AE8</f>
        <v>9931</v>
      </c>
      <c r="W8" s="38">
        <f>Balance_Sheet_Qtr!AJ8</f>
        <v>11361</v>
      </c>
      <c r="X8" s="38">
        <f>Balance_Sheet_Qtr!AO8</f>
        <v>11534</v>
      </c>
      <c r="Y8" s="38">
        <f>Balance_Sheet_Qtr!AT8</f>
        <v>12139</v>
      </c>
      <c r="Z8" s="38">
        <f>Balance_Sheet_Qtr!AY8</f>
        <v>14570</v>
      </c>
      <c r="AA8" s="38">
        <f>Balance_Sheet_Qtr!BD8</f>
        <v>17092</v>
      </c>
      <c r="AB8" s="38">
        <f>Balance_Sheet_Qtr!BI8</f>
        <v>17883.807550684927</v>
      </c>
      <c r="AC8" s="22">
        <f>AC$65*(ProForma_IS_Annual!AC$9/(365))</f>
        <v>18093.007570456008</v>
      </c>
      <c r="AD8" s="22">
        <f>AD$65*(ProForma_IS_Annual!AD$9/(365))</f>
        <v>17915.826275395684</v>
      </c>
      <c r="AE8" s="22">
        <f>AE$65*(ProForma_IS_Annual!AE$9/(365))</f>
        <v>18235.369623993636</v>
      </c>
      <c r="AF8" s="22">
        <f>AF$65*(ProForma_IS_Annual!AF$9/(365))</f>
        <v>18468.637988144903</v>
      </c>
    </row>
    <row r="9" spans="1:33">
      <c r="A9" s="1" t="str">
        <f>Balance_Sheet_Qtr!A9</f>
        <v>Inventories</v>
      </c>
      <c r="B9" s="43"/>
      <c r="C9" s="43"/>
      <c r="D9" s="43"/>
      <c r="E9" s="43"/>
      <c r="F9" s="43"/>
      <c r="G9" s="43"/>
      <c r="H9" s="43"/>
      <c r="I9" s="43"/>
      <c r="J9" s="43"/>
      <c r="K9" s="43"/>
      <c r="L9" s="43"/>
      <c r="M9" s="43"/>
      <c r="N9" s="43"/>
      <c r="O9" s="43"/>
      <c r="P9" s="43"/>
      <c r="Q9" s="38">
        <f>Balance_Sheet_Qtr!F9</f>
        <v>0</v>
      </c>
      <c r="R9" s="38">
        <f>Balance_Sheet_Qtr!K9</f>
        <v>0</v>
      </c>
      <c r="S9" s="38">
        <f>Balance_Sheet_Qtr!P9</f>
        <v>0</v>
      </c>
      <c r="T9" s="38">
        <f>Balance_Sheet_Qtr!U9</f>
        <v>0</v>
      </c>
      <c r="U9" s="37">
        <f>Balance_Sheet_Qtr!Z9</f>
        <v>9047</v>
      </c>
      <c r="V9" s="38">
        <f>Balance_Sheet_Qtr!AE9</f>
        <v>9411</v>
      </c>
      <c r="W9" s="38">
        <f>Balance_Sheet_Qtr!AJ9</f>
        <v>9178</v>
      </c>
      <c r="X9" s="38">
        <f>Balance_Sheet_Qtr!AO9</f>
        <v>10617</v>
      </c>
      <c r="Y9" s="38">
        <f>Balance_Sheet_Qtr!AT9</f>
        <v>11777</v>
      </c>
      <c r="Z9" s="38">
        <f>Balance_Sheet_Qtr!AY9</f>
        <v>12768</v>
      </c>
      <c r="AA9" s="38">
        <f>Balance_Sheet_Qtr!BD9</f>
        <v>13364</v>
      </c>
      <c r="AB9" s="38">
        <f>Balance_Sheet_Qtr!BI9</f>
        <v>14527.963663232877</v>
      </c>
      <c r="AC9" s="22">
        <f>AC67*(-ProForma_IS_Annual!AC85/(365))</f>
        <v>13569.755677842004</v>
      </c>
      <c r="AD9" s="22">
        <f>AD67*(-ProForma_IS_Annual!AD85/(365))</f>
        <v>12899.39491828489</v>
      </c>
      <c r="AE9" s="22">
        <f>AE67*(-ProForma_IS_Annual!AE85/(365))</f>
        <v>12953.400491526516</v>
      </c>
      <c r="AF9" s="22">
        <f>AF67*(-ProForma_IS_Annual!AF85/(365))</f>
        <v>13648.571930252374</v>
      </c>
    </row>
    <row r="10" spans="1:33">
      <c r="A10" s="1" t="str">
        <f>Balance_Sheet_Qtr!A10</f>
        <v>Assets Related to Discontinued Operations</v>
      </c>
      <c r="B10" s="43"/>
      <c r="C10" s="43"/>
      <c r="D10" s="43"/>
      <c r="E10" s="43"/>
      <c r="F10" s="43"/>
      <c r="G10" s="43"/>
      <c r="H10" s="43"/>
      <c r="I10" s="43"/>
      <c r="J10" s="43"/>
      <c r="K10" s="43"/>
      <c r="L10" s="43"/>
      <c r="M10" s="43"/>
      <c r="N10" s="43"/>
      <c r="O10" s="43"/>
      <c r="P10" s="43"/>
      <c r="Q10" s="38">
        <f>Balance_Sheet_Qtr!F10</f>
        <v>0</v>
      </c>
      <c r="R10" s="38">
        <f>Balance_Sheet_Qtr!K10</f>
        <v>0</v>
      </c>
      <c r="S10" s="38">
        <f>Balance_Sheet_Qtr!P10</f>
        <v>0</v>
      </c>
      <c r="T10" s="38">
        <f>Balance_Sheet_Qtr!U10</f>
        <v>0</v>
      </c>
      <c r="U10" s="37">
        <f>Balance_Sheet_Qtr!Z10</f>
        <v>31823</v>
      </c>
      <c r="V10" s="38">
        <f>Balance_Sheet_Qtr!AE10</f>
        <v>64</v>
      </c>
      <c r="W10" s="38">
        <f>Balance_Sheet_Qtr!AJ10</f>
        <v>0</v>
      </c>
      <c r="X10" s="38">
        <f>Balance_Sheet_Qtr!AO10</f>
        <v>0</v>
      </c>
      <c r="Y10" s="38">
        <f>Balance_Sheet_Qtr!AT10</f>
        <v>0</v>
      </c>
      <c r="Z10" s="38">
        <f>Balance_Sheet_Qtr!AY10</f>
        <v>0</v>
      </c>
      <c r="AA10" s="38">
        <f>Balance_Sheet_Qtr!BD10</f>
        <v>0</v>
      </c>
      <c r="AB10" s="38">
        <f>Balance_Sheet_Qtr!BI10</f>
        <v>0</v>
      </c>
      <c r="AC10" s="43">
        <f>AB10</f>
        <v>0</v>
      </c>
      <c r="AD10" s="43">
        <f>AC10</f>
        <v>0</v>
      </c>
      <c r="AE10" s="43">
        <f>AD10</f>
        <v>0</v>
      </c>
      <c r="AF10" s="43">
        <f>AE10</f>
        <v>0</v>
      </c>
    </row>
    <row r="11" spans="1:33">
      <c r="A11" s="1" t="str">
        <f>Balance_Sheet_Qtr!A11</f>
        <v>Other Current Assets</v>
      </c>
      <c r="B11" s="43"/>
      <c r="C11" s="43"/>
      <c r="D11" s="43"/>
      <c r="E11" s="43"/>
      <c r="F11" s="43"/>
      <c r="G11" s="43"/>
      <c r="H11" s="43"/>
      <c r="I11" s="43"/>
      <c r="J11" s="43"/>
      <c r="K11" s="43"/>
      <c r="L11" s="43"/>
      <c r="M11" s="43"/>
      <c r="N11" s="43"/>
      <c r="O11" s="43"/>
      <c r="P11" s="43"/>
      <c r="Q11" s="38">
        <f>Balance_Sheet_Qtr!F11</f>
        <v>0</v>
      </c>
      <c r="R11" s="38">
        <f>Balance_Sheet_Qtr!K11</f>
        <v>0</v>
      </c>
      <c r="S11" s="38">
        <f>Balance_Sheet_Qtr!P11</f>
        <v>0</v>
      </c>
      <c r="T11" s="38">
        <f>Balance_Sheet_Qtr!U11</f>
        <v>0</v>
      </c>
      <c r="U11" s="37">
        <f>Balance_Sheet_Qtr!Z11</f>
        <v>2541</v>
      </c>
      <c r="V11" s="38">
        <f>Balance_Sheet_Qtr!AE11</f>
        <v>5884</v>
      </c>
      <c r="W11" s="38">
        <f>Balance_Sheet_Qtr!AJ11</f>
        <v>3997</v>
      </c>
      <c r="X11" s="38">
        <f>Balance_Sheet_Qtr!AO11</f>
        <v>4893</v>
      </c>
      <c r="Y11" s="38">
        <f>Balance_Sheet_Qtr!AT11</f>
        <v>7037</v>
      </c>
      <c r="Z11" s="38">
        <f>Balance_Sheet_Qtr!AY11</f>
        <v>7213</v>
      </c>
      <c r="AA11" s="38">
        <f>Balance_Sheet_Qtr!BD11</f>
        <v>7705</v>
      </c>
      <c r="AB11" s="38">
        <f>Balance_Sheet_Qtr!BI11</f>
        <v>8217.0835751999984</v>
      </c>
      <c r="AC11" s="22">
        <f>AC72*ProForma_IS_Annual!AC$9</f>
        <v>8048.561336420039</v>
      </c>
      <c r="AD11" s="22">
        <f>AD72*ProForma_IS_Annual!AD$9</f>
        <v>7934.3222631635681</v>
      </c>
      <c r="AE11" s="22">
        <f>AE72*ProForma_IS_Annual!AE$9</f>
        <v>8032.9947222937499</v>
      </c>
      <c r="AF11" s="22">
        <f>AF72*ProForma_IS_Annual!AF$9</f>
        <v>8464.10225286282</v>
      </c>
    </row>
    <row r="12" spans="1:33">
      <c r="A12" s="8" t="str">
        <f>Balance_Sheet_Qtr!A12</f>
        <v>Total Current Assets</v>
      </c>
      <c r="B12" s="24"/>
      <c r="C12" s="24"/>
      <c r="D12" s="24"/>
      <c r="E12" s="24"/>
      <c r="F12" s="24"/>
      <c r="G12" s="24"/>
      <c r="H12" s="24"/>
      <c r="I12" s="24"/>
      <c r="J12" s="24"/>
      <c r="K12" s="24"/>
      <c r="L12" s="24"/>
      <c r="M12" s="24"/>
      <c r="N12" s="24"/>
      <c r="O12" s="24"/>
      <c r="P12" s="24"/>
      <c r="Q12" s="182">
        <f>Balance_Sheet_Qtr!F12</f>
        <v>0</v>
      </c>
      <c r="R12" s="182">
        <f>Balance_Sheet_Qtr!K12</f>
        <v>0</v>
      </c>
      <c r="S12" s="182">
        <f>Balance_Sheet_Qtr!P12</f>
        <v>0</v>
      </c>
      <c r="T12" s="182">
        <f>Balance_Sheet_Qtr!U12</f>
        <v>0</v>
      </c>
      <c r="U12" s="74">
        <f>Balance_Sheet_Qtr!Z12</f>
        <v>61577</v>
      </c>
      <c r="V12" s="182">
        <f>Balance_Sheet_Qtr!AE12</f>
        <v>43376</v>
      </c>
      <c r="W12" s="182">
        <f>Balance_Sheet_Qtr!AJ12</f>
        <v>42050</v>
      </c>
      <c r="X12" s="182">
        <f>Balance_Sheet_Qtr!AO12</f>
        <v>42443</v>
      </c>
      <c r="Y12" s="182">
        <f>Balance_Sheet_Qtr!AT12</f>
        <v>48417</v>
      </c>
      <c r="Z12" s="182">
        <f>Balance_Sheet_Qtr!AY12</f>
        <v>51133</v>
      </c>
      <c r="AA12" s="182">
        <f>Balance_Sheet_Qtr!BD12</f>
        <v>60332</v>
      </c>
      <c r="AB12" s="182">
        <f>Balance_Sheet_Qtr!BI12</f>
        <v>65099.899339660638</v>
      </c>
      <c r="AC12" s="24">
        <f>+SUM(AC5:AC11)</f>
        <v>64786.843434098169</v>
      </c>
      <c r="AD12" s="24">
        <f>+SUM(AD5:AD11)</f>
        <v>66546.665516607987</v>
      </c>
      <c r="AE12" s="24">
        <f>+SUM(AE5:AE11)</f>
        <v>69554.376799046324</v>
      </c>
      <c r="AF12" s="24">
        <f>+SUM(AF5:AF11)</f>
        <v>74165.066310356357</v>
      </c>
    </row>
    <row r="13" spans="1:33">
      <c r="B13" s="22"/>
      <c r="C13" s="22"/>
      <c r="D13" s="22"/>
      <c r="E13" s="22"/>
      <c r="F13" s="22"/>
      <c r="G13" s="22"/>
      <c r="H13" s="22"/>
      <c r="I13" s="22"/>
      <c r="J13" s="22"/>
      <c r="K13" s="22"/>
      <c r="L13" s="22"/>
      <c r="M13" s="22"/>
      <c r="N13" s="22"/>
      <c r="O13" s="22"/>
      <c r="P13" s="22"/>
      <c r="Q13" s="22"/>
      <c r="R13" s="22"/>
      <c r="S13" s="22"/>
      <c r="T13" s="22"/>
      <c r="U13" s="21"/>
      <c r="V13" s="22"/>
      <c r="W13" s="22"/>
      <c r="X13" s="22"/>
      <c r="Y13" s="22"/>
      <c r="Z13" s="22"/>
      <c r="AA13" s="22"/>
      <c r="AB13" s="22"/>
      <c r="AC13" s="206"/>
      <c r="AD13" s="206"/>
      <c r="AE13" s="206"/>
      <c r="AF13" s="206"/>
    </row>
    <row r="14" spans="1:33">
      <c r="A14" s="13" t="str">
        <f>Balance_Sheet_Qtr!A14</f>
        <v>Noncurrent Assets</v>
      </c>
      <c r="B14" s="22"/>
      <c r="C14" s="22"/>
      <c r="D14" s="22"/>
      <c r="E14" s="22"/>
      <c r="F14" s="22"/>
      <c r="G14" s="22"/>
      <c r="H14" s="22"/>
      <c r="I14" s="22"/>
      <c r="J14" s="22"/>
      <c r="K14" s="22"/>
      <c r="L14" s="22"/>
      <c r="M14" s="22"/>
      <c r="N14" s="22"/>
      <c r="O14" s="22"/>
      <c r="P14" s="22"/>
      <c r="Q14" s="22"/>
      <c r="R14" s="22"/>
      <c r="S14" s="22"/>
      <c r="T14" s="22"/>
      <c r="U14" s="21"/>
      <c r="V14" s="22"/>
      <c r="W14" s="22"/>
      <c r="X14" s="22"/>
      <c r="Y14" s="22"/>
      <c r="Z14" s="22"/>
      <c r="AA14" s="22"/>
      <c r="AB14" s="22"/>
      <c r="AC14" s="206"/>
      <c r="AD14" s="206"/>
      <c r="AE14" s="206"/>
      <c r="AF14" s="206"/>
    </row>
    <row r="15" spans="1:33">
      <c r="A15" s="1" t="str">
        <f>Balance_Sheet_Qtr!A15</f>
        <v>Customer Financing Assets</v>
      </c>
      <c r="B15" s="22"/>
      <c r="C15" s="22"/>
      <c r="D15" s="22"/>
      <c r="E15" s="22"/>
      <c r="F15" s="22"/>
      <c r="G15" s="22"/>
      <c r="H15" s="22"/>
      <c r="I15" s="22"/>
      <c r="J15" s="22"/>
      <c r="K15" s="22"/>
      <c r="L15" s="22"/>
      <c r="M15" s="22"/>
      <c r="N15" s="22"/>
      <c r="O15" s="22"/>
      <c r="P15" s="22"/>
      <c r="Q15" s="38">
        <f>Balance_Sheet_Qtr!F15</f>
        <v>0</v>
      </c>
      <c r="R15" s="38">
        <f>Balance_Sheet_Qtr!K15</f>
        <v>0</v>
      </c>
      <c r="S15" s="38">
        <f>Balance_Sheet_Qtr!P15</f>
        <v>0</v>
      </c>
      <c r="T15" s="38">
        <f>Balance_Sheet_Qtr!U15</f>
        <v>0</v>
      </c>
      <c r="U15" s="37">
        <f>Balance_Sheet_Qtr!Z15</f>
        <v>3463</v>
      </c>
      <c r="V15" s="38">
        <f>Balance_Sheet_Qtr!AE15</f>
        <v>3144</v>
      </c>
      <c r="W15" s="38">
        <f>Balance_Sheet_Qtr!AJ15</f>
        <v>2848</v>
      </c>
      <c r="X15" s="38">
        <f>Balance_Sheet_Qtr!AO15</f>
        <v>2603</v>
      </c>
      <c r="Y15" s="38">
        <f>Balance_Sheet_Qtr!AT15</f>
        <v>2392</v>
      </c>
      <c r="Z15" s="38">
        <f>Balance_Sheet_Qtr!AY15</f>
        <v>2246</v>
      </c>
      <c r="AA15" s="38">
        <f>Balance_Sheet_Qtr!BD15</f>
        <v>2132</v>
      </c>
      <c r="AB15" s="38">
        <f>Balance_Sheet_Qtr!BI15</f>
        <v>1902</v>
      </c>
      <c r="AC15" s="43">
        <f t="shared" ref="AC15:AF16" si="0">AB15</f>
        <v>1902</v>
      </c>
      <c r="AD15" s="43">
        <f t="shared" si="0"/>
        <v>1902</v>
      </c>
      <c r="AE15" s="43">
        <f t="shared" si="0"/>
        <v>1902</v>
      </c>
      <c r="AF15" s="43">
        <f t="shared" si="0"/>
        <v>1902</v>
      </c>
    </row>
    <row r="16" spans="1:33">
      <c r="A16" s="1" t="str">
        <f>Balance_Sheet_Qtr!A16</f>
        <v>Future Income Tax Benefits</v>
      </c>
      <c r="B16" s="22"/>
      <c r="C16" s="22"/>
      <c r="D16" s="22"/>
      <c r="E16" s="22"/>
      <c r="F16" s="22"/>
      <c r="G16" s="22"/>
      <c r="H16" s="22"/>
      <c r="I16" s="22"/>
      <c r="J16" s="22"/>
      <c r="K16" s="22"/>
      <c r="L16" s="22"/>
      <c r="M16" s="22"/>
      <c r="N16" s="22"/>
      <c r="O16" s="22"/>
      <c r="P16" s="22"/>
      <c r="Q16" s="38">
        <f>Balance_Sheet_Qtr!F16</f>
        <v>0</v>
      </c>
      <c r="R16" s="38">
        <f>Balance_Sheet_Qtr!K16</f>
        <v>0</v>
      </c>
      <c r="S16" s="38">
        <f>Balance_Sheet_Qtr!P16</f>
        <v>0</v>
      </c>
      <c r="T16" s="38">
        <f>Balance_Sheet_Qtr!U16</f>
        <v>0</v>
      </c>
      <c r="U16" s="37">
        <f>Balance_Sheet_Qtr!Z16</f>
        <v>884</v>
      </c>
      <c r="V16" s="38">
        <f>Balance_Sheet_Qtr!AE16</f>
        <v>0</v>
      </c>
      <c r="W16" s="38">
        <f>Balance_Sheet_Qtr!AJ16</f>
        <v>0</v>
      </c>
      <c r="X16" s="38">
        <f>Balance_Sheet_Qtr!AO16</f>
        <v>0</v>
      </c>
      <c r="Y16" s="38">
        <f>Balance_Sheet_Qtr!AT16</f>
        <v>0</v>
      </c>
      <c r="Z16" s="38">
        <f>Balance_Sheet_Qtr!AY16</f>
        <v>0</v>
      </c>
      <c r="AA16" s="38">
        <f>Balance_Sheet_Qtr!BD16</f>
        <v>0</v>
      </c>
      <c r="AB16" s="38">
        <f>Balance_Sheet_Qtr!BI16</f>
        <v>0</v>
      </c>
      <c r="AC16" s="43">
        <f t="shared" si="0"/>
        <v>0</v>
      </c>
      <c r="AD16" s="43">
        <f t="shared" si="0"/>
        <v>0</v>
      </c>
      <c r="AE16" s="43">
        <f t="shared" si="0"/>
        <v>0</v>
      </c>
      <c r="AF16" s="43">
        <f t="shared" si="0"/>
        <v>0</v>
      </c>
    </row>
    <row r="17" spans="1:32">
      <c r="A17" s="1" t="str">
        <f>Balance_Sheet_Qtr!A17</f>
        <v>Property, Plant and Equipment, Net</v>
      </c>
      <c r="B17" s="43"/>
      <c r="C17" s="43"/>
      <c r="D17" s="43"/>
      <c r="E17" s="43"/>
      <c r="F17" s="43"/>
      <c r="G17" s="43"/>
      <c r="H17" s="43"/>
      <c r="I17" s="43"/>
      <c r="J17" s="43"/>
      <c r="K17" s="43"/>
      <c r="L17" s="43"/>
      <c r="M17" s="43"/>
      <c r="N17" s="43"/>
      <c r="O17" s="43"/>
      <c r="P17" s="43"/>
      <c r="Q17" s="38">
        <f>Balance_Sheet_Qtr!F17</f>
        <v>0</v>
      </c>
      <c r="R17" s="38">
        <f>Balance_Sheet_Qtr!K17</f>
        <v>0</v>
      </c>
      <c r="S17" s="38">
        <f>Balance_Sheet_Qtr!P17</f>
        <v>0</v>
      </c>
      <c r="T17" s="38">
        <f>Balance_Sheet_Qtr!U17</f>
        <v>0</v>
      </c>
      <c r="U17" s="37">
        <f>Balance_Sheet_Qtr!Z17</f>
        <v>10322</v>
      </c>
      <c r="V17" s="38">
        <f>Balance_Sheet_Qtr!AE17</f>
        <v>14962</v>
      </c>
      <c r="W17" s="38">
        <f>Balance_Sheet_Qtr!AJ17</f>
        <v>14972</v>
      </c>
      <c r="X17" s="38">
        <f>Balance_Sheet_Qtr!AO17</f>
        <v>15170</v>
      </c>
      <c r="Y17" s="38">
        <f>Balance_Sheet_Qtr!AT17</f>
        <v>15748</v>
      </c>
      <c r="Z17" s="38">
        <f>Balance_Sheet_Qtr!AY17</f>
        <v>16089</v>
      </c>
      <c r="AA17" s="38">
        <f>Balance_Sheet_Qtr!BD17</f>
        <v>16868</v>
      </c>
      <c r="AB17" s="38">
        <f>Balance_Sheet_Qtr!BI17</f>
        <v>17788.359927500002</v>
      </c>
      <c r="AC17" s="234">
        <f>AB17-Cash_Flow_Annual!AC64-Cash_Flow_Annual!AC24</f>
        <v>18681.782776814343</v>
      </c>
      <c r="AD17" s="234">
        <f>AC17-Cash_Flow_Annual!AD64-Cash_Flow_Annual!AD24</f>
        <v>19539.919717122222</v>
      </c>
      <c r="AE17" s="234">
        <f>AD17-Cash_Flow_Annual!AE64-Cash_Flow_Annual!AE24</f>
        <v>20422.902258019389</v>
      </c>
      <c r="AF17" s="234">
        <f>AE17-Cash_Flow_Annual!AF64-Cash_Flow_Annual!AF24</f>
        <v>21374.974456302916</v>
      </c>
    </row>
    <row r="18" spans="1:32">
      <c r="A18" s="1" t="str">
        <f>Balance_Sheet_Qtr!A18</f>
        <v>Operating Lease Right-of-Use Assets</v>
      </c>
      <c r="B18" s="43"/>
      <c r="C18" s="43"/>
      <c r="D18" s="43"/>
      <c r="E18" s="43"/>
      <c r="F18" s="43"/>
      <c r="G18" s="43"/>
      <c r="H18" s="43"/>
      <c r="I18" s="43"/>
      <c r="J18" s="43"/>
      <c r="K18" s="43"/>
      <c r="L18" s="43"/>
      <c r="M18" s="43"/>
      <c r="N18" s="43"/>
      <c r="O18" s="43"/>
      <c r="P18" s="43"/>
      <c r="Q18" s="38">
        <f>Balance_Sheet_Qtr!F18</f>
        <v>0</v>
      </c>
      <c r="R18" s="38">
        <f>Balance_Sheet_Qtr!K18</f>
        <v>0</v>
      </c>
      <c r="S18" s="38">
        <f>Balance_Sheet_Qtr!P18</f>
        <v>0</v>
      </c>
      <c r="T18" s="38">
        <f>Balance_Sheet_Qtr!U18</f>
        <v>0</v>
      </c>
      <c r="U18" s="37">
        <f>Balance_Sheet_Qtr!Z18</f>
        <v>1252</v>
      </c>
      <c r="V18" s="38">
        <f>Balance_Sheet_Qtr!AE18</f>
        <v>1880</v>
      </c>
      <c r="W18" s="38">
        <f>Balance_Sheet_Qtr!AJ18</f>
        <v>1958</v>
      </c>
      <c r="X18" s="38">
        <f>Balance_Sheet_Qtr!AO18</f>
        <v>1829</v>
      </c>
      <c r="Y18" s="38">
        <f>Balance_Sheet_Qtr!AT18</f>
        <v>1638</v>
      </c>
      <c r="Z18" s="38">
        <f>Balance_Sheet_Qtr!AY18</f>
        <v>1864</v>
      </c>
      <c r="AA18" s="38">
        <f>Balance_Sheet_Qtr!BD18</f>
        <v>1887</v>
      </c>
      <c r="AB18" s="38">
        <f>Balance_Sheet_Qtr!BI18</f>
        <v>1727</v>
      </c>
      <c r="AC18" s="22">
        <f>AB18</f>
        <v>1727</v>
      </c>
      <c r="AD18" s="22">
        <f>AC18</f>
        <v>1727</v>
      </c>
      <c r="AE18" s="22">
        <f>AD18</f>
        <v>1727</v>
      </c>
      <c r="AF18" s="22">
        <f>AE18</f>
        <v>1727</v>
      </c>
    </row>
    <row r="19" spans="1:32">
      <c r="A19" s="1" t="str">
        <f>Balance_Sheet_Qtr!A19</f>
        <v>Goodwill</v>
      </c>
      <c r="B19" s="43"/>
      <c r="C19" s="43"/>
      <c r="D19" s="43"/>
      <c r="E19" s="43"/>
      <c r="F19" s="43"/>
      <c r="G19" s="43"/>
      <c r="H19" s="43"/>
      <c r="I19" s="43"/>
      <c r="J19" s="43"/>
      <c r="K19" s="43"/>
      <c r="L19" s="43"/>
      <c r="M19" s="43"/>
      <c r="N19" s="43"/>
      <c r="O19" s="43"/>
      <c r="P19" s="43"/>
      <c r="Q19" s="38">
        <f>Balance_Sheet_Qtr!F19</f>
        <v>0</v>
      </c>
      <c r="R19" s="38">
        <f>Balance_Sheet_Qtr!K19</f>
        <v>0</v>
      </c>
      <c r="S19" s="38">
        <f>Balance_Sheet_Qtr!P19</f>
        <v>0</v>
      </c>
      <c r="T19" s="38">
        <f>Balance_Sheet_Qtr!U19</f>
        <v>0</v>
      </c>
      <c r="U19" s="37">
        <f>Balance_Sheet_Qtr!Z19</f>
        <v>36609</v>
      </c>
      <c r="V19" s="38">
        <f>Balance_Sheet_Qtr!AE19</f>
        <v>54285</v>
      </c>
      <c r="W19" s="38">
        <f>Balance_Sheet_Qtr!AJ19</f>
        <v>54436</v>
      </c>
      <c r="X19" s="38">
        <f>Balance_Sheet_Qtr!AO19</f>
        <v>53840</v>
      </c>
      <c r="Y19" s="38">
        <f>Balance_Sheet_Qtr!AT19</f>
        <v>53699</v>
      </c>
      <c r="Z19" s="38">
        <f>Balance_Sheet_Qtr!AY19</f>
        <v>52789</v>
      </c>
      <c r="AA19" s="38">
        <f>Balance_Sheet_Qtr!BD19</f>
        <v>53343</v>
      </c>
      <c r="AB19" s="38">
        <f>Balance_Sheet_Qtr!BI19</f>
        <v>52308</v>
      </c>
      <c r="AC19" s="22">
        <f>AB19-Cash_Flow_Annual!AC27-Cash_Flow_Annual!AC25</f>
        <v>52308</v>
      </c>
      <c r="AD19" s="22">
        <f>AC19-Cash_Flow_Annual!AD27-Cash_Flow_Annual!AD25</f>
        <v>52308</v>
      </c>
      <c r="AE19" s="22">
        <f>AD19-Cash_Flow_Annual!AE27-Cash_Flow_Annual!AE25</f>
        <v>52308</v>
      </c>
      <c r="AF19" s="22">
        <f>AE19-Cash_Flow_Annual!AF27-Cash_Flow_Annual!AF25</f>
        <v>52308</v>
      </c>
    </row>
    <row r="20" spans="1:32">
      <c r="A20" s="1" t="str">
        <f>Balance_Sheet_Qtr!A20</f>
        <v>Intangible Assets, Net</v>
      </c>
      <c r="B20" s="43"/>
      <c r="C20" s="43"/>
      <c r="D20" s="43"/>
      <c r="E20" s="43"/>
      <c r="F20" s="43"/>
      <c r="G20" s="43"/>
      <c r="H20" s="43"/>
      <c r="I20" s="43"/>
      <c r="J20" s="43"/>
      <c r="K20" s="43"/>
      <c r="L20" s="43"/>
      <c r="M20" s="43"/>
      <c r="N20" s="43"/>
      <c r="O20" s="43"/>
      <c r="P20" s="43"/>
      <c r="Q20" s="38">
        <f>Balance_Sheet_Qtr!F20</f>
        <v>0</v>
      </c>
      <c r="R20" s="38">
        <f>Balance_Sheet_Qtr!K20</f>
        <v>0</v>
      </c>
      <c r="S20" s="38">
        <f>Balance_Sheet_Qtr!P20</f>
        <v>0</v>
      </c>
      <c r="T20" s="38">
        <f>Balance_Sheet_Qtr!U20</f>
        <v>0</v>
      </c>
      <c r="U20" s="37">
        <f>Balance_Sheet_Qtr!Z20</f>
        <v>24473</v>
      </c>
      <c r="V20" s="38">
        <f>Balance_Sheet_Qtr!AE20</f>
        <v>40539</v>
      </c>
      <c r="W20" s="38">
        <f>Balance_Sheet_Qtr!AJ20</f>
        <v>38516</v>
      </c>
      <c r="X20" s="38">
        <f>Balance_Sheet_Qtr!AO20</f>
        <v>36823</v>
      </c>
      <c r="Y20" s="38">
        <f>Balance_Sheet_Qtr!AT20</f>
        <v>35399</v>
      </c>
      <c r="Z20" s="38">
        <f>Balance_Sheet_Qtr!AY20</f>
        <v>33443</v>
      </c>
      <c r="AA20" s="38">
        <f>Balance_Sheet_Qtr!BD20</f>
        <v>31845</v>
      </c>
      <c r="AB20" s="38">
        <f>Balance_Sheet_Qtr!BI20</f>
        <v>30060</v>
      </c>
      <c r="AC20" s="22">
        <f>AB20-Cash_Flow_Annual!AC29-Cash_Flow_Annual!AC66</f>
        <v>28149</v>
      </c>
      <c r="AD20" s="22">
        <f>AC20-Cash_Flow_Annual!AD29-Cash_Flow_Annual!AD66</f>
        <v>26356</v>
      </c>
      <c r="AE20" s="22">
        <f>AD20-Cash_Flow_Annual!AE29-Cash_Flow_Annual!AE66</f>
        <v>24722</v>
      </c>
      <c r="AF20" s="22">
        <f>AE20-Cash_Flow_Annual!AF29-Cash_Flow_Annual!AF66</f>
        <v>23120</v>
      </c>
    </row>
    <row r="21" spans="1:32">
      <c r="A21" s="1" t="str">
        <f>Balance_Sheet_Qtr!A21</f>
        <v>Other Noncurrent Assets</v>
      </c>
      <c r="B21" s="43"/>
      <c r="C21" s="43"/>
      <c r="D21" s="43"/>
      <c r="E21" s="43"/>
      <c r="F21" s="43"/>
      <c r="G21" s="43"/>
      <c r="H21" s="43"/>
      <c r="I21" s="43"/>
      <c r="J21" s="43"/>
      <c r="K21" s="43"/>
      <c r="L21" s="43"/>
      <c r="M21" s="43"/>
      <c r="N21" s="43"/>
      <c r="O21" s="43"/>
      <c r="P21" s="43"/>
      <c r="Q21" s="38">
        <f>Balance_Sheet_Qtr!F21</f>
        <v>0</v>
      </c>
      <c r="R21" s="38">
        <f>Balance_Sheet_Qtr!K21</f>
        <v>0</v>
      </c>
      <c r="S21" s="38">
        <f>Balance_Sheet_Qtr!P21</f>
        <v>0</v>
      </c>
      <c r="T21" s="38">
        <f>Balance_Sheet_Qtr!U21</f>
        <v>0</v>
      </c>
      <c r="U21" s="37">
        <f>Balance_Sheet_Qtr!Z21</f>
        <v>1035</v>
      </c>
      <c r="V21" s="38">
        <f>Balance_Sheet_Qtr!AE21</f>
        <v>3967</v>
      </c>
      <c r="W21" s="38">
        <f>Balance_Sheet_Qtr!AJ21</f>
        <v>6624</v>
      </c>
      <c r="X21" s="38">
        <f>Balance_Sheet_Qtr!AO21</f>
        <v>6156</v>
      </c>
      <c r="Y21" s="38">
        <f>Balance_Sheet_Qtr!AT21</f>
        <v>4576</v>
      </c>
      <c r="Z21" s="38">
        <f>Balance_Sheet_Qtr!AY21</f>
        <v>5297</v>
      </c>
      <c r="AA21" s="38">
        <f>Balance_Sheet_Qtr!BD21</f>
        <v>4672</v>
      </c>
      <c r="AB21" s="38">
        <f>Balance_Sheet_Qtr!BI21</f>
        <v>5495</v>
      </c>
      <c r="AC21" s="22">
        <f>AB21-Cash_Flow_Annual!AC26</f>
        <v>5495</v>
      </c>
      <c r="AD21" s="22">
        <f>AC21-Cash_Flow_Annual!AD26</f>
        <v>5495</v>
      </c>
      <c r="AE21" s="22">
        <f>AD21-Cash_Flow_Annual!AE26</f>
        <v>5495</v>
      </c>
      <c r="AF21" s="22">
        <f>AE21-Cash_Flow_Annual!AF26</f>
        <v>5495</v>
      </c>
    </row>
    <row r="22" spans="1:32">
      <c r="A22" s="8" t="str">
        <f>Balance_Sheet_Qtr!A22</f>
        <v>Total Noncurrent Assets</v>
      </c>
      <c r="B22" s="24"/>
      <c r="C22" s="24"/>
      <c r="D22" s="24"/>
      <c r="E22" s="24"/>
      <c r="F22" s="24"/>
      <c r="G22" s="24"/>
      <c r="H22" s="24"/>
      <c r="I22" s="24"/>
      <c r="J22" s="24"/>
      <c r="K22" s="24"/>
      <c r="L22" s="24"/>
      <c r="M22" s="24"/>
      <c r="N22" s="24"/>
      <c r="O22" s="24"/>
      <c r="P22" s="24"/>
      <c r="Q22" s="182">
        <f>Balance_Sheet_Qtr!F22</f>
        <v>0</v>
      </c>
      <c r="R22" s="182">
        <f>Balance_Sheet_Qtr!K22</f>
        <v>0</v>
      </c>
      <c r="S22" s="182">
        <f>Balance_Sheet_Qtr!P22</f>
        <v>0</v>
      </c>
      <c r="T22" s="182">
        <f>Balance_Sheet_Qtr!U22</f>
        <v>0</v>
      </c>
      <c r="U22" s="74">
        <f>Balance_Sheet_Qtr!Z22</f>
        <v>78038</v>
      </c>
      <c r="V22" s="182">
        <f>Balance_Sheet_Qtr!AE22</f>
        <v>118777</v>
      </c>
      <c r="W22" s="182">
        <f>Balance_Sheet_Qtr!AJ22</f>
        <v>119354</v>
      </c>
      <c r="X22" s="182">
        <f>Balance_Sheet_Qtr!AO22</f>
        <v>116421</v>
      </c>
      <c r="Y22" s="182">
        <f>Balance_Sheet_Qtr!AT22</f>
        <v>113452</v>
      </c>
      <c r="Z22" s="182">
        <f>Balance_Sheet_Qtr!AY22</f>
        <v>111728</v>
      </c>
      <c r="AA22" s="182">
        <f>Balance_Sheet_Qtr!BD22</f>
        <v>110747</v>
      </c>
      <c r="AB22" s="182">
        <f>Balance_Sheet_Qtr!BI22</f>
        <v>109280.3599275</v>
      </c>
      <c r="AC22" s="24">
        <f>SUM(AC15:AC21)</f>
        <v>108262.78277681435</v>
      </c>
      <c r="AD22" s="24">
        <f>SUM(AD15:AD21)</f>
        <v>107327.91971712222</v>
      </c>
      <c r="AE22" s="24">
        <f>SUM(AE15:AE21)</f>
        <v>106576.90225801939</v>
      </c>
      <c r="AF22" s="24">
        <f>SUM(AF15:AF21)</f>
        <v>105926.97445630291</v>
      </c>
    </row>
    <row r="23" spans="1:32">
      <c r="B23" s="22"/>
      <c r="C23" s="22"/>
      <c r="D23" s="22"/>
      <c r="E23" s="22"/>
      <c r="F23" s="22"/>
      <c r="G23" s="22"/>
      <c r="H23" s="22"/>
      <c r="I23" s="22"/>
      <c r="J23" s="22"/>
      <c r="K23" s="22"/>
      <c r="L23" s="22"/>
      <c r="M23" s="22"/>
      <c r="N23" s="22"/>
      <c r="O23" s="22"/>
      <c r="P23" s="22"/>
      <c r="Q23" s="22"/>
      <c r="R23" s="22"/>
      <c r="S23" s="22"/>
      <c r="T23" s="22"/>
      <c r="U23" s="21"/>
      <c r="V23" s="22"/>
      <c r="W23" s="22"/>
      <c r="X23" s="22"/>
      <c r="Y23" s="22"/>
      <c r="Z23" s="22"/>
      <c r="AA23" s="22"/>
      <c r="AB23" s="22"/>
      <c r="AC23" s="22"/>
      <c r="AD23" s="22"/>
      <c r="AE23" s="22"/>
      <c r="AF23" s="22"/>
    </row>
    <row r="24" spans="1:32">
      <c r="A24" s="8" t="str">
        <f>Balance_Sheet_Qtr!A24</f>
        <v>Total Assets</v>
      </c>
      <c r="B24" s="24"/>
      <c r="C24" s="24"/>
      <c r="D24" s="24"/>
      <c r="E24" s="24"/>
      <c r="F24" s="24"/>
      <c r="G24" s="24"/>
      <c r="H24" s="24"/>
      <c r="I24" s="24"/>
      <c r="J24" s="24"/>
      <c r="K24" s="24"/>
      <c r="L24" s="24"/>
      <c r="M24" s="24"/>
      <c r="N24" s="24"/>
      <c r="O24" s="24"/>
      <c r="P24" s="24"/>
      <c r="Q24" s="182">
        <f>Balance_Sheet_Qtr!F24</f>
        <v>0</v>
      </c>
      <c r="R24" s="182">
        <f>Balance_Sheet_Qtr!K24</f>
        <v>0</v>
      </c>
      <c r="S24" s="182">
        <f>Balance_Sheet_Qtr!P24</f>
        <v>0</v>
      </c>
      <c r="T24" s="182">
        <f>Balance_Sheet_Qtr!U24</f>
        <v>0</v>
      </c>
      <c r="U24" s="74">
        <f>Balance_Sheet_Qtr!Z24</f>
        <v>139615</v>
      </c>
      <c r="V24" s="182">
        <f>Balance_Sheet_Qtr!AE24</f>
        <v>162153</v>
      </c>
      <c r="W24" s="182">
        <f>Balance_Sheet_Qtr!AJ24</f>
        <v>161404</v>
      </c>
      <c r="X24" s="182">
        <f>Balance_Sheet_Qtr!AO24</f>
        <v>158864</v>
      </c>
      <c r="Y24" s="182">
        <f>Balance_Sheet_Qtr!AT24</f>
        <v>161869</v>
      </c>
      <c r="Z24" s="182">
        <f>Balance_Sheet_Qtr!AY24</f>
        <v>162861</v>
      </c>
      <c r="AA24" s="182">
        <f>Balance_Sheet_Qtr!BD24</f>
        <v>171079</v>
      </c>
      <c r="AB24" s="182">
        <f>Balance_Sheet_Qtr!BI24</f>
        <v>174380.25926716064</v>
      </c>
      <c r="AC24" s="24">
        <f>+AC22+AC12</f>
        <v>173049.62621091251</v>
      </c>
      <c r="AD24" s="24">
        <f>+AD22+AD12</f>
        <v>173874.58523373021</v>
      </c>
      <c r="AE24" s="24">
        <f>+AE22+AE12</f>
        <v>176131.27905706572</v>
      </c>
      <c r="AF24" s="24">
        <f>+AF22+AF12</f>
        <v>180092.04076665925</v>
      </c>
    </row>
    <row r="25" spans="1:32">
      <c r="B25" s="22"/>
      <c r="C25" s="22"/>
      <c r="D25" s="22"/>
      <c r="E25" s="22"/>
      <c r="F25" s="22"/>
      <c r="G25" s="22"/>
      <c r="H25" s="22"/>
      <c r="I25" s="22"/>
      <c r="J25" s="22"/>
      <c r="K25" s="22"/>
      <c r="L25" s="22"/>
      <c r="M25" s="22"/>
      <c r="N25" s="22"/>
      <c r="O25" s="22"/>
      <c r="P25" s="22"/>
      <c r="Q25" s="22"/>
      <c r="R25" s="22"/>
      <c r="S25" s="22"/>
      <c r="T25" s="22"/>
      <c r="U25" s="21"/>
      <c r="V25" s="22"/>
      <c r="W25" s="22"/>
      <c r="X25" s="22"/>
      <c r="Y25" s="22"/>
      <c r="Z25" s="22"/>
      <c r="AA25" s="22"/>
      <c r="AB25" s="22"/>
      <c r="AC25" s="206"/>
      <c r="AD25" s="206"/>
      <c r="AE25" s="206"/>
      <c r="AF25" s="206"/>
    </row>
    <row r="26" spans="1:32">
      <c r="A26" s="4" t="str">
        <f>Balance_Sheet_Qtr!A26</f>
        <v>Liabilities</v>
      </c>
      <c r="B26" s="22"/>
      <c r="C26" s="22"/>
      <c r="D26" s="22"/>
      <c r="E26" s="22"/>
      <c r="F26" s="22"/>
      <c r="G26" s="22"/>
      <c r="H26" s="22"/>
      <c r="I26" s="22"/>
      <c r="J26" s="22"/>
      <c r="K26" s="22"/>
      <c r="L26" s="22"/>
      <c r="M26" s="22"/>
      <c r="N26" s="22"/>
      <c r="O26" s="22"/>
      <c r="P26" s="22"/>
      <c r="Q26" s="22"/>
      <c r="R26" s="22"/>
      <c r="S26" s="22"/>
      <c r="T26" s="22"/>
      <c r="U26" s="21"/>
      <c r="V26" s="22"/>
      <c r="W26" s="22"/>
      <c r="X26" s="22"/>
      <c r="Y26" s="22"/>
      <c r="Z26" s="22"/>
      <c r="AA26" s="22"/>
      <c r="AB26" s="22"/>
      <c r="AC26" s="206"/>
      <c r="AD26" s="206"/>
      <c r="AE26" s="206"/>
      <c r="AF26" s="206"/>
    </row>
    <row r="27" spans="1:32">
      <c r="A27" t="str">
        <f>Balance_Sheet_Qtr!A27</f>
        <v>Current Liabilities</v>
      </c>
      <c r="B27" s="22"/>
      <c r="C27" s="22"/>
      <c r="D27" s="22"/>
      <c r="E27" s="22"/>
      <c r="F27" s="22"/>
      <c r="G27" s="22"/>
      <c r="H27" s="22"/>
      <c r="I27" s="22"/>
      <c r="J27" s="22"/>
      <c r="K27" s="22"/>
      <c r="L27" s="22"/>
      <c r="M27" s="22"/>
      <c r="N27" s="22"/>
      <c r="O27" s="22"/>
      <c r="P27" s="22"/>
      <c r="Q27" s="22"/>
      <c r="R27" s="22"/>
      <c r="S27" s="22"/>
      <c r="T27" s="22"/>
      <c r="U27" s="21"/>
      <c r="V27" s="22"/>
      <c r="W27" s="22"/>
      <c r="X27" s="22"/>
      <c r="Y27" s="22"/>
      <c r="Z27" s="22"/>
      <c r="AA27" s="22"/>
      <c r="AB27" s="22"/>
      <c r="AC27" s="206"/>
      <c r="AD27" s="206"/>
      <c r="AE27" s="206"/>
      <c r="AF27" s="206"/>
    </row>
    <row r="28" spans="1:32">
      <c r="A28" s="1" t="str">
        <f>Balance_Sheet_Qtr!A28</f>
        <v>Short-Term Borrowings</v>
      </c>
      <c r="B28" s="22"/>
      <c r="C28" s="22"/>
      <c r="D28" s="22"/>
      <c r="E28" s="22"/>
      <c r="F28" s="22"/>
      <c r="G28" s="22"/>
      <c r="H28" s="22"/>
      <c r="I28" s="22"/>
      <c r="J28" s="22"/>
      <c r="K28" s="22"/>
      <c r="L28" s="22"/>
      <c r="M28" s="22"/>
      <c r="N28" s="22"/>
      <c r="O28" s="22"/>
      <c r="P28" s="22"/>
      <c r="Q28" s="38">
        <f>Balance_Sheet_Qtr!F28</f>
        <v>0</v>
      </c>
      <c r="R28" s="38">
        <f>Balance_Sheet_Qtr!K28</f>
        <v>0</v>
      </c>
      <c r="S28" s="38">
        <f>Balance_Sheet_Qtr!P28</f>
        <v>0</v>
      </c>
      <c r="T28" s="38">
        <f>Balance_Sheet_Qtr!U28</f>
        <v>0</v>
      </c>
      <c r="U28" s="37">
        <f>Balance_Sheet_Qtr!Z28</f>
        <v>2293</v>
      </c>
      <c r="V28" s="38">
        <f>Balance_Sheet_Qtr!AE28</f>
        <v>247</v>
      </c>
      <c r="W28" s="38">
        <f>Balance_Sheet_Qtr!AJ28</f>
        <v>134</v>
      </c>
      <c r="X28" s="38">
        <f>Balance_Sheet_Qtr!AO28</f>
        <v>625</v>
      </c>
      <c r="Y28" s="38">
        <f>Balance_Sheet_Qtr!AT28</f>
        <v>189</v>
      </c>
      <c r="Z28" s="38">
        <f>Balance_Sheet_Qtr!AY28</f>
        <v>183</v>
      </c>
      <c r="AA28" s="38">
        <f>Balance_Sheet_Qtr!BD28</f>
        <v>204</v>
      </c>
      <c r="AB28" s="38">
        <f>Balance_Sheet_Qtr!BI28</f>
        <v>229</v>
      </c>
      <c r="AC28" s="484">
        <f>Debt_Annual!AC64</f>
        <v>229</v>
      </c>
      <c r="AD28" s="484">
        <f>Debt_Annual!AD64</f>
        <v>229</v>
      </c>
      <c r="AE28" s="484">
        <f>Debt_Annual!AE64</f>
        <v>229</v>
      </c>
      <c r="AF28" s="484">
        <f>Debt_Annual!AF64</f>
        <v>229</v>
      </c>
    </row>
    <row r="29" spans="1:32">
      <c r="A29" s="1" t="str">
        <f>Balance_Sheet_Qtr!A29</f>
        <v>Accounts Payable</v>
      </c>
      <c r="B29" s="43"/>
      <c r="C29" s="43"/>
      <c r="D29" s="43"/>
      <c r="E29" s="43"/>
      <c r="F29" s="43"/>
      <c r="G29" s="43"/>
      <c r="H29" s="43"/>
      <c r="I29" s="43"/>
      <c r="J29" s="43"/>
      <c r="K29" s="43"/>
      <c r="L29" s="43"/>
      <c r="M29" s="43"/>
      <c r="N29" s="43"/>
      <c r="O29" s="43"/>
      <c r="P29" s="43"/>
      <c r="Q29" s="38">
        <f>Balance_Sheet_Qtr!F29</f>
        <v>0</v>
      </c>
      <c r="R29" s="38">
        <f>Balance_Sheet_Qtr!K29</f>
        <v>0</v>
      </c>
      <c r="S29" s="38">
        <f>Balance_Sheet_Qtr!P29</f>
        <v>0</v>
      </c>
      <c r="T29" s="38">
        <f>Balance_Sheet_Qtr!U29</f>
        <v>0</v>
      </c>
      <c r="U29" s="37">
        <f>Balance_Sheet_Qtr!Z29</f>
        <v>7816</v>
      </c>
      <c r="V29" s="38">
        <f>Balance_Sheet_Qtr!AE29</f>
        <v>8639</v>
      </c>
      <c r="W29" s="38">
        <f>Balance_Sheet_Qtr!AJ29</f>
        <v>8751</v>
      </c>
      <c r="X29" s="38">
        <f>Balance_Sheet_Qtr!AO29</f>
        <v>9896</v>
      </c>
      <c r="Y29" s="38">
        <f>Balance_Sheet_Qtr!AT29</f>
        <v>10698</v>
      </c>
      <c r="Z29" s="38">
        <f>Balance_Sheet_Qtr!AY29</f>
        <v>12897</v>
      </c>
      <c r="AA29" s="38">
        <f>Balance_Sheet_Qtr!BD29</f>
        <v>15895</v>
      </c>
      <c r="AB29" s="38">
        <f>Balance_Sheet_Qtr!BI29</f>
        <v>15411.634153972602</v>
      </c>
      <c r="AC29" s="22">
        <f>AC66*(-ProForma_IS_Annual!AC85/(365))</f>
        <v>15899.230402538213</v>
      </c>
      <c r="AD29" s="22">
        <f>AD66*(-ProForma_IS_Annual!AD85/(365))</f>
        <v>15861.478195816977</v>
      </c>
      <c r="AE29" s="22">
        <f>AE66*(-ProForma_IS_Annual!AE85/(365))</f>
        <v>15720.146227580724</v>
      </c>
      <c r="AF29" s="22">
        <f>AF66*(-ProForma_IS_Annual!AF85/(365))</f>
        <v>15530.219710927944</v>
      </c>
    </row>
    <row r="30" spans="1:32">
      <c r="A30" s="1" t="str">
        <f>Balance_Sheet_Qtr!A30</f>
        <v>Accrued Liabilities</v>
      </c>
      <c r="B30" s="43"/>
      <c r="C30" s="43"/>
      <c r="D30" s="43"/>
      <c r="E30" s="43"/>
      <c r="F30" s="43"/>
      <c r="G30" s="43"/>
      <c r="H30" s="43"/>
      <c r="I30" s="43"/>
      <c r="J30" s="43"/>
      <c r="K30" s="43"/>
      <c r="L30" s="43"/>
      <c r="M30" s="43"/>
      <c r="N30" s="43"/>
      <c r="O30" s="43"/>
      <c r="P30" s="43"/>
      <c r="Q30" s="38">
        <f>Balance_Sheet_Qtr!F30</f>
        <v>0</v>
      </c>
      <c r="R30" s="38">
        <f>Balance_Sheet_Qtr!K30</f>
        <v>0</v>
      </c>
      <c r="S30" s="38">
        <f>Balance_Sheet_Qtr!P30</f>
        <v>0</v>
      </c>
      <c r="T30" s="38">
        <f>Balance_Sheet_Qtr!U30</f>
        <v>0</v>
      </c>
      <c r="U30" s="37">
        <f>Balance_Sheet_Qtr!Z30</f>
        <v>9770</v>
      </c>
      <c r="V30" s="38">
        <f>Balance_Sheet_Qtr!AE30</f>
        <v>13407</v>
      </c>
      <c r="W30" s="38">
        <f>Balance_Sheet_Qtr!AJ30</f>
        <v>12820</v>
      </c>
      <c r="X30" s="38">
        <f>Balance_Sheet_Qtr!AO30</f>
        <v>13400</v>
      </c>
      <c r="Y30" s="38">
        <f>Balance_Sheet_Qtr!AT30</f>
        <v>17408</v>
      </c>
      <c r="Z30" s="38">
        <f>Balance_Sheet_Qtr!AY30</f>
        <v>17451</v>
      </c>
      <c r="AA30" s="38">
        <f>Balance_Sheet_Qtr!BD30</f>
        <v>17658</v>
      </c>
      <c r="AB30" s="38">
        <f>Balance_Sheet_Qtr!BI30</f>
        <v>19966.745135999998</v>
      </c>
      <c r="AC30" s="22">
        <f>AC77*(-ProForma_IS_Annual!AC85)</f>
        <v>19357.821880928193</v>
      </c>
      <c r="AD30" s="22">
        <f>AD77*(-ProForma_IS_Annual!AD85)</f>
        <v>19181.877998856977</v>
      </c>
      <c r="AE30" s="22">
        <f>AE77*(-ProForma_IS_Annual!AE85)</f>
        <v>19279.187333505</v>
      </c>
      <c r="AF30" s="22">
        <f>AF77*(-ProForma_IS_Annual!AF85)</f>
        <v>20072.013913931827</v>
      </c>
    </row>
    <row r="31" spans="1:32">
      <c r="A31" s="1" t="str">
        <f>Balance_Sheet_Qtr!A31</f>
        <v>Contract Liabilities</v>
      </c>
      <c r="B31" s="43"/>
      <c r="C31" s="43"/>
      <c r="D31" s="43"/>
      <c r="E31" s="43"/>
      <c r="F31" s="43"/>
      <c r="G31" s="43"/>
      <c r="H31" s="43"/>
      <c r="I31" s="43"/>
      <c r="J31" s="43"/>
      <c r="K31" s="43"/>
      <c r="L31" s="43"/>
      <c r="M31" s="43"/>
      <c r="N31" s="43"/>
      <c r="O31" s="43"/>
      <c r="P31" s="43"/>
      <c r="Q31" s="38">
        <f>Balance_Sheet_Qtr!F31</f>
        <v>0</v>
      </c>
      <c r="R31" s="38">
        <f>Balance_Sheet_Qtr!K31</f>
        <v>0</v>
      </c>
      <c r="S31" s="38">
        <f>Balance_Sheet_Qtr!P31</f>
        <v>0</v>
      </c>
      <c r="T31" s="38">
        <f>Balance_Sheet_Qtr!U31</f>
        <v>0</v>
      </c>
      <c r="U31" s="37">
        <f>Balance_Sheet_Qtr!Z31</f>
        <v>9014</v>
      </c>
      <c r="V31" s="38">
        <f>Balance_Sheet_Qtr!AE31</f>
        <v>12889</v>
      </c>
      <c r="W31" s="38">
        <f>Balance_Sheet_Qtr!AJ31</f>
        <v>13720</v>
      </c>
      <c r="X31" s="38">
        <f>Balance_Sheet_Qtr!AO31</f>
        <v>14598</v>
      </c>
      <c r="Y31" s="38">
        <f>Balance_Sheet_Qtr!AT31</f>
        <v>17183</v>
      </c>
      <c r="Z31" s="38">
        <f>Balance_Sheet_Qtr!AY31</f>
        <v>18616</v>
      </c>
      <c r="AA31" s="38">
        <f>Balance_Sheet_Qtr!BD31</f>
        <v>21615</v>
      </c>
      <c r="AB31" s="38">
        <f>Balance_Sheet_Qtr!BI31</f>
        <v>23143.750947945202</v>
      </c>
      <c r="AC31" s="22">
        <f>AC$68*(ProForma_IS_Annual!AC$9/(365))</f>
        <v>22333.556219781636</v>
      </c>
      <c r="AD31" s="22">
        <f>AD$68*(ProForma_IS_Annual!AD$9/(365))</f>
        <v>21976.746897818703</v>
      </c>
      <c r="AE31" s="22">
        <f>AE$68*(ProForma_IS_Annual!AE$9/(365))</f>
        <v>22165.406180888818</v>
      </c>
      <c r="AF31" s="22">
        <f>AF$68*(ProForma_IS_Annual!AF$9/(365))</f>
        <v>22858.045222995483</v>
      </c>
    </row>
    <row r="32" spans="1:32">
      <c r="A32" s="1" t="str">
        <f>Balance_Sheet_Qtr!A32</f>
        <v>Liabilities of Discontinued Operations</v>
      </c>
      <c r="B32" s="43"/>
      <c r="C32" s="43"/>
      <c r="D32" s="43"/>
      <c r="E32" s="43"/>
      <c r="F32" s="43"/>
      <c r="G32" s="43"/>
      <c r="H32" s="43"/>
      <c r="I32" s="43"/>
      <c r="J32" s="43"/>
      <c r="K32" s="43"/>
      <c r="L32" s="43"/>
      <c r="M32" s="43"/>
      <c r="N32" s="43"/>
      <c r="O32" s="43"/>
      <c r="P32" s="43"/>
      <c r="Q32" s="38">
        <f>Balance_Sheet_Qtr!F32</f>
        <v>0</v>
      </c>
      <c r="R32" s="38">
        <f>Balance_Sheet_Qtr!K32</f>
        <v>0</v>
      </c>
      <c r="S32" s="38">
        <f>Balance_Sheet_Qtr!P32</f>
        <v>0</v>
      </c>
      <c r="T32" s="38">
        <f>Balance_Sheet_Qtr!U32</f>
        <v>0</v>
      </c>
      <c r="U32" s="37">
        <f>Balance_Sheet_Qtr!Z32</f>
        <v>14443</v>
      </c>
      <c r="V32" s="38">
        <f>Balance_Sheet_Qtr!AE32</f>
        <v>116</v>
      </c>
      <c r="W32" s="38">
        <f>Balance_Sheet_Qtr!AJ32</f>
        <v>0</v>
      </c>
      <c r="X32" s="38">
        <f>Balance_Sheet_Qtr!AO32</f>
        <v>0</v>
      </c>
      <c r="Y32" s="38">
        <f>Balance_Sheet_Qtr!AT32</f>
        <v>0</v>
      </c>
      <c r="Z32" s="38">
        <f>Balance_Sheet_Qtr!AY32</f>
        <v>0</v>
      </c>
      <c r="AA32" s="38">
        <f>Balance_Sheet_Qtr!BD32</f>
        <v>0</v>
      </c>
      <c r="AB32" s="38">
        <f>Balance_Sheet_Qtr!BI32</f>
        <v>0</v>
      </c>
      <c r="AC32" s="43">
        <f>AB32</f>
        <v>0</v>
      </c>
      <c r="AD32" s="43">
        <f>AC32</f>
        <v>0</v>
      </c>
      <c r="AE32" s="43">
        <f>AD32</f>
        <v>0</v>
      </c>
      <c r="AF32" s="43">
        <f>AE32</f>
        <v>0</v>
      </c>
    </row>
    <row r="33" spans="1:32">
      <c r="A33" s="1" t="str">
        <f>Balance_Sheet_Qtr!A33</f>
        <v>Long-Term Debt Currently Due</v>
      </c>
      <c r="B33" s="43"/>
      <c r="C33" s="43"/>
      <c r="D33" s="43"/>
      <c r="E33" s="43"/>
      <c r="F33" s="43"/>
      <c r="G33" s="43"/>
      <c r="H33" s="43"/>
      <c r="I33" s="43"/>
      <c r="J33" s="43"/>
      <c r="K33" s="43"/>
      <c r="L33" s="43"/>
      <c r="M33" s="43"/>
      <c r="N33" s="43"/>
      <c r="O33" s="43"/>
      <c r="P33" s="43"/>
      <c r="Q33" s="38">
        <f>Balance_Sheet_Qtr!F33</f>
        <v>0</v>
      </c>
      <c r="R33" s="38">
        <f>Balance_Sheet_Qtr!K33</f>
        <v>0</v>
      </c>
      <c r="S33" s="38">
        <f>Balance_Sheet_Qtr!P33</f>
        <v>0</v>
      </c>
      <c r="T33" s="38">
        <f>Balance_Sheet_Qtr!U33</f>
        <v>0</v>
      </c>
      <c r="U33" s="37">
        <f>Balance_Sheet_Qtr!Z33</f>
        <v>3258</v>
      </c>
      <c r="V33" s="38">
        <f>Balance_Sheet_Qtr!AE33</f>
        <v>550</v>
      </c>
      <c r="W33" s="38">
        <f>Balance_Sheet_Qtr!AJ33</f>
        <v>24</v>
      </c>
      <c r="X33" s="38">
        <f>Balance_Sheet_Qtr!AO33</f>
        <v>595</v>
      </c>
      <c r="Y33" s="38">
        <f>Balance_Sheet_Qtr!AT33</f>
        <v>1283</v>
      </c>
      <c r="Z33" s="38">
        <f>Balance_Sheet_Qtr!AY33</f>
        <v>2352</v>
      </c>
      <c r="AA33" s="38">
        <f>Balance_Sheet_Qtr!BD33</f>
        <v>3412</v>
      </c>
      <c r="AB33" s="38">
        <f>Balance_Sheet_Qtr!BI33</f>
        <v>5296</v>
      </c>
      <c r="AC33" s="38">
        <f>Debt_Annual!AC63</f>
        <v>719</v>
      </c>
      <c r="AD33" s="38">
        <f>Debt_Annual!AD63</f>
        <v>719</v>
      </c>
      <c r="AE33" s="38">
        <f>Debt_Annual!AE63</f>
        <v>719</v>
      </c>
      <c r="AF33" s="38">
        <f>Debt_Annual!AF63</f>
        <v>719</v>
      </c>
    </row>
    <row r="34" spans="1:32">
      <c r="A34" s="8" t="str">
        <f>Balance_Sheet_Qtr!A34</f>
        <v>Total Current Liabilities</v>
      </c>
      <c r="B34" s="24"/>
      <c r="C34" s="24"/>
      <c r="D34" s="24"/>
      <c r="E34" s="24"/>
      <c r="F34" s="24"/>
      <c r="G34" s="24"/>
      <c r="H34" s="24"/>
      <c r="I34" s="24"/>
      <c r="J34" s="24"/>
      <c r="K34" s="24"/>
      <c r="L34" s="24"/>
      <c r="M34" s="24"/>
      <c r="N34" s="24"/>
      <c r="O34" s="24"/>
      <c r="P34" s="24"/>
      <c r="Q34" s="182">
        <f>Balance_Sheet_Qtr!F34</f>
        <v>0</v>
      </c>
      <c r="R34" s="182">
        <f>Balance_Sheet_Qtr!K34</f>
        <v>0</v>
      </c>
      <c r="S34" s="182">
        <f>Balance_Sheet_Qtr!P34</f>
        <v>0</v>
      </c>
      <c r="T34" s="182">
        <f>Balance_Sheet_Qtr!U34</f>
        <v>0</v>
      </c>
      <c r="U34" s="74">
        <f>Balance_Sheet_Qtr!Z34</f>
        <v>46594</v>
      </c>
      <c r="V34" s="182">
        <f>Balance_Sheet_Qtr!AE34</f>
        <v>35848</v>
      </c>
      <c r="W34" s="182">
        <f>Balance_Sheet_Qtr!AJ34</f>
        <v>35449</v>
      </c>
      <c r="X34" s="182">
        <f>Balance_Sheet_Qtr!AO34</f>
        <v>39114</v>
      </c>
      <c r="Y34" s="182">
        <f>Balance_Sheet_Qtr!AT34</f>
        <v>46761</v>
      </c>
      <c r="Z34" s="182">
        <f>Balance_Sheet_Qtr!AY34</f>
        <v>51499</v>
      </c>
      <c r="AA34" s="182">
        <f>Balance_Sheet_Qtr!BD34</f>
        <v>58784</v>
      </c>
      <c r="AB34" s="182">
        <f>Balance_Sheet_Qtr!BI34</f>
        <v>64047.130237917794</v>
      </c>
      <c r="AC34" s="24">
        <f>SUM(AC28:AC33)</f>
        <v>58538.608503248048</v>
      </c>
      <c r="AD34" s="24">
        <f>SUM(AD28:AD33)</f>
        <v>57968.103092492653</v>
      </c>
      <c r="AE34" s="24">
        <f>SUM(AE28:AE33)</f>
        <v>58112.739741974539</v>
      </c>
      <c r="AF34" s="24">
        <f>SUM(AF28:AF33)</f>
        <v>59408.278847855254</v>
      </c>
    </row>
    <row r="35" spans="1:32">
      <c r="B35" s="22"/>
      <c r="C35" s="22"/>
      <c r="D35" s="22"/>
      <c r="E35" s="22"/>
      <c r="F35" s="22"/>
      <c r="G35" s="22"/>
      <c r="H35" s="22"/>
      <c r="I35" s="22"/>
      <c r="J35" s="22"/>
      <c r="K35" s="22"/>
      <c r="L35" s="22"/>
      <c r="M35" s="22"/>
      <c r="N35" s="22"/>
      <c r="O35" s="22"/>
      <c r="P35" s="22"/>
      <c r="Q35" s="22"/>
      <c r="R35" s="22"/>
      <c r="S35" s="22"/>
      <c r="T35" s="22"/>
      <c r="U35" s="21"/>
      <c r="V35" s="22"/>
      <c r="W35" s="22"/>
      <c r="X35" s="22"/>
      <c r="Y35" s="22"/>
      <c r="Z35" s="22"/>
      <c r="AA35" s="22"/>
      <c r="AB35" s="22"/>
      <c r="AC35" s="206"/>
      <c r="AD35" s="206"/>
      <c r="AE35" s="206"/>
      <c r="AF35" s="206"/>
    </row>
    <row r="36" spans="1:32">
      <c r="A36" s="13" t="str">
        <f>Balance_Sheet_Qtr!A36</f>
        <v>Noncurrent Liabilities</v>
      </c>
      <c r="B36" s="22"/>
      <c r="C36" s="22"/>
      <c r="D36" s="22"/>
      <c r="E36" s="22"/>
      <c r="F36" s="22"/>
      <c r="G36" s="22"/>
      <c r="H36" s="22"/>
      <c r="I36" s="22"/>
      <c r="J36" s="22"/>
      <c r="K36" s="22"/>
      <c r="L36" s="22"/>
      <c r="M36" s="22"/>
      <c r="N36" s="22"/>
      <c r="O36" s="22"/>
      <c r="P36" s="22"/>
      <c r="Q36" s="22"/>
      <c r="R36" s="22"/>
      <c r="S36" s="22"/>
      <c r="T36" s="22"/>
      <c r="U36" s="21"/>
      <c r="V36" s="22"/>
      <c r="W36" s="22"/>
      <c r="X36" s="22"/>
      <c r="Y36" s="22"/>
      <c r="Z36" s="22"/>
      <c r="AA36" s="22"/>
      <c r="AB36" s="22"/>
      <c r="AC36" s="206"/>
      <c r="AD36" s="206"/>
      <c r="AE36" s="206"/>
      <c r="AF36" s="206"/>
    </row>
    <row r="37" spans="1:32">
      <c r="A37" s="1" t="str">
        <f>Balance_Sheet_Qtr!A37</f>
        <v>Long-Term Debt, Net</v>
      </c>
      <c r="B37" s="43"/>
      <c r="C37" s="43"/>
      <c r="D37" s="43"/>
      <c r="E37" s="43"/>
      <c r="F37" s="43"/>
      <c r="G37" s="43"/>
      <c r="H37" s="43"/>
      <c r="I37" s="43"/>
      <c r="J37" s="43"/>
      <c r="K37" s="43"/>
      <c r="L37" s="43"/>
      <c r="M37" s="43"/>
      <c r="N37" s="43"/>
      <c r="O37" s="43"/>
      <c r="P37" s="43"/>
      <c r="Q37" s="38">
        <f>Balance_Sheet_Qtr!F37</f>
        <v>0</v>
      </c>
      <c r="R37" s="38">
        <f>Balance_Sheet_Qtr!K37</f>
        <v>0</v>
      </c>
      <c r="S37" s="38">
        <f>Balance_Sheet_Qtr!P37</f>
        <v>0</v>
      </c>
      <c r="T37" s="38">
        <f>Balance_Sheet_Qtr!U37</f>
        <v>0</v>
      </c>
      <c r="U37" s="37">
        <f>Balance_Sheet_Qtr!Z37</f>
        <v>37701</v>
      </c>
      <c r="V37" s="38">
        <f>Balance_Sheet_Qtr!AE37</f>
        <v>31026</v>
      </c>
      <c r="W37" s="38">
        <f>Balance_Sheet_Qtr!AJ37</f>
        <v>31327</v>
      </c>
      <c r="X37" s="38">
        <f>Balance_Sheet_Qtr!AO37</f>
        <v>30694</v>
      </c>
      <c r="Y37" s="38">
        <f>Balance_Sheet_Qtr!AT37</f>
        <v>42355</v>
      </c>
      <c r="Z37" s="38">
        <f>Balance_Sheet_Qtr!AY37</f>
        <v>38726</v>
      </c>
      <c r="AA37" s="38">
        <f>Balance_Sheet_Qtr!BD37</f>
        <v>34288</v>
      </c>
      <c r="AB37" s="38">
        <f>Balance_Sheet_Qtr!BI37</f>
        <v>28989</v>
      </c>
      <c r="AC37" s="38">
        <f>Debt_Annual!AC65</f>
        <v>32466</v>
      </c>
      <c r="AD37" s="38">
        <f>Debt_Annual!AD65</f>
        <v>32466</v>
      </c>
      <c r="AE37" s="38">
        <f>Debt_Annual!AE65</f>
        <v>32466</v>
      </c>
      <c r="AF37" s="38">
        <f>Debt_Annual!AF65</f>
        <v>32466</v>
      </c>
    </row>
    <row r="38" spans="1:32">
      <c r="A38" s="1" t="str">
        <f>Balance_Sheet_Qtr!A38</f>
        <v>Operating Lease Liabilities, Non-Current</v>
      </c>
      <c r="B38" s="43"/>
      <c r="C38" s="43"/>
      <c r="D38" s="43"/>
      <c r="E38" s="43"/>
      <c r="F38" s="43"/>
      <c r="G38" s="43"/>
      <c r="H38" s="43"/>
      <c r="I38" s="43"/>
      <c r="J38" s="43"/>
      <c r="K38" s="43"/>
      <c r="L38" s="43"/>
      <c r="M38" s="43"/>
      <c r="N38" s="43"/>
      <c r="O38" s="43"/>
      <c r="P38" s="43"/>
      <c r="Q38" s="38">
        <f>Balance_Sheet_Qtr!F38</f>
        <v>0</v>
      </c>
      <c r="R38" s="38">
        <f>Balance_Sheet_Qtr!K38</f>
        <v>0</v>
      </c>
      <c r="S38" s="38">
        <f>Balance_Sheet_Qtr!P38</f>
        <v>0</v>
      </c>
      <c r="T38" s="38">
        <f>Balance_Sheet_Qtr!U38</f>
        <v>0</v>
      </c>
      <c r="U38" s="37">
        <f>Balance_Sheet_Qtr!Z38</f>
        <v>1093</v>
      </c>
      <c r="V38" s="38">
        <f>Balance_Sheet_Qtr!AE38</f>
        <v>1516</v>
      </c>
      <c r="W38" s="38">
        <f>Balance_Sheet_Qtr!AJ38</f>
        <v>1657</v>
      </c>
      <c r="X38" s="38">
        <f>Balance_Sheet_Qtr!AO38</f>
        <v>1586</v>
      </c>
      <c r="Y38" s="38">
        <f>Balance_Sheet_Qtr!AT38</f>
        <v>1412</v>
      </c>
      <c r="Z38" s="38">
        <f>Balance_Sheet_Qtr!AY38</f>
        <v>1632</v>
      </c>
      <c r="AA38" s="38">
        <f>Balance_Sheet_Qtr!BD38</f>
        <v>1602</v>
      </c>
      <c r="AB38" s="38">
        <f>Balance_Sheet_Qtr!BI38</f>
        <v>1473</v>
      </c>
      <c r="AC38" s="43">
        <f>AB38</f>
        <v>1473</v>
      </c>
      <c r="AD38" s="43">
        <f>AC38</f>
        <v>1473</v>
      </c>
      <c r="AE38" s="43">
        <f>AD38</f>
        <v>1473</v>
      </c>
      <c r="AF38" s="43">
        <f>AE38</f>
        <v>1473</v>
      </c>
    </row>
    <row r="39" spans="1:32">
      <c r="A39" s="1" t="str">
        <f>Balance_Sheet_Qtr!A39</f>
        <v>Future Pension and Postretirement Benefit Obligations</v>
      </c>
      <c r="B39" s="43"/>
      <c r="C39" s="43"/>
      <c r="D39" s="43"/>
      <c r="E39" s="43"/>
      <c r="F39" s="43"/>
      <c r="G39" s="43"/>
      <c r="H39" s="43"/>
      <c r="I39" s="43"/>
      <c r="J39" s="43"/>
      <c r="K39" s="43"/>
      <c r="L39" s="43"/>
      <c r="M39" s="43"/>
      <c r="N39" s="43"/>
      <c r="O39" s="43"/>
      <c r="P39" s="43"/>
      <c r="Q39" s="38">
        <f>Balance_Sheet_Qtr!F39</f>
        <v>0</v>
      </c>
      <c r="R39" s="38">
        <f>Balance_Sheet_Qtr!K39</f>
        <v>0</v>
      </c>
      <c r="S39" s="38">
        <f>Balance_Sheet_Qtr!P39</f>
        <v>0</v>
      </c>
      <c r="T39" s="38">
        <f>Balance_Sheet_Qtr!U39</f>
        <v>0</v>
      </c>
      <c r="U39" s="37">
        <f>Balance_Sheet_Qtr!Z39</f>
        <v>2487</v>
      </c>
      <c r="V39" s="38">
        <f>Balance_Sheet_Qtr!AE39</f>
        <v>10342</v>
      </c>
      <c r="W39" s="38">
        <f>Balance_Sheet_Qtr!AJ39</f>
        <v>7855</v>
      </c>
      <c r="X39" s="38">
        <f>Balance_Sheet_Qtr!AO39</f>
        <v>4807</v>
      </c>
      <c r="Y39" s="38">
        <f>Balance_Sheet_Qtr!AT39</f>
        <v>2385</v>
      </c>
      <c r="Z39" s="38">
        <f>Balance_Sheet_Qtr!AY39</f>
        <v>2104</v>
      </c>
      <c r="AA39" s="38">
        <f>Balance_Sheet_Qtr!BD39</f>
        <v>2067</v>
      </c>
      <c r="AB39" s="38">
        <f>Balance_Sheet_Qtr!BI39</f>
        <v>1956</v>
      </c>
      <c r="AC39" s="22">
        <f t="shared" ref="AC39:AF39" si="1">AB39</f>
        <v>1956</v>
      </c>
      <c r="AD39" s="22">
        <f t="shared" si="1"/>
        <v>1956</v>
      </c>
      <c r="AE39" s="22">
        <f t="shared" si="1"/>
        <v>1956</v>
      </c>
      <c r="AF39" s="22">
        <f t="shared" si="1"/>
        <v>1956</v>
      </c>
    </row>
    <row r="40" spans="1:32">
      <c r="A40" s="1" t="str">
        <f>Balance_Sheet_Qtr!A40</f>
        <v>Other Noncurrent Liabilities</v>
      </c>
      <c r="B40" s="43"/>
      <c r="C40" s="43"/>
      <c r="D40" s="43"/>
      <c r="E40" s="43"/>
      <c r="F40" s="43"/>
      <c r="G40" s="43"/>
      <c r="H40" s="43"/>
      <c r="I40" s="43"/>
      <c r="J40" s="43"/>
      <c r="K40" s="43"/>
      <c r="L40" s="43"/>
      <c r="M40" s="43"/>
      <c r="N40" s="43"/>
      <c r="O40" s="43"/>
      <c r="P40" s="43"/>
      <c r="Q40" s="38">
        <f>Balance_Sheet_Qtr!F40</f>
        <v>0</v>
      </c>
      <c r="R40" s="38">
        <f>Balance_Sheet_Qtr!K40</f>
        <v>0</v>
      </c>
      <c r="S40" s="38">
        <f>Balance_Sheet_Qtr!P40</f>
        <v>0</v>
      </c>
      <c r="T40" s="38">
        <f>Balance_Sheet_Qtr!U40</f>
        <v>0</v>
      </c>
      <c r="U40" s="37">
        <f>Balance_Sheet_Qtr!Z40</f>
        <v>7414</v>
      </c>
      <c r="V40" s="38">
        <f>Balance_Sheet_Qtr!AE40</f>
        <v>9537</v>
      </c>
      <c r="W40" s="38">
        <f>Balance_Sheet_Qtr!AJ40</f>
        <v>10417</v>
      </c>
      <c r="X40" s="38">
        <f>Balance_Sheet_Qtr!AO40</f>
        <v>8449</v>
      </c>
      <c r="Y40" s="38">
        <f>Balance_Sheet_Qtr!AT40</f>
        <v>7511</v>
      </c>
      <c r="Z40" s="38">
        <f>Balance_Sheet_Qtr!AY40</f>
        <v>6942</v>
      </c>
      <c r="AA40" s="38">
        <f>Balance_Sheet_Qtr!BD40</f>
        <v>7200</v>
      </c>
      <c r="AB40" s="38">
        <f>Balance_Sheet_Qtr!BI40</f>
        <v>7092</v>
      </c>
      <c r="AC40" s="22">
        <f>AB40+Cash_Flow_Annual!AB19+Cash_Flow_Annual!AC6+Cash_Flow_Annual!AC9+Cash_Flow_Annual!AC30+Cash_Flow_Annual!AC50+Cash_Flow_Annual!AC8+Cash_Flow_Annual!AC18</f>
        <v>5936</v>
      </c>
      <c r="AD40" s="22">
        <f>AC40+Cash_Flow_Annual!AC19+Cash_Flow_Annual!AD6+Cash_Flow_Annual!AD9+Cash_Flow_Annual!AD30+Cash_Flow_Annual!AD50+Cash_Flow_Annual!AD8+Cash_Flow_Annual!AD18</f>
        <v>4918.25</v>
      </c>
      <c r="AE40" s="22">
        <f>AD40+Cash_Flow_Annual!AD19+Cash_Flow_Annual!AE6+Cash_Flow_Annual!AE9+Cash_Flow_Annual!AE30+Cash_Flow_Annual!AE50+Cash_Flow_Annual!AE8+Cash_Flow_Annual!AE18</f>
        <v>3991.35</v>
      </c>
      <c r="AF40" s="22">
        <f>AE40+Cash_Flow_Annual!AE19+Cash_Flow_Annual!AF6+Cash_Flow_Annual!AF9+Cash_Flow_Annual!AF30+Cash_Flow_Annual!AF50+Cash_Flow_Annual!AF8+Cash_Flow_Annual!AF18</f>
        <v>3064.45</v>
      </c>
    </row>
    <row r="41" spans="1:32">
      <c r="A41" s="8" t="str">
        <f>Balance_Sheet_Qtr!A41</f>
        <v>Total Noncurrent Liabilities</v>
      </c>
      <c r="B41" s="24"/>
      <c r="C41" s="24"/>
      <c r="D41" s="24"/>
      <c r="E41" s="24"/>
      <c r="F41" s="24"/>
      <c r="G41" s="24"/>
      <c r="H41" s="24"/>
      <c r="I41" s="24"/>
      <c r="J41" s="24"/>
      <c r="K41" s="24"/>
      <c r="L41" s="24"/>
      <c r="M41" s="24"/>
      <c r="N41" s="24"/>
      <c r="O41" s="24"/>
      <c r="P41" s="24"/>
      <c r="Q41" s="182">
        <f>Balance_Sheet_Qtr!F41</f>
        <v>0</v>
      </c>
      <c r="R41" s="182">
        <f>Balance_Sheet_Qtr!K41</f>
        <v>0</v>
      </c>
      <c r="S41" s="182">
        <f>Balance_Sheet_Qtr!P41</f>
        <v>0</v>
      </c>
      <c r="T41" s="182">
        <f>Balance_Sheet_Qtr!U41</f>
        <v>0</v>
      </c>
      <c r="U41" s="74">
        <f>Balance_Sheet_Qtr!Z41</f>
        <v>48695</v>
      </c>
      <c r="V41" s="182">
        <f>Balance_Sheet_Qtr!AE41</f>
        <v>52421</v>
      </c>
      <c r="W41" s="182">
        <f>Balance_Sheet_Qtr!AJ41</f>
        <v>51256</v>
      </c>
      <c r="X41" s="182">
        <f>Balance_Sheet_Qtr!AO41</f>
        <v>45536</v>
      </c>
      <c r="Y41" s="182">
        <f>Balance_Sheet_Qtr!AT41</f>
        <v>53663</v>
      </c>
      <c r="Z41" s="182">
        <f>Balance_Sheet_Qtr!AY41</f>
        <v>49404</v>
      </c>
      <c r="AA41" s="182">
        <f>Balance_Sheet_Qtr!BD41</f>
        <v>45157</v>
      </c>
      <c r="AB41" s="182">
        <f>Balance_Sheet_Qtr!BI41</f>
        <v>39510</v>
      </c>
      <c r="AC41" s="24">
        <f>SUM(AC37:AC40)</f>
        <v>41831</v>
      </c>
      <c r="AD41" s="24">
        <f>SUM(AD37:AD40)</f>
        <v>40813.25</v>
      </c>
      <c r="AE41" s="24">
        <f>SUM(AE37:AE40)</f>
        <v>39886.35</v>
      </c>
      <c r="AF41" s="24">
        <f>SUM(AF37:AF40)</f>
        <v>38959.449999999997</v>
      </c>
    </row>
    <row r="42" spans="1:32">
      <c r="B42" s="22"/>
      <c r="C42" s="22"/>
      <c r="D42" s="22"/>
      <c r="E42" s="22"/>
      <c r="F42" s="22"/>
      <c r="G42" s="22"/>
      <c r="H42" s="22"/>
      <c r="I42" s="22"/>
      <c r="J42" s="22"/>
      <c r="K42" s="22"/>
      <c r="L42" s="22"/>
      <c r="M42" s="22"/>
      <c r="N42" s="22"/>
      <c r="O42" s="22"/>
      <c r="P42" s="22"/>
      <c r="Q42" s="22"/>
      <c r="R42" s="22"/>
      <c r="S42" s="22"/>
      <c r="T42" s="22"/>
      <c r="U42" s="21"/>
      <c r="V42" s="22"/>
      <c r="W42" s="22"/>
      <c r="X42" s="22"/>
      <c r="Y42" s="22"/>
      <c r="Z42" s="22"/>
      <c r="AA42" s="22"/>
      <c r="AB42" s="22"/>
      <c r="AC42" s="22"/>
      <c r="AD42" s="22"/>
      <c r="AE42" s="22"/>
      <c r="AF42" s="22"/>
    </row>
    <row r="43" spans="1:32">
      <c r="A43" s="8" t="str">
        <f>Balance_Sheet_Qtr!A43</f>
        <v>Total Liabilities</v>
      </c>
      <c r="B43" s="24"/>
      <c r="C43" s="24"/>
      <c r="D43" s="24"/>
      <c r="E43" s="24"/>
      <c r="F43" s="24"/>
      <c r="G43" s="24"/>
      <c r="H43" s="24"/>
      <c r="I43" s="24"/>
      <c r="J43" s="24"/>
      <c r="K43" s="24"/>
      <c r="L43" s="24"/>
      <c r="M43" s="24"/>
      <c r="N43" s="24"/>
      <c r="O43" s="24"/>
      <c r="P43" s="24"/>
      <c r="Q43" s="182">
        <f>Balance_Sheet_Qtr!F43</f>
        <v>0</v>
      </c>
      <c r="R43" s="182">
        <f>Balance_Sheet_Qtr!K43</f>
        <v>0</v>
      </c>
      <c r="S43" s="182">
        <f>Balance_Sheet_Qtr!P43</f>
        <v>0</v>
      </c>
      <c r="T43" s="182">
        <f>Balance_Sheet_Qtr!U43</f>
        <v>0</v>
      </c>
      <c r="U43" s="74">
        <f>Balance_Sheet_Qtr!Z43</f>
        <v>95289</v>
      </c>
      <c r="V43" s="182">
        <f>Balance_Sheet_Qtr!AE43</f>
        <v>88269</v>
      </c>
      <c r="W43" s="182">
        <f>Balance_Sheet_Qtr!AJ43</f>
        <v>86705</v>
      </c>
      <c r="X43" s="182">
        <f>Balance_Sheet_Qtr!AO43</f>
        <v>84650</v>
      </c>
      <c r="Y43" s="182">
        <f>Balance_Sheet_Qtr!AT43</f>
        <v>100424</v>
      </c>
      <c r="Z43" s="182">
        <f>Balance_Sheet_Qtr!AY43</f>
        <v>100903</v>
      </c>
      <c r="AA43" s="182">
        <f>Balance_Sheet_Qtr!BD43</f>
        <v>103941</v>
      </c>
      <c r="AB43" s="182">
        <f>Balance_Sheet_Qtr!BI43</f>
        <v>103557.13023791779</v>
      </c>
      <c r="AC43" s="24">
        <f>+AC41+AC34</f>
        <v>100369.60850324805</v>
      </c>
      <c r="AD43" s="24">
        <f>+AD41+AD34</f>
        <v>98781.353092492645</v>
      </c>
      <c r="AE43" s="24">
        <f>+AE41+AE34</f>
        <v>97999.089741974545</v>
      </c>
      <c r="AF43" s="24">
        <f>+AF41+AF34</f>
        <v>98367.728847855251</v>
      </c>
    </row>
    <row r="44" spans="1:32">
      <c r="B44" s="22"/>
      <c r="C44" s="22"/>
      <c r="D44" s="22"/>
      <c r="E44" s="22"/>
      <c r="F44" s="22"/>
      <c r="G44" s="22"/>
      <c r="H44" s="22"/>
      <c r="I44" s="22"/>
      <c r="J44" s="22"/>
      <c r="K44" s="22"/>
      <c r="L44" s="22"/>
      <c r="M44" s="22"/>
      <c r="N44" s="22"/>
      <c r="O44" s="22"/>
      <c r="P44" s="22"/>
      <c r="Q44" s="22"/>
      <c r="R44" s="22"/>
      <c r="S44" s="22"/>
      <c r="T44" s="22"/>
      <c r="U44" s="21"/>
      <c r="V44" s="22"/>
      <c r="W44" s="22"/>
      <c r="X44" s="22"/>
      <c r="Y44" s="22"/>
      <c r="Z44" s="22"/>
      <c r="AA44" s="22"/>
      <c r="AB44" s="22"/>
      <c r="AC44" s="206"/>
      <c r="AD44" s="206"/>
      <c r="AE44" s="206"/>
      <c r="AF44" s="206"/>
    </row>
    <row r="45" spans="1:32">
      <c r="A45" s="1" t="str">
        <f>Balance_Sheet_Qtr!A45</f>
        <v>Redeemable NonControlling Interest</v>
      </c>
      <c r="B45" s="22"/>
      <c r="C45" s="22"/>
      <c r="D45" s="22"/>
      <c r="E45" s="22"/>
      <c r="F45" s="22"/>
      <c r="G45" s="22"/>
      <c r="H45" s="22"/>
      <c r="I45" s="22"/>
      <c r="J45" s="22"/>
      <c r="K45" s="22"/>
      <c r="L45" s="22"/>
      <c r="M45" s="22"/>
      <c r="N45" s="22"/>
      <c r="O45" s="22"/>
      <c r="P45" s="22"/>
      <c r="Q45" s="38">
        <f>Balance_Sheet_Qtr!F45</f>
        <v>0</v>
      </c>
      <c r="R45" s="38">
        <f>Balance_Sheet_Qtr!K45</f>
        <v>0</v>
      </c>
      <c r="S45" s="38">
        <f>Balance_Sheet_Qtr!P45</f>
        <v>0</v>
      </c>
      <c r="T45" s="38">
        <f>Balance_Sheet_Qtr!U45</f>
        <v>0</v>
      </c>
      <c r="U45" s="37">
        <f>Balance_Sheet_Qtr!Z45</f>
        <v>95</v>
      </c>
      <c r="V45" s="38">
        <f>Balance_Sheet_Qtr!AE45</f>
        <v>32</v>
      </c>
      <c r="W45" s="38">
        <f>Balance_Sheet_Qtr!AJ45</f>
        <v>35</v>
      </c>
      <c r="X45" s="38">
        <f>Balance_Sheet_Qtr!AO45</f>
        <v>36</v>
      </c>
      <c r="Y45" s="38">
        <f>Balance_Sheet_Qtr!AT45</f>
        <v>35</v>
      </c>
      <c r="Z45" s="38">
        <f>Balance_Sheet_Qtr!AY45</f>
        <v>35</v>
      </c>
      <c r="AA45" s="38">
        <f>Balance_Sheet_Qtr!BD45</f>
        <v>36</v>
      </c>
      <c r="AB45" s="38">
        <f>Balance_Sheet_Qtr!BI45</f>
        <v>28</v>
      </c>
      <c r="AC45" s="43">
        <f>AB45</f>
        <v>28</v>
      </c>
      <c r="AD45" s="43">
        <f>AC45</f>
        <v>28</v>
      </c>
      <c r="AE45" s="43">
        <f>AD45</f>
        <v>28</v>
      </c>
      <c r="AF45" s="43">
        <f>AE45</f>
        <v>28</v>
      </c>
    </row>
    <row r="46" spans="1:32">
      <c r="B46" s="22"/>
      <c r="C46" s="22"/>
      <c r="D46" s="22"/>
      <c r="E46" s="22"/>
      <c r="F46" s="22"/>
      <c r="G46" s="22"/>
      <c r="H46" s="22"/>
      <c r="I46" s="22"/>
      <c r="J46" s="22"/>
      <c r="K46" s="22"/>
      <c r="L46" s="22"/>
      <c r="M46" s="22"/>
      <c r="N46" s="22"/>
      <c r="O46" s="22"/>
      <c r="P46" s="22"/>
      <c r="Q46" s="22"/>
      <c r="R46" s="22"/>
      <c r="S46" s="22"/>
      <c r="T46" s="22"/>
      <c r="U46" s="21"/>
      <c r="V46" s="22"/>
      <c r="W46" s="22"/>
      <c r="X46" s="22"/>
      <c r="Y46" s="22"/>
      <c r="Z46" s="22"/>
      <c r="AA46" s="22"/>
      <c r="AB46" s="22"/>
      <c r="AC46" s="206"/>
      <c r="AD46" s="206"/>
      <c r="AE46" s="206"/>
      <c r="AF46" s="206"/>
    </row>
    <row r="47" spans="1:32">
      <c r="A47" s="4" t="str">
        <f>Balance_Sheet_Qtr!A47</f>
        <v>Equity</v>
      </c>
      <c r="B47" s="22"/>
      <c r="C47" s="22"/>
      <c r="D47" s="22"/>
      <c r="E47" s="22"/>
      <c r="F47" s="22"/>
      <c r="G47" s="22"/>
      <c r="H47" s="22"/>
      <c r="I47" s="22"/>
      <c r="J47" s="22"/>
      <c r="K47" s="22"/>
      <c r="L47" s="22"/>
      <c r="M47" s="22"/>
      <c r="N47" s="22"/>
      <c r="O47" s="22"/>
      <c r="P47" s="22"/>
      <c r="Q47" s="22"/>
      <c r="R47" s="22"/>
      <c r="S47" s="22"/>
      <c r="T47" s="22"/>
      <c r="U47" s="21"/>
      <c r="V47" s="22"/>
      <c r="W47" s="22"/>
      <c r="X47" s="22"/>
      <c r="Y47" s="22"/>
      <c r="Z47" s="22"/>
      <c r="AA47" s="22"/>
      <c r="AB47" s="22"/>
      <c r="AC47" s="206"/>
      <c r="AD47" s="206"/>
      <c r="AE47" s="206"/>
      <c r="AF47" s="206"/>
    </row>
    <row r="48" spans="1:32">
      <c r="A48" s="1" t="str">
        <f>Balance_Sheet_Qtr!A48</f>
        <v>Stockholders' Equity</v>
      </c>
      <c r="B48" s="22"/>
      <c r="C48" s="22"/>
      <c r="D48" s="22"/>
      <c r="E48" s="22"/>
      <c r="F48" s="22"/>
      <c r="G48" s="22"/>
      <c r="H48" s="22"/>
      <c r="I48" s="22"/>
      <c r="J48" s="22"/>
      <c r="K48" s="22"/>
      <c r="L48" s="22"/>
      <c r="M48" s="22"/>
      <c r="N48" s="22"/>
      <c r="O48" s="22"/>
      <c r="P48" s="22"/>
      <c r="Q48" s="22"/>
      <c r="R48" s="22"/>
      <c r="S48" s="22"/>
      <c r="T48" s="22"/>
      <c r="U48" s="21"/>
      <c r="V48" s="22"/>
      <c r="W48" s="22"/>
      <c r="X48" s="22"/>
      <c r="Y48" s="22"/>
      <c r="Z48" s="22"/>
      <c r="AA48" s="22"/>
      <c r="AB48" s="22"/>
      <c r="AC48" s="206"/>
      <c r="AD48" s="206"/>
      <c r="AE48" s="206"/>
      <c r="AF48" s="206"/>
    </row>
    <row r="49" spans="1:57">
      <c r="A49" s="1" t="str">
        <f>Balance_Sheet_Qtr!A49</f>
        <v>Common Stock</v>
      </c>
      <c r="B49" s="43"/>
      <c r="C49" s="43"/>
      <c r="D49" s="43"/>
      <c r="E49" s="43"/>
      <c r="F49" s="43"/>
      <c r="G49" s="43"/>
      <c r="H49" s="43"/>
      <c r="I49" s="43"/>
      <c r="J49" s="43"/>
      <c r="K49" s="43"/>
      <c r="L49" s="43"/>
      <c r="M49" s="43"/>
      <c r="N49" s="43"/>
      <c r="O49" s="43"/>
      <c r="P49" s="43"/>
      <c r="Q49" s="38">
        <f>Balance_Sheet_Qtr!F49</f>
        <v>0</v>
      </c>
      <c r="R49" s="38">
        <f>Balance_Sheet_Qtr!K49</f>
        <v>0</v>
      </c>
      <c r="S49" s="38">
        <f>Balance_Sheet_Qtr!P49</f>
        <v>0</v>
      </c>
      <c r="T49" s="38">
        <f>Balance_Sheet_Qtr!U49</f>
        <v>23019</v>
      </c>
      <c r="U49" s="37">
        <f>Balance_Sheet_Qtr!Z49</f>
        <v>23019</v>
      </c>
      <c r="V49" s="38">
        <f>Balance_Sheet_Qtr!AE49</f>
        <v>36930</v>
      </c>
      <c r="W49" s="38">
        <f>Balance_Sheet_Qtr!AJ49</f>
        <v>37483</v>
      </c>
      <c r="X49" s="38">
        <f>Balance_Sheet_Qtr!AO49</f>
        <v>37911</v>
      </c>
      <c r="Y49" s="38">
        <f>Balance_Sheet_Qtr!AT49</f>
        <v>37040</v>
      </c>
      <c r="Z49" s="38">
        <f>Balance_Sheet_Qtr!AY49</f>
        <v>37434</v>
      </c>
      <c r="AA49" s="38">
        <f>Balance_Sheet_Qtr!BD49</f>
        <v>38126</v>
      </c>
      <c r="AB49" s="38">
        <f>Balance_Sheet_Qtr!BI49</f>
        <v>38424</v>
      </c>
      <c r="AC49" s="22">
        <f>AB49</f>
        <v>38424</v>
      </c>
      <c r="AD49" s="22">
        <f>AC49</f>
        <v>38424</v>
      </c>
      <c r="AE49" s="22">
        <f>AD49</f>
        <v>38424</v>
      </c>
      <c r="AF49" s="22">
        <f>AE49</f>
        <v>38424</v>
      </c>
    </row>
    <row r="50" spans="1:57">
      <c r="A50" s="1" t="str">
        <f>Balance_Sheet_Qtr!A50</f>
        <v>Treasury Stock</v>
      </c>
      <c r="B50" s="43"/>
      <c r="C50" s="43"/>
      <c r="D50" s="43"/>
      <c r="E50" s="43"/>
      <c r="F50" s="43"/>
      <c r="G50" s="43"/>
      <c r="H50" s="43"/>
      <c r="I50" s="43"/>
      <c r="J50" s="43"/>
      <c r="K50" s="43"/>
      <c r="L50" s="43"/>
      <c r="M50" s="43"/>
      <c r="N50" s="43"/>
      <c r="O50" s="43"/>
      <c r="P50" s="43"/>
      <c r="Q50" s="38">
        <f>Balance_Sheet_Qtr!F50</f>
        <v>0</v>
      </c>
      <c r="R50" s="38">
        <f>Balance_Sheet_Qtr!K50</f>
        <v>0</v>
      </c>
      <c r="S50" s="38">
        <f>Balance_Sheet_Qtr!P50</f>
        <v>0</v>
      </c>
      <c r="T50" s="38">
        <f>Balance_Sheet_Qtr!U50</f>
        <v>0</v>
      </c>
      <c r="U50" s="37">
        <f>Balance_Sheet_Qtr!Z50</f>
        <v>-32626</v>
      </c>
      <c r="V50" s="38">
        <f>Balance_Sheet_Qtr!AE50</f>
        <v>-10407</v>
      </c>
      <c r="W50" s="38">
        <f>Balance_Sheet_Qtr!AJ50</f>
        <v>-12727</v>
      </c>
      <c r="X50" s="38">
        <f>Balance_Sheet_Qtr!AO50</f>
        <v>-15530</v>
      </c>
      <c r="Y50" s="38">
        <f>Balance_Sheet_Qtr!AT50</f>
        <v>-26977</v>
      </c>
      <c r="Z50" s="38">
        <f>Balance_Sheet_Qtr!AY50</f>
        <v>-27112</v>
      </c>
      <c r="AA50" s="38">
        <f>Balance_Sheet_Qtr!BD50</f>
        <v>-26881</v>
      </c>
      <c r="AB50" s="38">
        <f>Balance_Sheet_Qtr!BI50</f>
        <v>-26758</v>
      </c>
      <c r="AC50" s="22">
        <f>AB50+Cash_Flow_Annual!AC41</f>
        <v>-30758</v>
      </c>
      <c r="AD50" s="22">
        <f>AC50+Cash_Flow_Annual!AD41</f>
        <v>-34758</v>
      </c>
      <c r="AE50" s="22">
        <f>AD50+Cash_Flow_Annual!AE41</f>
        <v>-38758</v>
      </c>
      <c r="AF50" s="22">
        <f>AE50+Cash_Flow_Annual!AF41</f>
        <v>-42758</v>
      </c>
    </row>
    <row r="51" spans="1:57">
      <c r="A51" s="1" t="str">
        <f>Balance_Sheet_Qtr!A51</f>
        <v>Retained Earnings</v>
      </c>
      <c r="B51" s="43"/>
      <c r="C51" s="43"/>
      <c r="D51" s="43"/>
      <c r="E51" s="43"/>
      <c r="F51" s="43"/>
      <c r="G51" s="43"/>
      <c r="H51" s="43"/>
      <c r="I51" s="43"/>
      <c r="J51" s="43"/>
      <c r="K51" s="43"/>
      <c r="L51" s="43"/>
      <c r="M51" s="43"/>
      <c r="N51" s="43"/>
      <c r="O51" s="43"/>
      <c r="P51" s="43"/>
      <c r="Q51" s="38">
        <f>Balance_Sheet_Qtr!F51</f>
        <v>0</v>
      </c>
      <c r="R51" s="38">
        <f>Balance_Sheet_Qtr!K51</f>
        <v>0</v>
      </c>
      <c r="S51" s="38">
        <f>Balance_Sheet_Qtr!P51</f>
        <v>0</v>
      </c>
      <c r="T51" s="38">
        <f>Balance_Sheet_Qtr!U51</f>
        <v>61594</v>
      </c>
      <c r="U51" s="37">
        <f>Balance_Sheet_Qtr!Z51</f>
        <v>61594</v>
      </c>
      <c r="V51" s="38">
        <f>Balance_Sheet_Qtr!AE51</f>
        <v>49423</v>
      </c>
      <c r="W51" s="38">
        <f>Balance_Sheet_Qtr!AJ51</f>
        <v>50265</v>
      </c>
      <c r="X51" s="38">
        <f>Balance_Sheet_Qtr!AO51</f>
        <v>52269</v>
      </c>
      <c r="Y51" s="38">
        <f>Balance_Sheet_Qtr!AT51</f>
        <v>52154</v>
      </c>
      <c r="Z51" s="38">
        <f>Balance_Sheet_Qtr!AY51</f>
        <v>53589</v>
      </c>
      <c r="AA51" s="38">
        <f>Balance_Sheet_Qtr!BD51</f>
        <v>56718</v>
      </c>
      <c r="AB51" s="38">
        <f>Balance_Sheet_Qtr!BI51</f>
        <v>60165.02902924284</v>
      </c>
      <c r="AC51" s="22">
        <f>AB51+ProForma_IS_Annual!AC49+Cash_Flow_Annual!AC40+Cash_Flow_Annual!AC36</f>
        <v>65122.865207664465</v>
      </c>
      <c r="AD51" s="22">
        <f>AC51+ProForma_IS_Annual!AD49+Cash_Flow_Annual!AD40+Cash_Flow_Annual!AD36</f>
        <v>70623.555566237555</v>
      </c>
      <c r="AE51" s="22">
        <f>AD51+ProForma_IS_Annual!AE49+Cash_Flow_Annual!AE40+Cash_Flow_Annual!AE36</f>
        <v>76736.112942841151</v>
      </c>
      <c r="AF51" s="22">
        <f>AE51+ProForma_IS_Annual!AF49+Cash_Flow_Annual!AF40+Cash_Flow_Annual!AF36</f>
        <v>83387.543755386505</v>
      </c>
    </row>
    <row r="52" spans="1:57">
      <c r="A52" s="1" t="str">
        <f>Balance_Sheet_Qtr!A52</f>
        <v>Unearned ESOP Shares</v>
      </c>
      <c r="B52" s="43"/>
      <c r="C52" s="43"/>
      <c r="D52" s="43"/>
      <c r="E52" s="43"/>
      <c r="F52" s="43"/>
      <c r="G52" s="43"/>
      <c r="H52" s="43"/>
      <c r="I52" s="43"/>
      <c r="J52" s="43"/>
      <c r="K52" s="43"/>
      <c r="L52" s="43"/>
      <c r="M52" s="43"/>
      <c r="N52" s="43"/>
      <c r="O52" s="43"/>
      <c r="P52" s="43"/>
      <c r="Q52" s="38">
        <f>Balance_Sheet_Qtr!F52</f>
        <v>0</v>
      </c>
      <c r="R52" s="38">
        <f>Balance_Sheet_Qtr!K52</f>
        <v>0</v>
      </c>
      <c r="S52" s="38">
        <f>Balance_Sheet_Qtr!P52</f>
        <v>0</v>
      </c>
      <c r="T52" s="38">
        <f>Balance_Sheet_Qtr!U52</f>
        <v>0</v>
      </c>
      <c r="U52" s="37">
        <f>Balance_Sheet_Qtr!Z52</f>
        <v>-64</v>
      </c>
      <c r="V52" s="38">
        <f>Balance_Sheet_Qtr!AE52</f>
        <v>-49</v>
      </c>
      <c r="W52" s="38">
        <f>Balance_Sheet_Qtr!AJ52</f>
        <v>-38</v>
      </c>
      <c r="X52" s="38">
        <f>Balance_Sheet_Qtr!AO52</f>
        <v>0</v>
      </c>
      <c r="Y52" s="38">
        <f>Balance_Sheet_Qtr!AT52</f>
        <v>0</v>
      </c>
      <c r="Z52" s="38">
        <f>Balance_Sheet_Qtr!AY52</f>
        <v>0</v>
      </c>
      <c r="AA52" s="38">
        <f>Balance_Sheet_Qtr!BD52</f>
        <v>0</v>
      </c>
      <c r="AB52" s="38">
        <f>Balance_Sheet_Qtr!BI52</f>
        <v>304</v>
      </c>
      <c r="AC52" s="22">
        <f>AB52+Cash_Flow_Annual!AC39+Cash_Flow_Annual!AC7</f>
        <v>754</v>
      </c>
      <c r="AD52" s="22">
        <f>AC52+Cash_Flow_Annual!AD39+Cash_Flow_Annual!AD7</f>
        <v>1204</v>
      </c>
      <c r="AE52" s="22">
        <f>AD52+Cash_Flow_Annual!AE39+Cash_Flow_Annual!AE7</f>
        <v>1654</v>
      </c>
      <c r="AF52" s="22">
        <f>AE52+Cash_Flow_Annual!AF39+Cash_Flow_Annual!AF7</f>
        <v>2104</v>
      </c>
    </row>
    <row r="53" spans="1:57">
      <c r="A53" s="1" t="str">
        <f>Balance_Sheet_Qtr!A53</f>
        <v>Accumulated Other Comprehensive Loss</v>
      </c>
      <c r="B53" s="43"/>
      <c r="C53" s="43"/>
      <c r="D53" s="43"/>
      <c r="E53" s="43"/>
      <c r="F53" s="43"/>
      <c r="G53" s="43"/>
      <c r="H53" s="43"/>
      <c r="I53" s="43"/>
      <c r="J53" s="43"/>
      <c r="K53" s="43"/>
      <c r="L53" s="43"/>
      <c r="M53" s="43"/>
      <c r="N53" s="43"/>
      <c r="O53" s="43"/>
      <c r="P53" s="43"/>
      <c r="Q53" s="38">
        <f>Balance_Sheet_Qtr!F53</f>
        <v>0</v>
      </c>
      <c r="R53" s="38">
        <f>Balance_Sheet_Qtr!K53</f>
        <v>0</v>
      </c>
      <c r="S53" s="38">
        <f>Balance_Sheet_Qtr!P53</f>
        <v>0</v>
      </c>
      <c r="T53" s="38">
        <f>Balance_Sheet_Qtr!U53</f>
        <v>0</v>
      </c>
      <c r="U53" s="37">
        <f>Balance_Sheet_Qtr!Z53</f>
        <v>-10149</v>
      </c>
      <c r="V53" s="38">
        <f>Balance_Sheet_Qtr!AE53</f>
        <v>-3734</v>
      </c>
      <c r="W53" s="38">
        <f>Balance_Sheet_Qtr!AJ53</f>
        <v>-1915</v>
      </c>
      <c r="X53" s="38">
        <f>Balance_Sheet_Qtr!AO53</f>
        <v>-2018</v>
      </c>
      <c r="Y53" s="38">
        <f>Balance_Sheet_Qtr!AT53</f>
        <v>-2419</v>
      </c>
      <c r="Z53" s="38">
        <f>Balance_Sheet_Qtr!AY53</f>
        <v>-3755</v>
      </c>
      <c r="AA53" s="38">
        <f>Balance_Sheet_Qtr!BD53</f>
        <v>-2718</v>
      </c>
      <c r="AB53" s="38">
        <f>Balance_Sheet_Qtr!BI53</f>
        <v>-3309</v>
      </c>
      <c r="AC53" s="22">
        <f>AB53+Cash_Flow_Annual!AC52+Cash_Flow_Annual!AC53</f>
        <v>-3309</v>
      </c>
      <c r="AD53" s="22">
        <f>AC53+Cash_Flow_Annual!AD52+Cash_Flow_Annual!AD53</f>
        <v>-3309</v>
      </c>
      <c r="AE53" s="22">
        <f>AD53+Cash_Flow_Annual!AE52+Cash_Flow_Annual!AE53</f>
        <v>-3309</v>
      </c>
      <c r="AF53" s="22">
        <f>AE53+Cash_Flow_Annual!AF52+Cash_Flow_Annual!AF53</f>
        <v>-3309</v>
      </c>
    </row>
    <row r="54" spans="1:57">
      <c r="A54" s="8" t="str">
        <f>Balance_Sheet_Qtr!A54</f>
        <v>Total Stockholder's Equity</v>
      </c>
      <c r="B54" s="24"/>
      <c r="C54" s="24"/>
      <c r="D54" s="24"/>
      <c r="E54" s="24"/>
      <c r="F54" s="24"/>
      <c r="G54" s="24"/>
      <c r="H54" s="24"/>
      <c r="I54" s="24"/>
      <c r="J54" s="24"/>
      <c r="K54" s="24"/>
      <c r="L54" s="24"/>
      <c r="M54" s="24"/>
      <c r="N54" s="24"/>
      <c r="O54" s="24"/>
      <c r="P54" s="24"/>
      <c r="Q54" s="182">
        <f>Balance_Sheet_Qtr!F54</f>
        <v>0</v>
      </c>
      <c r="R54" s="182">
        <f>Balance_Sheet_Qtr!K54</f>
        <v>0</v>
      </c>
      <c r="S54" s="182">
        <f>Balance_Sheet_Qtr!P54</f>
        <v>0</v>
      </c>
      <c r="T54" s="182">
        <f>Balance_Sheet_Qtr!U54</f>
        <v>0</v>
      </c>
      <c r="U54" s="74">
        <f>Balance_Sheet_Qtr!Z54</f>
        <v>41774</v>
      </c>
      <c r="V54" s="182">
        <f>Balance_Sheet_Qtr!AE54</f>
        <v>72163</v>
      </c>
      <c r="W54" s="182">
        <f>Balance_Sheet_Qtr!AJ54</f>
        <v>73068</v>
      </c>
      <c r="X54" s="182">
        <f>Balance_Sheet_Qtr!AO54</f>
        <v>72632</v>
      </c>
      <c r="Y54" s="182">
        <f>Balance_Sheet_Qtr!AT54</f>
        <v>59798</v>
      </c>
      <c r="Z54" s="182">
        <f>Balance_Sheet_Qtr!AY54</f>
        <v>60156</v>
      </c>
      <c r="AA54" s="182">
        <f>Balance_Sheet_Qtr!BD54</f>
        <v>65245</v>
      </c>
      <c r="AB54" s="182">
        <f>Balance_Sheet_Qtr!BI54</f>
        <v>68826.02902924284</v>
      </c>
      <c r="AC54" s="24">
        <f>SUM(AC48:AC53)</f>
        <v>70233.865207664465</v>
      </c>
      <c r="AD54" s="24">
        <f>SUM(AD48:AD53)</f>
        <v>72184.555566237555</v>
      </c>
      <c r="AE54" s="24">
        <f>SUM(AE48:AE53)</f>
        <v>74747.112942841151</v>
      </c>
      <c r="AF54" s="24">
        <f>SUM(AF48:AF53)</f>
        <v>77848.543755386505</v>
      </c>
    </row>
    <row r="55" spans="1:57">
      <c r="B55" s="22"/>
      <c r="C55" s="22"/>
      <c r="D55" s="22"/>
      <c r="E55" s="22"/>
      <c r="F55" s="22"/>
      <c r="G55" s="22"/>
      <c r="H55" s="22"/>
      <c r="I55" s="22"/>
      <c r="J55" s="22"/>
      <c r="K55" s="22"/>
      <c r="L55" s="22"/>
      <c r="M55" s="22"/>
      <c r="N55" s="22"/>
      <c r="O55" s="22"/>
      <c r="P55" s="22"/>
      <c r="Q55" s="22"/>
      <c r="R55" s="22"/>
      <c r="S55" s="22"/>
      <c r="T55" s="22"/>
      <c r="U55" s="21"/>
      <c r="V55" s="22"/>
      <c r="W55" s="22"/>
      <c r="X55" s="22"/>
      <c r="Y55" s="22"/>
      <c r="Z55" s="22"/>
      <c r="AA55" s="22"/>
      <c r="AB55" s="22"/>
      <c r="AC55" s="206"/>
      <c r="AD55" s="206"/>
      <c r="AE55" s="206"/>
      <c r="AF55" s="206"/>
    </row>
    <row r="56" spans="1:57">
      <c r="A56" s="4" t="str">
        <f>Balance_Sheet_Qtr!A56</f>
        <v>Noncontrolling Interests in Subsidiary</v>
      </c>
      <c r="B56" s="85"/>
      <c r="C56" s="85"/>
      <c r="D56" s="85"/>
      <c r="E56" s="85"/>
      <c r="F56" s="85"/>
      <c r="G56" s="85"/>
      <c r="H56" s="85"/>
      <c r="I56" s="85"/>
      <c r="J56" s="85"/>
      <c r="K56" s="85"/>
      <c r="L56" s="85"/>
      <c r="M56" s="85"/>
      <c r="N56" s="85"/>
      <c r="O56" s="85"/>
      <c r="P56" s="85"/>
      <c r="Q56" s="183">
        <f>Balance_Sheet_Qtr!F56</f>
        <v>0</v>
      </c>
      <c r="R56" s="183">
        <f>Balance_Sheet_Qtr!K56</f>
        <v>0</v>
      </c>
      <c r="S56" s="183">
        <f>Balance_Sheet_Qtr!P56</f>
        <v>0</v>
      </c>
      <c r="T56" s="183">
        <f>Balance_Sheet_Qtr!U56</f>
        <v>0</v>
      </c>
      <c r="U56" s="72">
        <f>Balance_Sheet_Qtr!Z56</f>
        <v>2457</v>
      </c>
      <c r="V56" s="183">
        <f>Balance_Sheet_Qtr!AE56</f>
        <v>1689</v>
      </c>
      <c r="W56" s="183">
        <f>Balance_Sheet_Qtr!AJ56</f>
        <v>1596</v>
      </c>
      <c r="X56" s="183">
        <f>Balance_Sheet_Qtr!AO56</f>
        <v>1546</v>
      </c>
      <c r="Y56" s="183">
        <f>Balance_Sheet_Qtr!AT56</f>
        <v>1612</v>
      </c>
      <c r="Z56" s="183">
        <f>Balance_Sheet_Qtr!AY56</f>
        <v>1767</v>
      </c>
      <c r="AA56" s="183">
        <f>Balance_Sheet_Qtr!BD56</f>
        <v>1857</v>
      </c>
      <c r="AB56" s="183">
        <f>Balance_Sheet_Qtr!BI56</f>
        <v>1969.1000000000001</v>
      </c>
      <c r="AC56" s="111">
        <f>AB56-ProForma_IS_Annual!AC43</f>
        <v>2418.1525000000001</v>
      </c>
      <c r="AD56" s="111">
        <f>AC56-ProForma_IS_Annual!AD43</f>
        <v>2880.6765750000004</v>
      </c>
      <c r="AE56" s="111">
        <f>AD56-ProForma_IS_Annual!AE43</f>
        <v>3357.0763722500005</v>
      </c>
      <c r="AF56" s="111">
        <f>AE56-ProForma_IS_Annual!AF43</f>
        <v>3847.7681634175005</v>
      </c>
    </row>
    <row r="57" spans="1:57">
      <c r="B57" s="22"/>
      <c r="C57" s="22"/>
      <c r="D57" s="22"/>
      <c r="E57" s="22"/>
      <c r="F57" s="22"/>
      <c r="G57" s="22"/>
      <c r="H57" s="22"/>
      <c r="I57" s="22"/>
      <c r="J57" s="22"/>
      <c r="K57" s="22"/>
      <c r="L57" s="22"/>
      <c r="M57" s="22"/>
      <c r="N57" s="22"/>
      <c r="O57" s="22"/>
      <c r="P57" s="22"/>
      <c r="Q57" s="22"/>
      <c r="R57" s="22"/>
      <c r="S57" s="22"/>
      <c r="T57" s="22"/>
      <c r="U57" s="21"/>
      <c r="V57" s="22"/>
      <c r="W57" s="22"/>
      <c r="X57" s="22"/>
      <c r="Y57" s="22"/>
      <c r="Z57" s="22"/>
      <c r="AA57" s="22"/>
      <c r="AB57" s="22"/>
      <c r="AC57" s="206"/>
      <c r="AD57" s="206"/>
      <c r="AE57" s="206"/>
      <c r="AF57" s="206"/>
    </row>
    <row r="58" spans="1:57">
      <c r="A58" s="8" t="str">
        <f>Balance_Sheet_Qtr!A58</f>
        <v>Total Equity</v>
      </c>
      <c r="B58" s="24"/>
      <c r="C58" s="24"/>
      <c r="D58" s="24"/>
      <c r="E58" s="24"/>
      <c r="F58" s="24"/>
      <c r="G58" s="24"/>
      <c r="H58" s="24"/>
      <c r="I58" s="24"/>
      <c r="J58" s="24"/>
      <c r="K58" s="24"/>
      <c r="L58" s="24"/>
      <c r="M58" s="24"/>
      <c r="N58" s="24"/>
      <c r="O58" s="24"/>
      <c r="P58" s="24"/>
      <c r="Q58" s="182">
        <f>Balance_Sheet_Qtr!F58</f>
        <v>0</v>
      </c>
      <c r="R58" s="182">
        <f>Balance_Sheet_Qtr!K58</f>
        <v>0</v>
      </c>
      <c r="S58" s="182">
        <f>Balance_Sheet_Qtr!P58</f>
        <v>0</v>
      </c>
      <c r="T58" s="182">
        <f>Balance_Sheet_Qtr!U58</f>
        <v>0</v>
      </c>
      <c r="U58" s="74">
        <f>Balance_Sheet_Qtr!Z58</f>
        <v>44231</v>
      </c>
      <c r="V58" s="182">
        <f>Balance_Sheet_Qtr!AE58</f>
        <v>73852</v>
      </c>
      <c r="W58" s="182">
        <f>Balance_Sheet_Qtr!AJ58</f>
        <v>74664</v>
      </c>
      <c r="X58" s="182">
        <f>Balance_Sheet_Qtr!AO58</f>
        <v>74178</v>
      </c>
      <c r="Y58" s="182">
        <f>Balance_Sheet_Qtr!AT58</f>
        <v>61410</v>
      </c>
      <c r="Z58" s="182">
        <f>Balance_Sheet_Qtr!AY58</f>
        <v>61923</v>
      </c>
      <c r="AA58" s="182">
        <f>Balance_Sheet_Qtr!BD58</f>
        <v>67102</v>
      </c>
      <c r="AB58" s="182">
        <f>Balance_Sheet_Qtr!BI58</f>
        <v>70795.129029242846</v>
      </c>
      <c r="AC58" s="24">
        <f>+AC54+AC56</f>
        <v>72652.017707664461</v>
      </c>
      <c r="AD58" s="24">
        <f>+AD54+AD56</f>
        <v>75065.23214123756</v>
      </c>
      <c r="AE58" s="24">
        <f>+AE54+AE56</f>
        <v>78104.189315091149</v>
      </c>
      <c r="AF58" s="24">
        <f>+AF54+AF56</f>
        <v>81696.311918804</v>
      </c>
    </row>
    <row r="59" spans="1:57">
      <c r="B59" s="22"/>
      <c r="C59" s="22"/>
      <c r="D59" s="22"/>
      <c r="E59" s="22"/>
      <c r="F59" s="22"/>
      <c r="G59" s="22"/>
      <c r="H59" s="22"/>
      <c r="I59" s="22"/>
      <c r="J59" s="22"/>
      <c r="K59" s="22"/>
      <c r="L59" s="22"/>
      <c r="M59" s="22"/>
      <c r="N59" s="22"/>
      <c r="O59" s="22"/>
      <c r="P59" s="22"/>
      <c r="Q59" s="22"/>
      <c r="R59" s="22"/>
      <c r="S59" s="22"/>
      <c r="T59" s="22"/>
      <c r="U59" s="21"/>
      <c r="V59" s="22"/>
      <c r="W59" s="22"/>
      <c r="X59" s="22"/>
      <c r="Y59" s="22"/>
      <c r="Z59" s="22"/>
      <c r="AA59" s="22"/>
      <c r="AB59" s="22"/>
      <c r="AC59" s="22"/>
      <c r="AD59" s="22"/>
      <c r="AE59" s="22"/>
      <c r="AF59" s="22"/>
    </row>
    <row r="60" spans="1:57">
      <c r="A60" s="8" t="str">
        <f>Balance_Sheet_Qtr!A60</f>
        <v>Total Liabilities and Equity</v>
      </c>
      <c r="B60" s="24"/>
      <c r="C60" s="24"/>
      <c r="D60" s="24"/>
      <c r="E60" s="24"/>
      <c r="F60" s="24"/>
      <c r="G60" s="24"/>
      <c r="H60" s="24"/>
      <c r="I60" s="24"/>
      <c r="J60" s="24"/>
      <c r="K60" s="24"/>
      <c r="L60" s="24"/>
      <c r="M60" s="24"/>
      <c r="N60" s="24"/>
      <c r="O60" s="24"/>
      <c r="P60" s="24"/>
      <c r="Q60" s="182">
        <f>Balance_Sheet_Qtr!F60</f>
        <v>0</v>
      </c>
      <c r="R60" s="182">
        <f>Balance_Sheet_Qtr!K60</f>
        <v>0</v>
      </c>
      <c r="S60" s="182">
        <f>Balance_Sheet_Qtr!P60</f>
        <v>0</v>
      </c>
      <c r="T60" s="182">
        <f>Balance_Sheet_Qtr!U60</f>
        <v>0</v>
      </c>
      <c r="U60" s="74">
        <f>Balance_Sheet_Qtr!Z60</f>
        <v>139615</v>
      </c>
      <c r="V60" s="182">
        <f>Balance_Sheet_Qtr!AE60</f>
        <v>162153</v>
      </c>
      <c r="W60" s="182">
        <f>Balance_Sheet_Qtr!AJ60</f>
        <v>161404</v>
      </c>
      <c r="X60" s="182">
        <f>Balance_Sheet_Qtr!AO60</f>
        <v>158864</v>
      </c>
      <c r="Y60" s="182">
        <f>Balance_Sheet_Qtr!AT60</f>
        <v>161869</v>
      </c>
      <c r="Z60" s="182">
        <f>Balance_Sheet_Qtr!AY60</f>
        <v>162861</v>
      </c>
      <c r="AA60" s="182">
        <f>Balance_Sheet_Qtr!BD60</f>
        <v>171079</v>
      </c>
      <c r="AB60" s="182">
        <f>Balance_Sheet_Qtr!BI60</f>
        <v>174380.25926716064</v>
      </c>
      <c r="AC60" s="24">
        <f>+AC58+AC43+AC45</f>
        <v>173049.62621091251</v>
      </c>
      <c r="AD60" s="24">
        <f>+AD58+AD43+AD45</f>
        <v>173874.58523373021</v>
      </c>
      <c r="AE60" s="24">
        <f>+AE58+AE43+AE45</f>
        <v>176131.27905706569</v>
      </c>
      <c r="AF60" s="24">
        <f>+AF58+AF43+AF45</f>
        <v>180092.04076665925</v>
      </c>
    </row>
    <row r="61" spans="1:57">
      <c r="A61" s="17" t="str">
        <f>Balance_Sheet_Qtr!A61</f>
        <v>Check</v>
      </c>
      <c r="B61" s="87"/>
      <c r="C61" s="87"/>
      <c r="D61" s="87"/>
      <c r="E61" s="87"/>
      <c r="F61" s="87"/>
      <c r="G61" s="87"/>
      <c r="H61" s="87"/>
      <c r="I61" s="87"/>
      <c r="J61" s="87"/>
      <c r="K61" s="87"/>
      <c r="L61" s="87"/>
      <c r="M61" s="87"/>
      <c r="N61" s="87"/>
      <c r="O61" s="87"/>
      <c r="P61" s="87"/>
      <c r="Q61" s="184" t="b">
        <f t="shared" ref="Q61:V61" si="2">+Q60=Q24</f>
        <v>1</v>
      </c>
      <c r="R61" s="184" t="b">
        <f t="shared" si="2"/>
        <v>1</v>
      </c>
      <c r="S61" s="184" t="b">
        <f t="shared" si="2"/>
        <v>1</v>
      </c>
      <c r="T61" s="184" t="b">
        <f t="shared" si="2"/>
        <v>1</v>
      </c>
      <c r="U61" s="87" t="b">
        <f t="shared" si="2"/>
        <v>1</v>
      </c>
      <c r="V61" s="87" t="b">
        <f t="shared" si="2"/>
        <v>1</v>
      </c>
      <c r="W61" s="87" t="b">
        <f t="shared" ref="W61:AC61" si="3">+ROUND(W60,8)=ROUND(W24,8)</f>
        <v>1</v>
      </c>
      <c r="X61" s="87" t="b">
        <f t="shared" si="3"/>
        <v>1</v>
      </c>
      <c r="Y61" s="87" t="b">
        <f t="shared" si="3"/>
        <v>1</v>
      </c>
      <c r="Z61" s="87" t="b">
        <f t="shared" si="3"/>
        <v>1</v>
      </c>
      <c r="AA61" s="87" t="b">
        <f t="shared" si="3"/>
        <v>1</v>
      </c>
      <c r="AB61" s="87" t="b">
        <f t="shared" si="3"/>
        <v>1</v>
      </c>
      <c r="AC61" s="87" t="b">
        <f t="shared" si="3"/>
        <v>1</v>
      </c>
      <c r="AD61" s="87" t="b">
        <f t="shared" ref="AD61" si="4">+AD60=AD24</f>
        <v>1</v>
      </c>
      <c r="AE61" s="87" t="b">
        <f t="shared" ref="AE61" si="5">+AE60=AE24</f>
        <v>1</v>
      </c>
      <c r="AF61" s="87" t="b">
        <f>ROUND(AF60,6)=ROUND(AF24,6)</f>
        <v>1</v>
      </c>
    </row>
    <row r="62" spans="1:57">
      <c r="B62" s="22"/>
      <c r="C62" s="22"/>
      <c r="D62" s="22"/>
      <c r="E62" s="22"/>
      <c r="F62" s="22"/>
      <c r="G62" s="22"/>
      <c r="H62" s="22"/>
      <c r="I62" s="22"/>
      <c r="J62" s="22"/>
      <c r="K62" s="22"/>
      <c r="L62" s="22"/>
      <c r="M62" s="22"/>
      <c r="N62" s="22"/>
      <c r="O62" s="22"/>
      <c r="P62" s="22"/>
      <c r="Q62" s="22"/>
      <c r="R62" s="22"/>
      <c r="S62" s="22"/>
      <c r="T62" s="22"/>
      <c r="U62" s="21"/>
      <c r="V62" s="22"/>
      <c r="W62" s="22"/>
      <c r="X62" s="270"/>
      <c r="Y62" s="270">
        <f>Y24-Y60</f>
        <v>0</v>
      </c>
      <c r="Z62" s="270">
        <f>Z24-Z60</f>
        <v>0</v>
      </c>
      <c r="AA62" s="270">
        <f>AA24-AA60</f>
        <v>0</v>
      </c>
      <c r="AB62" s="270">
        <f>AB24-AB60</f>
        <v>0</v>
      </c>
      <c r="AC62" s="270">
        <f t="shared" ref="AC62" si="6">AC24-AC60</f>
        <v>0</v>
      </c>
      <c r="AD62" s="270">
        <f t="shared" ref="AD62" si="7">AD24-AD60</f>
        <v>0</v>
      </c>
      <c r="AE62" s="270">
        <f t="shared" ref="AE62:AF62" si="8">AE24-AE60</f>
        <v>0</v>
      </c>
      <c r="AF62" s="553">
        <f t="shared" si="8"/>
        <v>0</v>
      </c>
    </row>
    <row r="63" spans="1:57">
      <c r="A63" s="116" t="str">
        <f>Balance_Sheet_Qtr!A63</f>
        <v>Financial Metrics</v>
      </c>
      <c r="B63" s="185"/>
      <c r="C63" s="185"/>
      <c r="D63" s="185"/>
      <c r="E63" s="185"/>
      <c r="F63" s="185"/>
      <c r="G63" s="185"/>
      <c r="H63" s="185"/>
      <c r="I63" s="185"/>
      <c r="J63" s="185"/>
      <c r="K63" s="185"/>
      <c r="L63" s="185"/>
      <c r="M63" s="185"/>
      <c r="N63" s="185"/>
      <c r="O63" s="185"/>
      <c r="P63" s="185"/>
      <c r="Q63" s="185"/>
      <c r="R63" s="185"/>
      <c r="S63" s="185"/>
      <c r="T63" s="185"/>
      <c r="U63" s="93"/>
      <c r="V63" s="185"/>
      <c r="W63" s="185"/>
      <c r="X63" s="185"/>
      <c r="Y63" s="185"/>
      <c r="Z63" s="185"/>
      <c r="AA63" s="185"/>
      <c r="AB63" s="185"/>
      <c r="AC63" s="185"/>
      <c r="AD63" s="185"/>
      <c r="AE63" s="185"/>
      <c r="AF63" s="185"/>
      <c r="AH63" s="376"/>
      <c r="AI63" s="376" t="s">
        <v>221</v>
      </c>
      <c r="AJ63" s="376" t="s">
        <v>419</v>
      </c>
      <c r="AK63" s="376" t="s">
        <v>435</v>
      </c>
      <c r="AL63" s="376" t="s">
        <v>456</v>
      </c>
      <c r="AM63" s="358" t="s">
        <v>486</v>
      </c>
      <c r="AX63" s="358"/>
    </row>
    <row r="64" spans="1:57">
      <c r="A64" s="1" t="str">
        <f>Balance_Sheet_Qtr!A64</f>
        <v>Days Sales Outstanding (Receivables)</v>
      </c>
      <c r="B64" s="22"/>
      <c r="C64" s="22"/>
      <c r="D64" s="22"/>
      <c r="E64" s="22"/>
      <c r="F64" s="22"/>
      <c r="G64" s="22"/>
      <c r="H64" s="22"/>
      <c r="I64" s="22"/>
      <c r="J64" s="22"/>
      <c r="K64" s="22"/>
      <c r="L64" s="22"/>
      <c r="M64" s="22"/>
      <c r="N64" s="22"/>
      <c r="O64" s="22"/>
      <c r="P64" s="22"/>
      <c r="Q64" s="38">
        <f>Balance_Sheet_Qtr!F64</f>
        <v>0</v>
      </c>
      <c r="R64" s="38">
        <f>Balance_Sheet_Qtr!K64</f>
        <v>0</v>
      </c>
      <c r="S64" s="38">
        <f>Balance_Sheet_Qtr!P64</f>
        <v>0</v>
      </c>
      <c r="T64" s="38">
        <f>Balance_Sheet_Qtr!U64</f>
        <v>0</v>
      </c>
      <c r="U64" s="37">
        <f>Balance_Sheet_Qtr!Z64</f>
        <v>42.9865835095707</v>
      </c>
      <c r="V64" s="38">
        <f>Balance_Sheet_Qtr!AE64</f>
        <v>52.233975102451097</v>
      </c>
      <c r="W64" s="38">
        <f>Balance_Sheet_Qtr!AJ64</f>
        <v>54.765872522830335</v>
      </c>
      <c r="X64" s="38">
        <f>Balance_Sheet_Qtr!AO64</f>
        <v>49.563467215314432</v>
      </c>
      <c r="Y64" s="38">
        <f>Balance_Sheet_Qtr!AT64</f>
        <v>53.23827467868918</v>
      </c>
      <c r="Z64" s="38">
        <f>Balance_Sheet_Qtr!AY64</f>
        <v>49.577269577269576</v>
      </c>
      <c r="AA64" s="38">
        <f>Balance_Sheet_Qtr!BD64</f>
        <v>60.560759793686444</v>
      </c>
      <c r="AB64" s="38">
        <f>Balance_Sheet_Qtr!BI64</f>
        <v>60</v>
      </c>
      <c r="AC64" s="258">
        <v>55</v>
      </c>
      <c r="AD64" s="258">
        <v>52</v>
      </c>
      <c r="AE64" s="258">
        <v>48</v>
      </c>
      <c r="AF64" s="258">
        <v>46</v>
      </c>
      <c r="AH64" s="77" t="str">
        <f>Balance_Sheet_Qtr!BK64</f>
        <v>Receivables, Net</v>
      </c>
      <c r="AI64" s="77">
        <f>Cash_Flow_Annual!AA11</f>
        <v>-3235</v>
      </c>
      <c r="AJ64" s="77">
        <f>Cash_Flow_Annual!AB11</f>
        <v>-743.8301917808185</v>
      </c>
      <c r="AK64" s="77">
        <f>Cash_Flow_Annual!AC11</f>
        <v>231.15181092018611</v>
      </c>
      <c r="AL64" s="77">
        <f>Cash_Flow_Annual!AD11</f>
        <v>21.628942184373955</v>
      </c>
      <c r="AM64" s="77">
        <f>Cash_Flow_Annual!AE11</f>
        <v>435.70906019876566</v>
      </c>
      <c r="BD64" s="374"/>
      <c r="BE64" s="374"/>
    </row>
    <row r="65" spans="1:57">
      <c r="A65" s="1" t="str">
        <f>Balance_Sheet_Qtr!A65</f>
        <v>Days Sales in Contract Asset</v>
      </c>
      <c r="B65" s="22"/>
      <c r="C65" s="22"/>
      <c r="D65" s="22"/>
      <c r="E65" s="22"/>
      <c r="F65" s="22"/>
      <c r="G65" s="22"/>
      <c r="H65" s="22"/>
      <c r="I65" s="22"/>
      <c r="J65" s="22"/>
      <c r="K65" s="22"/>
      <c r="L65" s="22"/>
      <c r="M65" s="22"/>
      <c r="N65" s="22"/>
      <c r="O65" s="22"/>
      <c r="P65" s="22"/>
      <c r="Q65" s="38">
        <f>Balance_Sheet_Qtr!F65</f>
        <v>0</v>
      </c>
      <c r="R65" s="38">
        <f>Balance_Sheet_Qtr!K65</f>
        <v>0</v>
      </c>
      <c r="S65" s="38">
        <f>Balance_Sheet_Qtr!P65</f>
        <v>0</v>
      </c>
      <c r="T65" s="38">
        <f>Balance_Sheet_Qtr!U65</f>
        <v>0</v>
      </c>
      <c r="U65" s="37">
        <f>Balance_Sheet_Qtr!Z65</f>
        <v>21.938251815132617</v>
      </c>
      <c r="V65" s="38">
        <f>Balance_Sheet_Qtr!AE65</f>
        <v>56.055284930023973</v>
      </c>
      <c r="W65" s="38">
        <f>Balance_Sheet_Qtr!AJ65</f>
        <v>64.402761384108842</v>
      </c>
      <c r="X65" s="38">
        <f>Balance_Sheet_Qtr!AO65</f>
        <v>62.765154903539369</v>
      </c>
      <c r="Y65" s="38">
        <f>Balance_Sheet_Qtr!AT65</f>
        <v>59.629029002086</v>
      </c>
      <c r="Z65" s="38">
        <f>Balance_Sheet_Qtr!AY65</f>
        <v>65.810934560934555</v>
      </c>
      <c r="AA65" s="38">
        <f>Balance_Sheet_Qtr!BD65</f>
        <v>70.410482715032217</v>
      </c>
      <c r="AB65" s="38">
        <f>Balance_Sheet_Qtr!BI65</f>
        <v>68</v>
      </c>
      <c r="AC65" s="258">
        <v>64</v>
      </c>
      <c r="AD65" s="258">
        <v>60</v>
      </c>
      <c r="AE65" s="258">
        <v>58</v>
      </c>
      <c r="AF65" s="258">
        <v>55.75</v>
      </c>
      <c r="AH65" s="77" t="str">
        <f>Balance_Sheet_Qtr!BK65</f>
        <v>Contract Assets</v>
      </c>
      <c r="AI65" s="77">
        <f>Cash_Flow_Annual!AA12</f>
        <v>-2643</v>
      </c>
      <c r="AJ65" s="77">
        <f>Cash_Flow_Annual!AB12</f>
        <v>-845.80755068492726</v>
      </c>
      <c r="AK65" s="77">
        <f>Cash_Flow_Annual!AC12</f>
        <v>-209.20001977108041</v>
      </c>
      <c r="AL65" s="77">
        <f>Cash_Flow_Annual!AD12</f>
        <v>177.18129506032346</v>
      </c>
      <c r="AM65" s="77">
        <f>Cash_Flow_Annual!AE12</f>
        <v>-319.54334859795199</v>
      </c>
      <c r="BD65" s="374"/>
      <c r="BE65" s="374"/>
    </row>
    <row r="66" spans="1:57">
      <c r="A66" s="1" t="str">
        <f>Balance_Sheet_Qtr!A66</f>
        <v>Days Payable Outstanding (Accounts Payable)</v>
      </c>
      <c r="B66" s="22"/>
      <c r="C66" s="22"/>
      <c r="D66" s="22"/>
      <c r="E66" s="22"/>
      <c r="F66" s="22"/>
      <c r="G66" s="22"/>
      <c r="H66" s="22"/>
      <c r="I66" s="22"/>
      <c r="J66" s="22"/>
      <c r="K66" s="22"/>
      <c r="L66" s="22"/>
      <c r="M66" s="22"/>
      <c r="N66" s="22"/>
      <c r="O66" s="22"/>
      <c r="P66" s="22"/>
      <c r="Q66" s="38">
        <f>Balance_Sheet_Qtr!F66</f>
        <v>0</v>
      </c>
      <c r="R66" s="38">
        <f>Balance_Sheet_Qtr!K66</f>
        <v>0</v>
      </c>
      <c r="S66" s="38">
        <f>Balance_Sheet_Qtr!P66</f>
        <v>0</v>
      </c>
      <c r="T66" s="38">
        <f>Balance_Sheet_Qtr!U66</f>
        <v>0</v>
      </c>
      <c r="U66" s="37" t="str">
        <f>Balance_Sheet_Qtr!Z66</f>
        <v>NM</v>
      </c>
      <c r="V66" s="38">
        <f>Balance_Sheet_Qtr!AE66</f>
        <v>59.159021406727824</v>
      </c>
      <c r="W66" s="38">
        <f>Balance_Sheet_Qtr!AJ66</f>
        <v>61.54719926007283</v>
      </c>
      <c r="X66" s="38">
        <f>Balance_Sheet_Qtr!AO66</f>
        <v>67.633599221061303</v>
      </c>
      <c r="Y66" s="38">
        <f>Balance_Sheet_Qtr!AT66</f>
        <v>68.708451373370167</v>
      </c>
      <c r="Z66" s="38">
        <f>Balance_Sheet_Qtr!AY66</f>
        <v>72.05799963262308</v>
      </c>
      <c r="AA66" s="38">
        <f>Balance_Sheet_Qtr!BD66</f>
        <v>81.92836162340781</v>
      </c>
      <c r="AB66" s="38">
        <f>Balance_Sheet_Qtr!BI66</f>
        <v>73.25</v>
      </c>
      <c r="AC66" s="258">
        <v>70.3</v>
      </c>
      <c r="AD66" s="258">
        <v>66.400000000000006</v>
      </c>
      <c r="AE66" s="258">
        <v>62.5</v>
      </c>
      <c r="AF66" s="258">
        <v>58.6</v>
      </c>
      <c r="AH66" s="77" t="str">
        <f>Balance_Sheet_Qtr!BK66</f>
        <v>Inventories</v>
      </c>
      <c r="AI66" s="77">
        <f>Cash_Flow_Annual!AA13</f>
        <v>-532</v>
      </c>
      <c r="AJ66" s="77">
        <f>Cash_Flow_Annual!AB13</f>
        <v>-1261.9636632328766</v>
      </c>
      <c r="AK66" s="77">
        <f>Cash_Flow_Annual!AC13</f>
        <v>958.20798539087264</v>
      </c>
      <c r="AL66" s="77">
        <f>Cash_Flow_Annual!AD13</f>
        <v>670.36075955711385</v>
      </c>
      <c r="AM66" s="77">
        <f>Cash_Flow_Annual!AE13</f>
        <v>-54.005573241625825</v>
      </c>
      <c r="BD66" s="374"/>
      <c r="BE66" s="374"/>
    </row>
    <row r="67" spans="1:57">
      <c r="A67" s="1" t="str">
        <f>Balance_Sheet_Qtr!A67</f>
        <v>Days COGS Inventory</v>
      </c>
      <c r="B67" s="22"/>
      <c r="C67" s="22"/>
      <c r="D67" s="22"/>
      <c r="E67" s="22"/>
      <c r="F67" s="22"/>
      <c r="G67" s="22"/>
      <c r="H67" s="22"/>
      <c r="I67" s="22"/>
      <c r="J67" s="22"/>
      <c r="K67" s="22"/>
      <c r="L67" s="22"/>
      <c r="M67" s="22"/>
      <c r="N67" s="22"/>
      <c r="O67" s="22"/>
      <c r="P67" s="22"/>
      <c r="Q67" s="38">
        <f>Balance_Sheet_Qtr!F67</f>
        <v>0</v>
      </c>
      <c r="R67" s="38">
        <f>Balance_Sheet_Qtr!K67</f>
        <v>0</v>
      </c>
      <c r="S67" s="38">
        <f>Balance_Sheet_Qtr!P67</f>
        <v>0</v>
      </c>
      <c r="T67" s="38">
        <f>Balance_Sheet_Qtr!U67</f>
        <v>0</v>
      </c>
      <c r="U67" s="37" t="str">
        <f>Balance_Sheet_Qtr!Z67</f>
        <v>NM</v>
      </c>
      <c r="V67" s="38">
        <f>Balance_Sheet_Qtr!AE67</f>
        <v>64.445601395846225</v>
      </c>
      <c r="W67" s="38">
        <f>Balance_Sheet_Qtr!AJ67</f>
        <v>64.550359365666608</v>
      </c>
      <c r="X67" s="38">
        <f>Balance_Sheet_Qtr!AO67</f>
        <v>72.561229075384787</v>
      </c>
      <c r="Y67" s="38">
        <f>Balance_Sheet_Qtr!AT67</f>
        <v>75.638383980573977</v>
      </c>
      <c r="Z67" s="38">
        <f>Balance_Sheet_Qtr!AY67</f>
        <v>71.337252020573118</v>
      </c>
      <c r="AA67" s="38">
        <f>Balance_Sheet_Qtr!BD67</f>
        <v>68.882706809387969</v>
      </c>
      <c r="AB67" s="38">
        <f>Balance_Sheet_Qtr!BI67</f>
        <v>69.05</v>
      </c>
      <c r="AC67" s="258">
        <v>60</v>
      </c>
      <c r="AD67" s="258">
        <v>54</v>
      </c>
      <c r="AE67" s="258">
        <v>51.5</v>
      </c>
      <c r="AF67" s="258">
        <v>51.5</v>
      </c>
      <c r="AH67" s="77" t="str">
        <f>Balance_Sheet_Qtr!BK67</f>
        <v>Other Current Assets</v>
      </c>
      <c r="AI67" s="77">
        <f>Cash_Flow_Annual!AA14</f>
        <v>-1055</v>
      </c>
      <c r="AJ67" s="77">
        <f>Cash_Flow_Annual!AB14</f>
        <v>-450.08357519999845</v>
      </c>
      <c r="AK67" s="77">
        <f>Cash_Flow_Annual!AC14</f>
        <v>168.52223877995948</v>
      </c>
      <c r="AL67" s="77">
        <f>Cash_Flow_Annual!AD14</f>
        <v>114.23907325647087</v>
      </c>
      <c r="AM67" s="77">
        <f>Cash_Flow_Annual!AE14</f>
        <v>-98.672459130181778</v>
      </c>
      <c r="BD67" s="374"/>
      <c r="BE67" s="374"/>
    </row>
    <row r="68" spans="1:57">
      <c r="A68" s="1" t="str">
        <f>Balance_Sheet_Qtr!A68</f>
        <v>Days Sales in Contract Liabilities</v>
      </c>
      <c r="B68" s="22"/>
      <c r="C68" s="22"/>
      <c r="D68" s="22"/>
      <c r="E68" s="22"/>
      <c r="F68" s="22"/>
      <c r="G68" s="22"/>
      <c r="H68" s="22"/>
      <c r="I68" s="22"/>
      <c r="J68" s="22"/>
      <c r="K68" s="22"/>
      <c r="L68" s="22"/>
      <c r="M68" s="22"/>
      <c r="N68" s="22"/>
      <c r="O68" s="22"/>
      <c r="P68" s="22"/>
      <c r="Q68" s="38">
        <f>Balance_Sheet_Qtr!F68</f>
        <v>0</v>
      </c>
      <c r="R68" s="38">
        <f>Balance_Sheet_Qtr!K68</f>
        <v>0</v>
      </c>
      <c r="S68" s="38">
        <f>Balance_Sheet_Qtr!P68</f>
        <v>0</v>
      </c>
      <c r="T68" s="38">
        <f>Balance_Sheet_Qtr!U68</f>
        <v>0</v>
      </c>
      <c r="U68" s="37">
        <f>Balance_Sheet_Qtr!Z68</f>
        <v>44.319005347737651</v>
      </c>
      <c r="V68" s="38">
        <f>Balance_Sheet_Qtr!AE68</f>
        <v>72.751643083584625</v>
      </c>
      <c r="W68" s="38">
        <f>Balance_Sheet_Qtr!AJ68</f>
        <v>77.775361868671183</v>
      </c>
      <c r="X68" s="38">
        <f>Balance_Sheet_Qtr!AO68</f>
        <v>79.438679667233203</v>
      </c>
      <c r="Y68" s="38">
        <f>Balance_Sheet_Qtr!AT68</f>
        <v>84.406096494179394</v>
      </c>
      <c r="Z68" s="38">
        <f>Balance_Sheet_Qtr!AY68</f>
        <v>84.086229086229082</v>
      </c>
      <c r="AA68" s="38">
        <f>Balance_Sheet_Qtr!BD68</f>
        <v>89.042978228728145</v>
      </c>
      <c r="AB68" s="38">
        <f>Balance_Sheet_Qtr!BI68</f>
        <v>88</v>
      </c>
      <c r="AC68" s="258">
        <v>79</v>
      </c>
      <c r="AD68" s="258">
        <v>73.599999999999994</v>
      </c>
      <c r="AE68" s="258">
        <v>70.5</v>
      </c>
      <c r="AF68" s="258">
        <v>69</v>
      </c>
      <c r="AH68" s="77" t="str">
        <f>Balance_Sheet_Qtr!BK68</f>
        <v>Accounts Payable and Accrued Liabilities</v>
      </c>
      <c r="AI68" s="77">
        <f>Cash_Flow_Annual!AA15</f>
        <v>3418</v>
      </c>
      <c r="AJ68" s="77">
        <f>Cash_Flow_Annual!AB15</f>
        <v>1276.3792899725995</v>
      </c>
      <c r="AK68" s="77">
        <f>Cash_Flow_Annual!AC15</f>
        <v>-121.32700650619336</v>
      </c>
      <c r="AL68" s="77">
        <f>Cash_Flow_Annual!AD15</f>
        <v>-213.69608879245243</v>
      </c>
      <c r="AM68" s="77">
        <f>Cash_Flow_Annual!AE15</f>
        <v>-44.022633588228928</v>
      </c>
      <c r="BD68" s="374"/>
      <c r="BE68" s="374"/>
    </row>
    <row r="69" spans="1:57">
      <c r="B69" s="22"/>
      <c r="C69" s="22"/>
      <c r="D69" s="22"/>
      <c r="E69" s="22"/>
      <c r="F69" s="22"/>
      <c r="G69" s="22"/>
      <c r="H69" s="22"/>
      <c r="I69" s="22"/>
      <c r="J69" s="22"/>
      <c r="K69" s="22"/>
      <c r="L69" s="22"/>
      <c r="M69" s="22"/>
      <c r="N69" s="22"/>
      <c r="O69" s="22"/>
      <c r="P69" s="22"/>
      <c r="Q69" s="22"/>
      <c r="R69" s="22"/>
      <c r="S69" s="22"/>
      <c r="T69" s="22"/>
      <c r="U69" s="21"/>
      <c r="V69" s="22"/>
      <c r="W69" s="22"/>
      <c r="X69" s="22"/>
      <c r="Y69" s="22"/>
      <c r="Z69" s="22"/>
      <c r="AA69" s="22"/>
      <c r="AB69" s="22"/>
      <c r="AC69" s="206"/>
      <c r="AD69" s="206"/>
      <c r="AE69" s="206"/>
      <c r="AF69" s="206"/>
      <c r="AH69" s="77" t="str">
        <f>Balance_Sheet_Qtr!BK69</f>
        <v>Contract Liabilities</v>
      </c>
      <c r="AI69" s="77">
        <f>Cash_Flow_Annual!AA16</f>
        <v>2773</v>
      </c>
      <c r="AJ69" s="77">
        <f>Cash_Flow_Annual!AB16</f>
        <v>764.75094794520191</v>
      </c>
      <c r="AK69" s="77">
        <f>Cash_Flow_Annual!AC16</f>
        <v>-810.19472816356574</v>
      </c>
      <c r="AL69" s="77">
        <f>Cash_Flow_Annual!AD16</f>
        <v>-356.80932196293361</v>
      </c>
      <c r="AM69" s="77">
        <f>Cash_Flow_Annual!AE16</f>
        <v>188.65928307011563</v>
      </c>
      <c r="BD69" s="374"/>
      <c r="BE69" s="374"/>
    </row>
    <row r="70" spans="1:57">
      <c r="A70" s="13" t="str">
        <f>Balance_Sheet_Qtr!A70</f>
        <v>As a % of Total Revenue</v>
      </c>
      <c r="B70" s="22"/>
      <c r="C70" s="22"/>
      <c r="D70" s="22"/>
      <c r="E70" s="22"/>
      <c r="F70" s="22"/>
      <c r="G70" s="22"/>
      <c r="H70" s="22"/>
      <c r="I70" s="22"/>
      <c r="J70" s="22"/>
      <c r="K70" s="22"/>
      <c r="L70" s="22"/>
      <c r="M70" s="22"/>
      <c r="N70" s="22"/>
      <c r="O70" s="22"/>
      <c r="P70" s="22"/>
      <c r="Q70" s="22"/>
      <c r="R70" s="22"/>
      <c r="S70" s="22"/>
      <c r="T70" s="22"/>
      <c r="U70" s="21"/>
      <c r="V70" s="22"/>
      <c r="W70" s="22"/>
      <c r="X70" s="22"/>
      <c r="Y70" s="22"/>
      <c r="Z70" s="22"/>
      <c r="AA70" s="22"/>
      <c r="AB70" s="22"/>
      <c r="AC70" s="206"/>
      <c r="AD70" s="206"/>
      <c r="AE70" s="206"/>
      <c r="AF70" s="206"/>
      <c r="AH70" s="80"/>
      <c r="AI70" s="80"/>
      <c r="AJ70" s="80"/>
      <c r="AK70" s="80"/>
      <c r="AL70" s="80"/>
      <c r="AT70" s="4"/>
      <c r="AU70" s="4"/>
      <c r="AV70" s="4"/>
      <c r="AW70" s="4"/>
      <c r="AX70" s="4"/>
      <c r="AY70" s="4"/>
      <c r="AZ70" s="4"/>
      <c r="BA70" s="4"/>
      <c r="BC70" s="4"/>
      <c r="BD70" s="375"/>
      <c r="BE70" s="375"/>
    </row>
    <row r="71" spans="1:57">
      <c r="A71" s="1" t="str">
        <f>Balance_Sheet_Qtr!A71</f>
        <v>Inventories</v>
      </c>
      <c r="B71" s="36"/>
      <c r="C71" s="36"/>
      <c r="D71" s="36"/>
      <c r="E71" s="36"/>
      <c r="F71" s="36"/>
      <c r="G71" s="36"/>
      <c r="H71" s="36"/>
      <c r="I71" s="36"/>
      <c r="J71" s="36"/>
      <c r="K71" s="36"/>
      <c r="L71" s="36"/>
      <c r="M71" s="36"/>
      <c r="N71" s="36"/>
      <c r="O71" s="36"/>
      <c r="P71" s="36"/>
      <c r="Q71" s="186">
        <f>Balance_Sheet_Qtr!F71</f>
        <v>0</v>
      </c>
      <c r="R71" s="186">
        <f>Balance_Sheet_Qtr!K71</f>
        <v>0</v>
      </c>
      <c r="S71" s="186">
        <f>Balance_Sheet_Qtr!P71</f>
        <v>0</v>
      </c>
      <c r="T71" s="186">
        <f>Balance_Sheet_Qtr!U71</f>
        <v>0</v>
      </c>
      <c r="U71" s="73">
        <f>Balance_Sheet_Qtr!Z71</f>
        <v>0.12186645473281517</v>
      </c>
      <c r="V71" s="186">
        <f>Balance_Sheet_Qtr!AE71</f>
        <v>0.14553467872883322</v>
      </c>
      <c r="W71" s="186">
        <f>Balance_Sheet_Qtr!AJ71</f>
        <v>0.14254208858793563</v>
      </c>
      <c r="X71" s="186">
        <f>Balance_Sheet_Qtr!AO71</f>
        <v>0.15828786116826191</v>
      </c>
      <c r="Y71" s="186">
        <f>Balance_Sheet_Qtr!AT71</f>
        <v>0.15849539061974297</v>
      </c>
      <c r="Z71" s="186">
        <f>Balance_Sheet_Qtr!AY71</f>
        <v>0.15800415800415801</v>
      </c>
      <c r="AA71" s="186">
        <f>Balance_Sheet_Qtr!BD71</f>
        <v>0.15083010733270882</v>
      </c>
      <c r="AB71" s="186">
        <f>Balance_Sheet_Qtr!BI71</f>
        <v>0.15134246575342467</v>
      </c>
      <c r="AC71" s="207">
        <f>AC9/ProForma_IS_Annual!AC9</f>
        <v>0.13150684931506848</v>
      </c>
      <c r="AD71" s="207">
        <f>AD9/ProForma_IS_Annual!AD9</f>
        <v>0.11835616438356164</v>
      </c>
      <c r="AE71" s="207">
        <f>AE9/ProForma_IS_Annual!AE9</f>
        <v>0.11287671232876713</v>
      </c>
      <c r="AF71" s="207">
        <f>AF9/ProForma_IS_Annual!AF9</f>
        <v>0.11287671232876711</v>
      </c>
      <c r="AH71" s="77" t="str">
        <f>Balance_Sheet_Qtr!BK71</f>
        <v>OCF</v>
      </c>
      <c r="AI71" s="77">
        <f>Cash_Flow_Annual!AA21</f>
        <v>10567</v>
      </c>
      <c r="AJ71" s="77">
        <f>Cash_Flow_Annual!AB21</f>
        <v>11832.615429011681</v>
      </c>
      <c r="AK71" s="77">
        <f>Cash_Flow_Annual!AC21</f>
        <v>13333.143396389525</v>
      </c>
      <c r="AL71" s="77">
        <f>Cash_Flow_Annual!AD21</f>
        <v>14484.271259064399</v>
      </c>
      <c r="AM71" s="77">
        <f>Cash_Flow_Annual!AE21</f>
        <v>15122.205916711122</v>
      </c>
    </row>
    <row r="72" spans="1:57">
      <c r="A72" s="1" t="str">
        <f>Balance_Sheet_Qtr!A72</f>
        <v>Other Current Assets</v>
      </c>
      <c r="B72" s="36"/>
      <c r="C72" s="36"/>
      <c r="D72" s="36"/>
      <c r="E72" s="36"/>
      <c r="F72" s="36"/>
      <c r="G72" s="36"/>
      <c r="H72" s="36"/>
      <c r="I72" s="36"/>
      <c r="J72" s="36"/>
      <c r="K72" s="36"/>
      <c r="L72" s="36"/>
      <c r="M72" s="36"/>
      <c r="N72" s="36"/>
      <c r="O72" s="36"/>
      <c r="P72" s="36"/>
      <c r="Q72" s="186">
        <f>Balance_Sheet_Qtr!F72</f>
        <v>0</v>
      </c>
      <c r="R72" s="186">
        <f>Balance_Sheet_Qtr!K72</f>
        <v>0</v>
      </c>
      <c r="S72" s="186">
        <f>Balance_Sheet_Qtr!P72</f>
        <v>0</v>
      </c>
      <c r="T72" s="186">
        <f>Balance_Sheet_Qtr!U72</f>
        <v>0</v>
      </c>
      <c r="U72" s="73">
        <f>Balance_Sheet_Qtr!Z72</f>
        <v>3.4228215041017279E-2</v>
      </c>
      <c r="V72" s="186">
        <f>Balance_Sheet_Qtr!AE72</f>
        <v>9.0992035877213329E-2</v>
      </c>
      <c r="W72" s="186">
        <f>Balance_Sheet_Qtr!AJ72</f>
        <v>6.2076784494005097E-2</v>
      </c>
      <c r="X72" s="186">
        <f>Balance_Sheet_Qtr!AO72</f>
        <v>7.2949279899812147E-2</v>
      </c>
      <c r="Y72" s="186">
        <f>Balance_Sheet_Qtr!AT72</f>
        <v>9.4704259471098853E-2</v>
      </c>
      <c r="Z72" s="186">
        <f>Balance_Sheet_Qtr!AY72</f>
        <v>8.9260964260964262E-2</v>
      </c>
      <c r="AA72" s="186">
        <f>Balance_Sheet_Qtr!BD72</f>
        <v>8.6960938117219513E-2</v>
      </c>
      <c r="AB72" s="186">
        <f>Balance_Sheet_Qtr!BI72</f>
        <v>8.5599999999999996E-2</v>
      </c>
      <c r="AC72" s="218">
        <v>7.8E-2</v>
      </c>
      <c r="AD72" s="218">
        <v>7.2800000000000004E-2</v>
      </c>
      <c r="AE72" s="218">
        <v>7.0000000000000007E-2</v>
      </c>
      <c r="AF72" s="218">
        <v>7.0000000000000007E-2</v>
      </c>
      <c r="AH72" s="77" t="str">
        <f>Balance_Sheet_Qtr!BK72</f>
        <v>FCF</v>
      </c>
      <c r="AI72" s="77">
        <f>Cash_Flow_Annual!AA72</f>
        <v>7940</v>
      </c>
      <c r="AJ72" s="77">
        <f>Cash_Flow_Annual!AB72</f>
        <v>8712.8115015116819</v>
      </c>
      <c r="AK72" s="77">
        <f>Cash_Flow_Annual!AC72</f>
        <v>10082.762856681433</v>
      </c>
      <c r="AL72" s="77">
        <f>Cash_Flow_Annual!AD72</f>
        <v>11160.138992217026</v>
      </c>
      <c r="AM72" s="77">
        <f>Cash_Flow_Annual!AE72</f>
        <v>11679.493892870943</v>
      </c>
    </row>
    <row r="73" spans="1:57">
      <c r="A73" s="1" t="str">
        <f>Balance_Sheet_Qtr!A73</f>
        <v>Accrued liabilities</v>
      </c>
      <c r="B73" s="36"/>
      <c r="C73" s="36"/>
      <c r="D73" s="36"/>
      <c r="E73" s="36"/>
      <c r="F73" s="36"/>
      <c r="G73" s="36"/>
      <c r="H73" s="36"/>
      <c r="I73" s="36"/>
      <c r="J73" s="36"/>
      <c r="K73" s="36"/>
      <c r="L73" s="36"/>
      <c r="M73" s="36"/>
      <c r="N73" s="36"/>
      <c r="O73" s="36"/>
      <c r="P73" s="36"/>
      <c r="Q73" s="186">
        <f>Balance_Sheet_Qtr!F73</f>
        <v>0</v>
      </c>
      <c r="R73" s="186">
        <f>Balance_Sheet_Qtr!K73</f>
        <v>0</v>
      </c>
      <c r="S73" s="186">
        <f>Balance_Sheet_Qtr!P73</f>
        <v>0</v>
      </c>
      <c r="T73" s="186">
        <f>Balance_Sheet_Qtr!U73</f>
        <v>0</v>
      </c>
      <c r="U73" s="73">
        <f>Balance_Sheet_Qtr!Z73</f>
        <v>0.13160553362878349</v>
      </c>
      <c r="V73" s="186">
        <f>Balance_Sheet_Qtr!AE73</f>
        <v>0.20733008582695431</v>
      </c>
      <c r="W73" s="186">
        <f>Balance_Sheet_Qtr!AJ73</f>
        <v>0.19910542337081444</v>
      </c>
      <c r="X73" s="186">
        <f>Balance_Sheet_Qtr!AO73</f>
        <v>0.19977934818260429</v>
      </c>
      <c r="Y73" s="186">
        <f>Balance_Sheet_Qtr!AT73</f>
        <v>0.23427763945898661</v>
      </c>
      <c r="Z73" s="186">
        <f>Balance_Sheet_Qtr!AY73</f>
        <v>0.21595634095634095</v>
      </c>
      <c r="AA73" s="186">
        <f>Balance_Sheet_Qtr!BD73</f>
        <v>0.19929347764748373</v>
      </c>
      <c r="AB73" s="186">
        <f>Balance_Sheet_Qtr!BI73</f>
        <v>0.20799999999999999</v>
      </c>
      <c r="AC73" s="227">
        <f>+AC30/ProForma_IS_Annual!AC$9</f>
        <v>0.18759999999999996</v>
      </c>
      <c r="AD73" s="227">
        <f>+AD30/ProForma_IS_Annual!AD$9</f>
        <v>0.17599999999999999</v>
      </c>
      <c r="AE73" s="227">
        <f>+AE30/ProForma_IS_Annual!AE$9</f>
        <v>0.16800000000000001</v>
      </c>
      <c r="AF73" s="227">
        <f>+AF30/ProForma_IS_Annual!AF$9</f>
        <v>0.16599999999999998</v>
      </c>
      <c r="AH73" s="77"/>
      <c r="AI73" s="273">
        <f>Cash_Flow_Annual!AA73</f>
        <v>1.1232140331022775</v>
      </c>
      <c r="AJ73" s="273">
        <f>Cash_Flow_Annual!AB73</f>
        <v>0.87979793090968172</v>
      </c>
      <c r="AK73" s="35">
        <f>Cash_Flow_Annual!AC73</f>
        <v>0.9498900650538703</v>
      </c>
      <c r="AL73" s="273">
        <f>Cash_Flow_Annual!AD73</f>
        <v>0.98465438725894738</v>
      </c>
      <c r="AM73" s="273">
        <f>Cash_Flow_Annual!AE73</f>
        <v>0.96431401242434855</v>
      </c>
    </row>
    <row r="74" spans="1:57">
      <c r="A74" s="1" t="str">
        <f>Balance_Sheet_Qtr!A74</f>
        <v>Future Pension and Postretirement Benefit Obligations</v>
      </c>
      <c r="B74" s="36"/>
      <c r="C74" s="36"/>
      <c r="D74" s="36"/>
      <c r="E74" s="36"/>
      <c r="F74" s="36"/>
      <c r="G74" s="36"/>
      <c r="H74" s="36"/>
      <c r="I74" s="36"/>
      <c r="J74" s="36"/>
      <c r="K74" s="36"/>
      <c r="L74" s="36"/>
      <c r="M74" s="36"/>
      <c r="N74" s="36"/>
      <c r="O74" s="36"/>
      <c r="P74" s="36"/>
      <c r="Q74" s="186">
        <f>Balance_Sheet_Qtr!F74</f>
        <v>0</v>
      </c>
      <c r="R74" s="186">
        <f>Balance_Sheet_Qtr!K74</f>
        <v>0</v>
      </c>
      <c r="S74" s="186">
        <f>Balance_Sheet_Qtr!P74</f>
        <v>0</v>
      </c>
      <c r="T74" s="186">
        <f>Balance_Sheet_Qtr!U74</f>
        <v>0</v>
      </c>
      <c r="U74" s="73">
        <f>Balance_Sheet_Qtr!Z74</f>
        <v>3.3500814957500978E-2</v>
      </c>
      <c r="V74" s="186">
        <f>Balance_Sheet_Qtr!AE74</f>
        <v>0.15993195700920126</v>
      </c>
      <c r="W74" s="186">
        <f>Balance_Sheet_Qtr!AJ74</f>
        <v>0.12199478163632975</v>
      </c>
      <c r="X74" s="186">
        <f>Balance_Sheet_Qtr!AO74</f>
        <v>7.1667113933864088E-2</v>
      </c>
      <c r="Y74" s="186">
        <f>Balance_Sheet_Qtr!AT74</f>
        <v>3.209743624251396E-2</v>
      </c>
      <c r="Z74" s="186">
        <f>Balance_Sheet_Qtr!AY74</f>
        <v>2.6037026037026036E-2</v>
      </c>
      <c r="AA74" s="186">
        <f>Balance_Sheet_Qtr!BD74</f>
        <v>2.332878119251041E-2</v>
      </c>
      <c r="AB74" s="186">
        <f>Balance_Sheet_Qtr!BI74</f>
        <v>2.037628052187905E-2</v>
      </c>
      <c r="AC74" s="382">
        <f>AC39/ProForma_IS_Annual!AC$9</f>
        <v>1.895593431208931E-2</v>
      </c>
      <c r="AD74" s="382">
        <f>AD39/ProForma_IS_Annual!AD$9</f>
        <v>1.7946939294500454E-2</v>
      </c>
      <c r="AE74" s="382">
        <f>AE39/ProForma_IS_Annual!AE$9</f>
        <v>1.7044701849487053E-2</v>
      </c>
      <c r="AF74" s="382">
        <f>AF39/ProForma_IS_Annual!AF$9</f>
        <v>1.6176553154670294E-2</v>
      </c>
      <c r="AH74" s="80"/>
      <c r="AI74" s="80">
        <v>171</v>
      </c>
      <c r="AJ74" s="80"/>
      <c r="AK74" s="80"/>
      <c r="AT74" s="4"/>
      <c r="AU74" s="4"/>
      <c r="AV74" s="4"/>
      <c r="AW74" s="4"/>
      <c r="AX74" s="4"/>
      <c r="AY74" s="4"/>
      <c r="AZ74" s="4"/>
      <c r="BA74" s="4"/>
    </row>
    <row r="75" spans="1:57">
      <c r="A75" s="1"/>
      <c r="B75" s="36"/>
      <c r="C75" s="36"/>
      <c r="D75" s="36"/>
      <c r="E75" s="36"/>
      <c r="F75" s="36"/>
      <c r="G75" s="36"/>
      <c r="H75" s="36"/>
      <c r="I75" s="36"/>
      <c r="J75" s="36"/>
      <c r="K75" s="36"/>
      <c r="L75" s="36"/>
      <c r="M75" s="36"/>
      <c r="N75" s="36"/>
      <c r="O75" s="36"/>
      <c r="P75" s="36"/>
      <c r="Q75" s="186"/>
      <c r="R75" s="186"/>
      <c r="S75" s="186"/>
      <c r="T75" s="186"/>
      <c r="U75" s="73"/>
      <c r="V75" s="186"/>
      <c r="W75" s="186"/>
      <c r="X75" s="186"/>
      <c r="Y75" s="186"/>
      <c r="Z75" s="186"/>
      <c r="AA75" s="186"/>
      <c r="AB75" s="186"/>
      <c r="AC75" s="382"/>
      <c r="AD75" s="382"/>
      <c r="AE75" s="382"/>
      <c r="AF75" s="382"/>
      <c r="AH75" s="77"/>
      <c r="AI75" s="77">
        <f>AI74-1500</f>
        <v>-1329</v>
      </c>
      <c r="AJ75" s="77"/>
      <c r="AK75" s="77"/>
    </row>
    <row r="76" spans="1:57">
      <c r="A76" s="13" t="str">
        <f>Balance_Sheet_Qtr!A76</f>
        <v>As a % of Total COGS</v>
      </c>
      <c r="B76" s="36"/>
      <c r="C76" s="36"/>
      <c r="D76" s="36"/>
      <c r="E76" s="36"/>
      <c r="F76" s="36"/>
      <c r="G76" s="36"/>
      <c r="H76" s="36"/>
      <c r="I76" s="36"/>
      <c r="J76" s="36"/>
      <c r="K76" s="36"/>
      <c r="L76" s="36"/>
      <c r="M76" s="36"/>
      <c r="N76" s="36"/>
      <c r="O76" s="36"/>
      <c r="P76" s="36"/>
      <c r="Q76" s="186"/>
      <c r="R76" s="186"/>
      <c r="S76" s="186"/>
      <c r="T76" s="186"/>
      <c r="U76" s="73"/>
      <c r="V76" s="186"/>
      <c r="W76" s="186"/>
      <c r="X76" s="186"/>
      <c r="Y76" s="186"/>
      <c r="Z76" s="186"/>
      <c r="AA76" s="186"/>
      <c r="AB76" s="186"/>
      <c r="AC76" s="382"/>
      <c r="AD76" s="382"/>
      <c r="AE76" s="382"/>
      <c r="AF76" s="382"/>
      <c r="AH76" s="80"/>
      <c r="AI76" s="80"/>
      <c r="AJ76" s="80"/>
      <c r="AK76" s="80"/>
      <c r="AT76" s="4"/>
      <c r="AU76" s="4"/>
      <c r="AV76" s="4"/>
      <c r="AW76" s="4"/>
      <c r="AX76" s="4"/>
      <c r="AY76" s="4"/>
      <c r="AZ76" s="4"/>
      <c r="BA76" s="4"/>
    </row>
    <row r="77" spans="1:57">
      <c r="A77" s="1" t="str">
        <f>Balance_Sheet_Qtr!A77</f>
        <v>Accrued liabilities</v>
      </c>
      <c r="B77" s="36"/>
      <c r="C77" s="36"/>
      <c r="D77" s="36"/>
      <c r="E77" s="36"/>
      <c r="F77" s="36"/>
      <c r="G77" s="36"/>
      <c r="H77" s="36"/>
      <c r="I77" s="36"/>
      <c r="J77" s="36"/>
      <c r="K77" s="36"/>
      <c r="L77" s="36"/>
      <c r="M77" s="36"/>
      <c r="N77" s="36"/>
      <c r="O77" s="36"/>
      <c r="P77" s="36"/>
      <c r="Q77" s="186">
        <f>Balance_Sheet_Qtr!F77</f>
        <v>0</v>
      </c>
      <c r="R77" s="186">
        <f>Balance_Sheet_Qtr!K77</f>
        <v>0</v>
      </c>
      <c r="S77" s="186">
        <f>Balance_Sheet_Qtr!P77</f>
        <v>0</v>
      </c>
      <c r="T77" s="186">
        <f>Balance_Sheet_Qtr!U77</f>
        <v>0</v>
      </c>
      <c r="U77" s="73" t="str">
        <f>Balance_Sheet_Qtr!Z77</f>
        <v>NM</v>
      </c>
      <c r="V77" s="186">
        <f>Balance_Sheet_Qtr!AE77</f>
        <v>0.25153374233128833</v>
      </c>
      <c r="W77" s="186">
        <f>Balance_Sheet_Qtr!AJ77</f>
        <v>0.24702776653756478</v>
      </c>
      <c r="X77" s="186">
        <f>Balance_Sheet_Qtr!AO77</f>
        <v>0.25090813766243492</v>
      </c>
      <c r="Y77" s="186">
        <f>Balance_Sheet_Qtr!AT77</f>
        <v>0.30631169608136405</v>
      </c>
      <c r="Z77" s="186">
        <f>Balance_Sheet_Qtr!AY77</f>
        <v>0.26712894930198383</v>
      </c>
      <c r="AA77" s="186">
        <f>Balance_Sheet_Qtr!BD77</f>
        <v>0.24935747168638969</v>
      </c>
      <c r="AB77" s="186">
        <f>Balance_Sheet_Qtr!BI77</f>
        <v>0.26</v>
      </c>
      <c r="AC77" s="218">
        <v>0.23449999999999999</v>
      </c>
      <c r="AD77" s="218">
        <v>0.22</v>
      </c>
      <c r="AE77" s="218">
        <v>0.21</v>
      </c>
      <c r="AF77" s="218">
        <v>0.20749999999999999</v>
      </c>
      <c r="AH77" s="77" t="s">
        <v>434</v>
      </c>
      <c r="AI77" s="77">
        <v>7303.6190998016718</v>
      </c>
      <c r="AJ77" s="77">
        <v>8710.7781951899087</v>
      </c>
      <c r="AK77" s="77">
        <v>9939.124009736337</v>
      </c>
      <c r="AL77" s="77">
        <v>11018.354207399001</v>
      </c>
      <c r="AM77">
        <v>11594.148454971069</v>
      </c>
    </row>
    <row r="78" spans="1:57">
      <c r="B78" s="22"/>
      <c r="C78" s="22"/>
      <c r="D78" s="22"/>
      <c r="E78" s="22"/>
      <c r="F78" s="22"/>
      <c r="G78" s="22"/>
      <c r="H78" s="22"/>
      <c r="I78" s="22"/>
      <c r="J78" s="22"/>
      <c r="K78" s="22"/>
      <c r="L78" s="22"/>
      <c r="M78" s="22"/>
      <c r="N78" s="22"/>
      <c r="O78" s="22"/>
      <c r="P78" s="22"/>
      <c r="Q78" s="22"/>
      <c r="R78" s="22"/>
      <c r="S78" s="22"/>
      <c r="T78" s="22"/>
      <c r="U78" s="21"/>
      <c r="V78" s="22"/>
      <c r="W78" s="22"/>
      <c r="X78" s="22"/>
      <c r="Y78" s="22"/>
      <c r="Z78" s="22"/>
      <c r="AA78" s="22"/>
      <c r="AB78" s="22"/>
      <c r="AC78" s="206"/>
      <c r="AD78" s="206"/>
      <c r="AE78" s="206"/>
      <c r="AF78" s="206"/>
      <c r="AH78" s="77"/>
      <c r="AI78" s="77"/>
      <c r="AJ78" s="77"/>
      <c r="AK78" s="77"/>
      <c r="AL78" s="77"/>
      <c r="AM78" s="77"/>
    </row>
    <row r="79" spans="1:57">
      <c r="A79" s="13" t="str">
        <f>Balance_Sheet_Qtr!A79</f>
        <v>Leverage Metrics</v>
      </c>
      <c r="B79" s="22"/>
      <c r="C79" s="22"/>
      <c r="D79" s="22"/>
      <c r="E79" s="22"/>
      <c r="F79" s="22"/>
      <c r="G79" s="22"/>
      <c r="H79" s="22"/>
      <c r="I79" s="22"/>
      <c r="J79" s="22"/>
      <c r="K79" s="22"/>
      <c r="L79" s="22"/>
      <c r="M79" s="22"/>
      <c r="N79" s="22"/>
      <c r="O79" s="22"/>
      <c r="P79" s="22"/>
      <c r="Q79" s="22"/>
      <c r="R79" s="22"/>
      <c r="S79" s="22"/>
      <c r="T79" s="22"/>
      <c r="U79" s="21"/>
      <c r="V79" s="22"/>
      <c r="W79" s="22"/>
      <c r="X79" s="22"/>
      <c r="Y79" s="22"/>
      <c r="Z79" s="22"/>
      <c r="AA79" s="22"/>
      <c r="AB79" s="22"/>
      <c r="AC79" s="206"/>
      <c r="AD79" s="206"/>
      <c r="AE79" s="206"/>
      <c r="AF79" s="206"/>
    </row>
    <row r="80" spans="1:57">
      <c r="A80" s="1" t="str">
        <f>Balance_Sheet_Qtr!A80</f>
        <v>Total Debt</v>
      </c>
      <c r="B80" s="79"/>
      <c r="C80" s="79"/>
      <c r="D80" s="79"/>
      <c r="E80" s="79"/>
      <c r="F80" s="79"/>
      <c r="G80" s="79"/>
      <c r="H80" s="79"/>
      <c r="I80" s="79"/>
      <c r="J80" s="79"/>
      <c r="K80" s="79"/>
      <c r="L80" s="79"/>
      <c r="M80" s="79"/>
      <c r="N80" s="79"/>
      <c r="O80" s="79"/>
      <c r="P80" s="79"/>
      <c r="Q80" s="131">
        <f>Balance_Sheet_Qtr!F80</f>
        <v>0</v>
      </c>
      <c r="R80" s="131">
        <f>Balance_Sheet_Qtr!K80</f>
        <v>0</v>
      </c>
      <c r="S80" s="169">
        <f>Balance_Sheet_Qtr!P80</f>
        <v>0</v>
      </c>
      <c r="T80" s="169">
        <f>Balance_Sheet_Qtr!U80</f>
        <v>0</v>
      </c>
      <c r="U80" s="233">
        <f>Balance_Sheet_Qtr!Z80</f>
        <v>44345</v>
      </c>
      <c r="V80" s="169">
        <f>Balance_Sheet_Qtr!AE80</f>
        <v>33339</v>
      </c>
      <c r="W80" s="169">
        <f>Balance_Sheet_Qtr!AJ80</f>
        <v>33142</v>
      </c>
      <c r="X80" s="169">
        <f>Balance_Sheet_Qtr!AO80</f>
        <v>33500</v>
      </c>
      <c r="Y80" s="169">
        <f>Balance_Sheet_Qtr!AT80</f>
        <v>45239</v>
      </c>
      <c r="Z80" s="169">
        <f>Balance_Sheet_Qtr!AY80</f>
        <v>42893</v>
      </c>
      <c r="AA80" s="169">
        <f>Balance_Sheet_Qtr!BD80</f>
        <v>39506</v>
      </c>
      <c r="AB80" s="169">
        <f>Balance_Sheet_Qtr!BI80</f>
        <v>35987</v>
      </c>
      <c r="AC80" s="79">
        <f>AC33+AC37+AC28+AC38</f>
        <v>34887</v>
      </c>
      <c r="AD80" s="79">
        <f>AD33+AD37+AD28+AD38</f>
        <v>34887</v>
      </c>
      <c r="AE80" s="79">
        <f>AE33+AE37+AE28+AE38</f>
        <v>34887</v>
      </c>
      <c r="AF80" s="79">
        <f>AF33+AF37+AF28+AF38</f>
        <v>34887</v>
      </c>
      <c r="AH80" s="548"/>
      <c r="AK80">
        <v>6.85</v>
      </c>
    </row>
    <row r="81" spans="1:36">
      <c r="A81" s="1" t="str">
        <f>Balance_Sheet_Qtr!A81</f>
        <v>Net Debt</v>
      </c>
      <c r="B81" s="79"/>
      <c r="C81" s="79"/>
      <c r="D81" s="79"/>
      <c r="E81" s="79"/>
      <c r="F81" s="79"/>
      <c r="G81" s="79"/>
      <c r="H81" s="79"/>
      <c r="I81" s="79"/>
      <c r="J81" s="79"/>
      <c r="K81" s="79"/>
      <c r="L81" s="79"/>
      <c r="M81" s="79"/>
      <c r="N81" s="79"/>
      <c r="O81" s="79"/>
      <c r="P81" s="79"/>
      <c r="Q81" s="131">
        <f>Balance_Sheet_Qtr!F81</f>
        <v>0</v>
      </c>
      <c r="R81" s="131">
        <f>Balance_Sheet_Qtr!K81</f>
        <v>0</v>
      </c>
      <c r="S81" s="169">
        <f>Balance_Sheet_Qtr!P81</f>
        <v>0</v>
      </c>
      <c r="T81" s="169">
        <f>Balance_Sheet_Qtr!U81</f>
        <v>0</v>
      </c>
      <c r="U81" s="233">
        <f>Balance_Sheet_Qtr!Z81</f>
        <v>39408</v>
      </c>
      <c r="V81" s="169">
        <f>Balance_Sheet_Qtr!AE81</f>
        <v>24537</v>
      </c>
      <c r="W81" s="169">
        <f>Balance_Sheet_Qtr!AJ81</f>
        <v>25310</v>
      </c>
      <c r="X81" s="169">
        <f>Balance_Sheet_Qtr!AO81</f>
        <v>27280</v>
      </c>
      <c r="Y81" s="169">
        <f>Balance_Sheet_Qtr!AT81</f>
        <v>38652</v>
      </c>
      <c r="Z81" s="169">
        <f>Balance_Sheet_Qtr!AY81</f>
        <v>37315</v>
      </c>
      <c r="AA81" s="169">
        <f>Balance_Sheet_Qtr!BD81</f>
        <v>32071</v>
      </c>
      <c r="AB81" s="169">
        <f>Balance_Sheet_Qtr!BI81</f>
        <v>27382.785641237984</v>
      </c>
      <c r="AC81" s="79">
        <f>-AC5+AC80</f>
        <v>25447.159531480516</v>
      </c>
      <c r="AD81" s="79">
        <f>-AD5+AD80</f>
        <v>22703.927378912413</v>
      </c>
      <c r="AE81" s="79">
        <f>-AE5+AE80</f>
        <v>19732.728417245082</v>
      </c>
      <c r="AF81" s="79">
        <f>-AF5+AF80</f>
        <v>16628.942676234066</v>
      </c>
      <c r="AJ81" s="348"/>
    </row>
    <row r="82" spans="1:36">
      <c r="A82" s="1" t="str">
        <f>Balance_Sheet_Qtr!A82</f>
        <v>Net Debt to EBITDA</v>
      </c>
      <c r="B82" s="139"/>
      <c r="C82" s="139"/>
      <c r="D82" s="139"/>
      <c r="E82" s="139"/>
      <c r="F82" s="139"/>
      <c r="G82" s="139"/>
      <c r="H82" s="139"/>
      <c r="I82" s="139"/>
      <c r="J82" s="139"/>
      <c r="K82" s="139"/>
      <c r="L82" s="139"/>
      <c r="M82" s="139"/>
      <c r="N82" s="139"/>
      <c r="O82" s="139"/>
      <c r="P82" s="139"/>
      <c r="Q82" s="147">
        <f>Balance_Sheet_Qtr!F82</f>
        <v>0</v>
      </c>
      <c r="R82" s="147">
        <f>Balance_Sheet_Qtr!K82</f>
        <v>0</v>
      </c>
      <c r="S82" s="147">
        <f>Balance_Sheet_Qtr!P82</f>
        <v>0</v>
      </c>
      <c r="T82" s="147">
        <f>Balance_Sheet_Qtr!U82</f>
        <v>0</v>
      </c>
      <c r="U82" s="147">
        <f>Balance_Sheet_Qtr!Z82</f>
        <v>2.8118444523724579</v>
      </c>
      <c r="V82" s="221">
        <f>Balance_Sheet_Qtr!AE82</f>
        <v>2.3205031208624929</v>
      </c>
      <c r="W82" s="221">
        <f>Balance_Sheet_Qtr!AJ82</f>
        <v>2.1412859560067683</v>
      </c>
      <c r="X82" s="221">
        <f>Balance_Sheet_Qtr!AO82</f>
        <v>2.2864805967647306</v>
      </c>
      <c r="Y82" s="221">
        <f>Balance_Sheet_Qtr!AT82</f>
        <v>2.9491835800396764</v>
      </c>
      <c r="Z82" s="221">
        <f>Balance_Sheet_Qtr!AY82</f>
        <v>2.565133704543892</v>
      </c>
      <c r="AA82" s="221">
        <f>Balance_Sheet_Qtr!BD82</f>
        <v>2.0340584765649776</v>
      </c>
      <c r="AB82" s="221">
        <f>Balance_Sheet_Qtr!BI82</f>
        <v>1.5987398100906203</v>
      </c>
      <c r="AC82" s="139">
        <f>AC81/(ProForma_IS_Annual!AC82)</f>
        <v>1.3754500415191611</v>
      </c>
      <c r="AD82" s="139">
        <f>AD81/(ProForma_IS_Annual!AD82)</f>
        <v>1.1567977350244669</v>
      </c>
      <c r="AE82" s="139">
        <f>AE81/(ProForma_IS_Annual!AE82)</f>
        <v>0.95535863215007344</v>
      </c>
      <c r="AF82" s="139">
        <f>AF81/(ProForma_IS_Annual!AF82)</f>
        <v>0.76283797959622834</v>
      </c>
    </row>
    <row r="83" spans="1:36">
      <c r="A83" s="1"/>
      <c r="B83" s="147"/>
      <c r="C83" s="147"/>
      <c r="D83" s="147"/>
      <c r="E83" s="147"/>
      <c r="F83" s="147"/>
      <c r="G83" s="147"/>
      <c r="H83" s="147"/>
      <c r="I83" s="147"/>
      <c r="J83" s="147"/>
      <c r="K83" s="147"/>
      <c r="L83" s="147"/>
      <c r="M83" s="147"/>
      <c r="N83" s="147"/>
      <c r="O83" s="147"/>
      <c r="P83" s="147"/>
      <c r="Q83" s="147"/>
      <c r="R83" s="147"/>
      <c r="S83" s="147"/>
      <c r="T83" s="147"/>
      <c r="U83" s="147"/>
      <c r="V83" s="221"/>
      <c r="W83" s="221"/>
      <c r="X83" s="221"/>
      <c r="Y83" s="221"/>
      <c r="Z83" s="221"/>
      <c r="AA83" s="221"/>
      <c r="AB83" s="221"/>
      <c r="AC83" s="206"/>
      <c r="AD83" s="206"/>
      <c r="AE83" s="206"/>
      <c r="AF83" s="206"/>
    </row>
    <row r="84" spans="1:36">
      <c r="A84" s="116" t="str">
        <f>Balance_Sheet_Qtr!A84</f>
        <v>Dry Powder Calculation for M&amp;A</v>
      </c>
      <c r="B84" s="148"/>
      <c r="C84" s="148"/>
      <c r="D84" s="148"/>
      <c r="E84" s="148"/>
      <c r="F84" s="148"/>
      <c r="G84" s="148"/>
      <c r="H84" s="148"/>
      <c r="I84" s="148"/>
      <c r="J84" s="148"/>
      <c r="K84" s="148"/>
      <c r="L84" s="148"/>
      <c r="M84" s="148"/>
      <c r="N84" s="148"/>
      <c r="O84" s="148"/>
      <c r="P84" s="148"/>
      <c r="Q84" s="148"/>
      <c r="R84" s="148"/>
      <c r="S84" s="148"/>
      <c r="T84" s="148"/>
      <c r="U84" s="148"/>
      <c r="V84" s="222"/>
      <c r="W84" s="222"/>
      <c r="X84" s="222"/>
      <c r="Y84" s="222"/>
      <c r="Z84" s="222"/>
      <c r="AA84" s="222"/>
      <c r="AB84" s="222"/>
      <c r="AC84" s="243"/>
      <c r="AD84" s="243"/>
      <c r="AE84" s="243"/>
      <c r="AF84" s="243"/>
    </row>
    <row r="85" spans="1:36">
      <c r="A85" s="1" t="str">
        <f>Balance_Sheet_Qtr!A85</f>
        <v>Cash</v>
      </c>
      <c r="B85" s="79"/>
      <c r="C85" s="79"/>
      <c r="D85" s="79"/>
      <c r="E85" s="79"/>
      <c r="F85" s="79"/>
      <c r="G85" s="79"/>
      <c r="H85" s="79"/>
      <c r="I85" s="79"/>
      <c r="J85" s="79"/>
      <c r="K85" s="79"/>
      <c r="L85" s="79"/>
      <c r="M85" s="79"/>
      <c r="N85" s="79"/>
      <c r="O85" s="79"/>
      <c r="P85" s="79"/>
      <c r="Q85" s="131">
        <f>Balance_Sheet_Qtr!F85</f>
        <v>0</v>
      </c>
      <c r="R85" s="131">
        <f>Balance_Sheet_Qtr!K85</f>
        <v>0</v>
      </c>
      <c r="S85" s="131">
        <f>Balance_Sheet_Qtr!P85</f>
        <v>0</v>
      </c>
      <c r="T85" s="131">
        <f>Balance_Sheet_Qtr!U85</f>
        <v>0</v>
      </c>
      <c r="U85" s="131">
        <f>Balance_Sheet_Qtr!Z85</f>
        <v>0</v>
      </c>
      <c r="V85" s="169"/>
      <c r="W85" s="169">
        <f>Balance_Sheet_Qtr!AJ85</f>
        <v>0</v>
      </c>
      <c r="X85" s="169">
        <f>Balance_Sheet_Qtr!AO85</f>
        <v>0</v>
      </c>
      <c r="Y85" s="169">
        <f>Balance_Sheet_Qtr!AT85</f>
        <v>0</v>
      </c>
      <c r="Z85" s="169">
        <f>Balance_Sheet_Qtr!AY85</f>
        <v>0</v>
      </c>
      <c r="AA85" s="169">
        <f>Balance_Sheet_Qtr!BD85</f>
        <v>0</v>
      </c>
      <c r="AB85" s="169">
        <f>Balance_Sheet_Qtr!BI85</f>
        <v>8604.2143587620139</v>
      </c>
      <c r="AC85" s="79">
        <f>AC5</f>
        <v>9439.8404685194837</v>
      </c>
      <c r="AD85" s="79">
        <f>AD5</f>
        <v>12183.072621087589</v>
      </c>
      <c r="AE85" s="79">
        <f>AE5</f>
        <v>15154.271582754918</v>
      </c>
      <c r="AF85" s="79">
        <f>AF5</f>
        <v>18258.057323765934</v>
      </c>
    </row>
    <row r="86" spans="1:36">
      <c r="A86" s="1" t="str">
        <f>Balance_Sheet_Qtr!A86</f>
        <v>Incremental Debt</v>
      </c>
      <c r="B86" s="79"/>
      <c r="C86" s="79"/>
      <c r="D86" s="79"/>
      <c r="E86" s="79"/>
      <c r="F86" s="79"/>
      <c r="G86" s="79"/>
      <c r="H86" s="79"/>
      <c r="I86" s="79"/>
      <c r="J86" s="79"/>
      <c r="K86" s="79"/>
      <c r="L86" s="79"/>
      <c r="M86" s="79"/>
      <c r="N86" s="79"/>
      <c r="O86" s="79"/>
      <c r="P86" s="79"/>
      <c r="Q86" s="131">
        <f>Balance_Sheet_Qtr!F86</f>
        <v>0</v>
      </c>
      <c r="R86" s="131">
        <f>Balance_Sheet_Qtr!K86</f>
        <v>0</v>
      </c>
      <c r="S86" s="131">
        <f>Balance_Sheet_Qtr!P86</f>
        <v>0</v>
      </c>
      <c r="T86" s="131">
        <f>Balance_Sheet_Qtr!U86</f>
        <v>0</v>
      </c>
      <c r="U86" s="131">
        <f>Balance_Sheet_Qtr!Z86</f>
        <v>0</v>
      </c>
      <c r="V86" s="169"/>
      <c r="W86" s="169">
        <f>Balance_Sheet_Qtr!AJ86</f>
        <v>0</v>
      </c>
      <c r="X86" s="169">
        <f>Balance_Sheet_Qtr!AO86</f>
        <v>0</v>
      </c>
      <c r="Y86" s="169">
        <f>Balance_Sheet_Qtr!AT86</f>
        <v>0</v>
      </c>
      <c r="Z86" s="169">
        <f>Balance_Sheet_Qtr!AY86</f>
        <v>0</v>
      </c>
      <c r="AA86" s="169">
        <f>Balance_Sheet_Qtr!BD86</f>
        <v>0</v>
      </c>
      <c r="AB86" s="169">
        <f ca="1">Balance_Sheet_Qtr!BI86</f>
        <v>32000.543733016028</v>
      </c>
      <c r="AC86" s="79">
        <f ca="1">(ProForma_IS_Annual!AC82+Balance_Sheet_Annual!AC90)*AC88+(Balance_Sheet_Annual!AC85-AC80)</f>
        <v>40074.332727405534</v>
      </c>
      <c r="AD86" s="79">
        <f ca="1">(ProForma_IS_Annual!AD82+Balance_Sheet_Annual!AD90)*AD88+(Balance_Sheet_Annual!AD85-AD80)</f>
        <v>48234.223496603765</v>
      </c>
      <c r="AE86" s="79">
        <f ca="1">(ProForma_IS_Annual!AE82+Balance_Sheet_Annual!AE90)*AE88+(Balance_Sheet_Annual!AE85-AE80)</f>
        <v>56308.840770641276</v>
      </c>
      <c r="AF86" s="79">
        <f ca="1">(ProForma_IS_Annual!AF82+Balance_Sheet_Annual!AF90)*AF88+(Balance_Sheet_Annual!AF85-AF80)</f>
        <v>65023.224659812571</v>
      </c>
    </row>
    <row r="87" spans="1:36">
      <c r="A87" s="145" t="str">
        <f>Balance_Sheet_Qtr!A87</f>
        <v>Dry Powder for M&amp;A</v>
      </c>
      <c r="B87" s="24"/>
      <c r="C87" s="24"/>
      <c r="D87" s="24"/>
      <c r="E87" s="24"/>
      <c r="F87" s="24"/>
      <c r="G87" s="24"/>
      <c r="H87" s="24"/>
      <c r="I87" s="24"/>
      <c r="J87" s="24"/>
      <c r="K87" s="24"/>
      <c r="L87" s="24"/>
      <c r="M87" s="24"/>
      <c r="N87" s="24"/>
      <c r="O87" s="24"/>
      <c r="P87" s="24"/>
      <c r="Q87" s="132">
        <f>Balance_Sheet_Qtr!F87</f>
        <v>0</v>
      </c>
      <c r="R87" s="132">
        <f>Balance_Sheet_Qtr!K87</f>
        <v>0</v>
      </c>
      <c r="S87" s="132">
        <f>Balance_Sheet_Qtr!P87</f>
        <v>0</v>
      </c>
      <c r="T87" s="132">
        <f>Balance_Sheet_Qtr!U87</f>
        <v>0</v>
      </c>
      <c r="U87" s="132">
        <f>Balance_Sheet_Qtr!Z87</f>
        <v>0</v>
      </c>
      <c r="V87" s="182"/>
      <c r="W87" s="182">
        <f>Balance_Sheet_Qtr!AJ87</f>
        <v>0</v>
      </c>
      <c r="X87" s="182">
        <f>Balance_Sheet_Qtr!AO87</f>
        <v>0</v>
      </c>
      <c r="Y87" s="182">
        <f>Balance_Sheet_Qtr!AT87</f>
        <v>0</v>
      </c>
      <c r="Z87" s="182">
        <f>Balance_Sheet_Qtr!AY87</f>
        <v>0</v>
      </c>
      <c r="AA87" s="182">
        <f>Balance_Sheet_Qtr!BD87</f>
        <v>0</v>
      </c>
      <c r="AB87" s="182">
        <f ca="1">Balance_Sheet_Qtr!BI87</f>
        <v>32000.543733016028</v>
      </c>
      <c r="AC87" s="24">
        <f ca="1">AC86</f>
        <v>40074.332727405534</v>
      </c>
      <c r="AD87" s="24">
        <f ca="1">AD86</f>
        <v>48234.223496603765</v>
      </c>
      <c r="AE87" s="24">
        <f ca="1">AE86</f>
        <v>56308.840770641276</v>
      </c>
      <c r="AF87" s="24">
        <f ca="1">AF86</f>
        <v>65023.224659812571</v>
      </c>
    </row>
    <row r="88" spans="1:36">
      <c r="A88" s="1" t="str">
        <f>Balance_Sheet_Qtr!A88</f>
        <v>Target Post-Deal Net Debt to EBITDA</v>
      </c>
      <c r="B88" s="141"/>
      <c r="C88" s="141"/>
      <c r="D88" s="141"/>
      <c r="E88" s="141"/>
      <c r="F88" s="141"/>
      <c r="G88" s="141"/>
      <c r="H88" s="141"/>
      <c r="I88" s="141"/>
      <c r="J88" s="141"/>
      <c r="K88" s="141"/>
      <c r="L88" s="141"/>
      <c r="M88" s="141"/>
      <c r="N88" s="141"/>
      <c r="O88" s="141"/>
      <c r="P88" s="141"/>
      <c r="Q88" s="147">
        <f>Balance_Sheet_Qtr!F88</f>
        <v>0</v>
      </c>
      <c r="R88" s="147">
        <f>Balance_Sheet_Qtr!K88</f>
        <v>0</v>
      </c>
      <c r="S88" s="147">
        <f>Balance_Sheet_Qtr!P88</f>
        <v>0</v>
      </c>
      <c r="T88" s="147">
        <f>Balance_Sheet_Qtr!U88</f>
        <v>0</v>
      </c>
      <c r="U88" s="147">
        <f>Balance_Sheet_Qtr!Z88</f>
        <v>0</v>
      </c>
      <c r="V88" s="221"/>
      <c r="W88" s="221">
        <f>Balance_Sheet_Qtr!AJ88</f>
        <v>0</v>
      </c>
      <c r="X88" s="221">
        <f>Balance_Sheet_Qtr!AO88</f>
        <v>0</v>
      </c>
      <c r="Y88" s="221">
        <f>Balance_Sheet_Qtr!AT88</f>
        <v>0</v>
      </c>
      <c r="Z88" s="221">
        <f>Balance_Sheet_Qtr!AY88</f>
        <v>0</v>
      </c>
      <c r="AA88" s="221">
        <f>Balance_Sheet_Qtr!BD88</f>
        <v>0</v>
      </c>
      <c r="AB88" s="221">
        <f>Balance_Sheet_Qtr!BI88</f>
        <v>3</v>
      </c>
      <c r="AC88" s="141">
        <v>3</v>
      </c>
      <c r="AD88" s="141">
        <v>3</v>
      </c>
      <c r="AE88" s="141">
        <v>3</v>
      </c>
      <c r="AF88" s="141">
        <v>3</v>
      </c>
    </row>
    <row r="89" spans="1:36">
      <c r="A89" s="1" t="str">
        <f>Balance_Sheet_Qtr!A89</f>
        <v>Post-Deal Net Debt to EBITDA</v>
      </c>
      <c r="B89" s="139"/>
      <c r="C89" s="139"/>
      <c r="D89" s="139"/>
      <c r="E89" s="139"/>
      <c r="F89" s="139"/>
      <c r="G89" s="139"/>
      <c r="H89" s="139"/>
      <c r="I89" s="139"/>
      <c r="J89" s="139"/>
      <c r="K89" s="139"/>
      <c r="L89" s="139"/>
      <c r="M89" s="139"/>
      <c r="N89" s="139"/>
      <c r="O89" s="139"/>
      <c r="P89" s="139"/>
      <c r="Q89" s="147">
        <f>Balance_Sheet_Qtr!F89</f>
        <v>0</v>
      </c>
      <c r="R89" s="147">
        <f>Balance_Sheet_Qtr!K89</f>
        <v>0</v>
      </c>
      <c r="S89" s="147">
        <f>Balance_Sheet_Qtr!P89</f>
        <v>0</v>
      </c>
      <c r="T89" s="147">
        <f>Balance_Sheet_Qtr!U89</f>
        <v>0</v>
      </c>
      <c r="U89" s="147">
        <f>Balance_Sheet_Qtr!Z89</f>
        <v>0</v>
      </c>
      <c r="V89" s="221"/>
      <c r="W89" s="221">
        <f>Balance_Sheet_Qtr!AJ89</f>
        <v>0</v>
      </c>
      <c r="X89" s="221">
        <f>Balance_Sheet_Qtr!AO89</f>
        <v>0</v>
      </c>
      <c r="Y89" s="221">
        <f>Balance_Sheet_Qtr!AT89</f>
        <v>0</v>
      </c>
      <c r="Z89" s="221">
        <f>Balance_Sheet_Qtr!AY89</f>
        <v>0</v>
      </c>
      <c r="AA89" s="221">
        <f>Balance_Sheet_Qtr!BD89</f>
        <v>0</v>
      </c>
      <c r="AB89" s="221">
        <f ca="1">Balance_Sheet_Qtr!BI89</f>
        <v>3</v>
      </c>
      <c r="AC89" s="139">
        <f ca="1">IF((AC80+AC86-AC85)/(ProForma_IS_Annual!AC82+Balance_Sheet_Annual!AC90)=AC88,(AC80+AC86-AC85)/(ProForma_IS_Annual!AC82+Balance_Sheet_Annual!AC90),"Error")</f>
        <v>3</v>
      </c>
      <c r="AD89" s="139">
        <f ca="1">IF((AD80+AD86-AD85)/(ProForma_IS_Annual!AD82+Balance_Sheet_Annual!AD90)=AD88,(AD80+AD86-AD85)/(ProForma_IS_Annual!AD82+Balance_Sheet_Annual!AD90),"Error")</f>
        <v>2.9999999999999996</v>
      </c>
      <c r="AE89" s="139">
        <f ca="1">IF((AE80+AE86-AE85)/(ProForma_IS_Annual!AE82+Balance_Sheet_Annual!AE90)=AE88,(AE80+AE86-AE85)/(ProForma_IS_Annual!AE82+Balance_Sheet_Annual!AE90),"Error")</f>
        <v>3.0000000000000004</v>
      </c>
      <c r="AF89" s="139">
        <f ca="1">IF((AF80+AF86-AF85)/(ProForma_IS_Annual!AF82+Balance_Sheet_Annual!AF90)=AF88,(AF80+AF86-AF85)/(ProForma_IS_Annual!AF82+Balance_Sheet_Annual!AF90),"Error")</f>
        <v>3</v>
      </c>
    </row>
    <row r="90" spans="1:36">
      <c r="A90" s="1" t="str">
        <f>Balance_Sheet_Qtr!A90</f>
        <v>Acquired EBITDA</v>
      </c>
      <c r="B90" s="79"/>
      <c r="C90" s="79"/>
      <c r="D90" s="79"/>
      <c r="E90" s="79"/>
      <c r="F90" s="79"/>
      <c r="G90" s="79"/>
      <c r="H90" s="79"/>
      <c r="I90" s="79"/>
      <c r="J90" s="79"/>
      <c r="K90" s="79"/>
      <c r="L90" s="79"/>
      <c r="M90" s="79"/>
      <c r="N90" s="79"/>
      <c r="O90" s="79"/>
      <c r="P90" s="79"/>
      <c r="Q90" s="131">
        <f>Balance_Sheet_Qtr!F90</f>
        <v>0</v>
      </c>
      <c r="R90" s="131">
        <f>Balance_Sheet_Qtr!K90</f>
        <v>0</v>
      </c>
      <c r="S90" s="131">
        <f>Balance_Sheet_Qtr!P90</f>
        <v>0</v>
      </c>
      <c r="T90" s="131">
        <f>Balance_Sheet_Qtr!U90</f>
        <v>0</v>
      </c>
      <c r="U90" s="131">
        <f>Balance_Sheet_Qtr!Z90</f>
        <v>0</v>
      </c>
      <c r="V90" s="169"/>
      <c r="W90" s="169">
        <f>Balance_Sheet_Qtr!AJ90</f>
        <v>0</v>
      </c>
      <c r="X90" s="169">
        <f>Balance_Sheet_Qtr!AO90</f>
        <v>0</v>
      </c>
      <c r="Y90" s="169">
        <f>Balance_Sheet_Qtr!AT90</f>
        <v>0</v>
      </c>
      <c r="Z90" s="169">
        <f>Balance_Sheet_Qtr!AY90</f>
        <v>0</v>
      </c>
      <c r="AA90" s="169">
        <f>Balance_Sheet_Qtr!BD90</f>
        <v>0</v>
      </c>
      <c r="AB90" s="169">
        <f ca="1">Balance_Sheet_Qtr!BI90</f>
        <v>2666.7119777513358</v>
      </c>
      <c r="AC90" s="79">
        <f ca="1">AC87/AC91</f>
        <v>3339.5277272837943</v>
      </c>
      <c r="AD90" s="79">
        <f ca="1">AD87/AD91</f>
        <v>4019.5186247169804</v>
      </c>
      <c r="AE90" s="79">
        <f ca="1">AE87/AE91</f>
        <v>4692.4033975534394</v>
      </c>
      <c r="AF90" s="79">
        <f ca="1">AF87/AF91</f>
        <v>5418.6020549843806</v>
      </c>
    </row>
    <row r="91" spans="1:36">
      <c r="A91" s="1" t="str">
        <f>Balance_Sheet_Qtr!A91</f>
        <v>Implied Deal Valuation (EV/EBITDA)</v>
      </c>
      <c r="B91" s="141"/>
      <c r="C91" s="141"/>
      <c r="D91" s="141"/>
      <c r="E91" s="141"/>
      <c r="F91" s="141"/>
      <c r="G91" s="141"/>
      <c r="H91" s="141"/>
      <c r="I91" s="141"/>
      <c r="J91" s="141"/>
      <c r="K91" s="141"/>
      <c r="L91" s="141"/>
      <c r="M91" s="141"/>
      <c r="N91" s="141"/>
      <c r="O91" s="141"/>
      <c r="P91" s="141"/>
      <c r="Q91" s="147">
        <f>Balance_Sheet_Qtr!F91</f>
        <v>0</v>
      </c>
      <c r="R91" s="147">
        <f>Balance_Sheet_Qtr!K91</f>
        <v>0</v>
      </c>
      <c r="S91" s="147">
        <f>Balance_Sheet_Qtr!P91</f>
        <v>0</v>
      </c>
      <c r="T91" s="147">
        <f>Balance_Sheet_Qtr!U91</f>
        <v>0</v>
      </c>
      <c r="U91" s="147">
        <f>Balance_Sheet_Qtr!Z91</f>
        <v>0</v>
      </c>
      <c r="V91" s="221"/>
      <c r="W91" s="221">
        <f>Balance_Sheet_Qtr!AJ91</f>
        <v>0</v>
      </c>
      <c r="X91" s="221">
        <f>Balance_Sheet_Qtr!AO91</f>
        <v>0</v>
      </c>
      <c r="Y91" s="221">
        <f>Balance_Sheet_Qtr!AT91</f>
        <v>0</v>
      </c>
      <c r="Z91" s="221">
        <f>Balance_Sheet_Qtr!AY91</f>
        <v>0</v>
      </c>
      <c r="AA91" s="221">
        <f>Balance_Sheet_Qtr!BD91</f>
        <v>0</v>
      </c>
      <c r="AB91" s="221">
        <f>Balance_Sheet_Qtr!BI91</f>
        <v>12</v>
      </c>
      <c r="AC91" s="141">
        <v>12</v>
      </c>
      <c r="AD91" s="141">
        <v>12</v>
      </c>
      <c r="AE91" s="141">
        <v>12</v>
      </c>
      <c r="AF91" s="141">
        <v>12</v>
      </c>
    </row>
    <row r="92" spans="1:36">
      <c r="A92" s="1"/>
      <c r="B92" s="79"/>
      <c r="C92" s="79"/>
      <c r="D92" s="79"/>
      <c r="E92" s="79"/>
      <c r="F92" s="79"/>
      <c r="G92" s="79"/>
      <c r="H92" s="79"/>
      <c r="I92" s="79"/>
      <c r="J92" s="79"/>
      <c r="K92" s="79"/>
      <c r="L92" s="79"/>
      <c r="M92" s="79"/>
      <c r="N92" s="79"/>
      <c r="O92" s="79"/>
      <c r="P92" s="79"/>
      <c r="Q92" s="131"/>
      <c r="R92" s="131"/>
      <c r="S92" s="131"/>
      <c r="T92" s="131"/>
      <c r="U92" s="131"/>
      <c r="V92" s="169"/>
      <c r="W92" s="169"/>
      <c r="X92" s="169"/>
      <c r="Y92" s="169"/>
      <c r="Z92" s="169"/>
      <c r="AA92" s="169"/>
      <c r="AB92" s="169"/>
      <c r="AC92" s="79"/>
      <c r="AD92" s="79"/>
      <c r="AE92" s="79"/>
      <c r="AF92" s="79"/>
    </row>
    <row r="93" spans="1:36">
      <c r="A93" s="1" t="str">
        <f>Balance_Sheet_Qtr!A93</f>
        <v>D&amp;A as a % of EBITDA</v>
      </c>
      <c r="B93" s="146"/>
      <c r="C93" s="146"/>
      <c r="D93" s="146"/>
      <c r="E93" s="146"/>
      <c r="F93" s="146"/>
      <c r="G93" s="146"/>
      <c r="H93" s="146"/>
      <c r="I93" s="146"/>
      <c r="J93" s="146"/>
      <c r="K93" s="146"/>
      <c r="L93" s="146"/>
      <c r="M93" s="146"/>
      <c r="N93" s="146"/>
      <c r="O93" s="146"/>
      <c r="P93" s="146"/>
      <c r="Q93" s="149">
        <f>Balance_Sheet_Qtr!F93</f>
        <v>0</v>
      </c>
      <c r="R93" s="149">
        <f>Balance_Sheet_Qtr!K93</f>
        <v>0</v>
      </c>
      <c r="S93" s="149">
        <f>Balance_Sheet_Qtr!P93</f>
        <v>0</v>
      </c>
      <c r="T93" s="149">
        <f>Balance_Sheet_Qtr!U93</f>
        <v>0</v>
      </c>
      <c r="U93" s="149">
        <f>Balance_Sheet_Qtr!Z93</f>
        <v>0</v>
      </c>
      <c r="V93" s="223"/>
      <c r="W93" s="223">
        <f>Balance_Sheet_Qtr!AJ93</f>
        <v>0</v>
      </c>
      <c r="X93" s="223">
        <f>Balance_Sheet_Qtr!AO93</f>
        <v>0</v>
      </c>
      <c r="Y93" s="223">
        <f>Balance_Sheet_Qtr!AT93</f>
        <v>0</v>
      </c>
      <c r="Z93" s="223">
        <f>Balance_Sheet_Qtr!AY93</f>
        <v>0</v>
      </c>
      <c r="AA93" s="223">
        <f>Balance_Sheet_Qtr!BD93</f>
        <v>0</v>
      </c>
      <c r="AB93" s="223">
        <f>Balance_Sheet_Qtr!BI93</f>
        <v>0.3</v>
      </c>
      <c r="AC93" s="146">
        <v>0.3</v>
      </c>
      <c r="AD93" s="146">
        <v>0.3</v>
      </c>
      <c r="AE93" s="146">
        <v>0.3</v>
      </c>
      <c r="AF93" s="146">
        <v>0.3</v>
      </c>
    </row>
    <row r="94" spans="1:36">
      <c r="A94" s="1" t="str">
        <f>Balance_Sheet_Qtr!A94</f>
        <v>D&amp;A Expense</v>
      </c>
      <c r="B94" s="79"/>
      <c r="C94" s="79"/>
      <c r="D94" s="79"/>
      <c r="E94" s="79"/>
      <c r="F94" s="79"/>
      <c r="G94" s="79"/>
      <c r="H94" s="79"/>
      <c r="I94" s="79"/>
      <c r="J94" s="79"/>
      <c r="K94" s="79"/>
      <c r="L94" s="79"/>
      <c r="M94" s="79"/>
      <c r="N94" s="79"/>
      <c r="O94" s="79"/>
      <c r="P94" s="79"/>
      <c r="Q94" s="131">
        <f>Balance_Sheet_Qtr!F94</f>
        <v>0</v>
      </c>
      <c r="R94" s="131">
        <f>Balance_Sheet_Qtr!K94</f>
        <v>0</v>
      </c>
      <c r="S94" s="131">
        <f>Balance_Sheet_Qtr!P94</f>
        <v>0</v>
      </c>
      <c r="T94" s="131">
        <f>Balance_Sheet_Qtr!U94</f>
        <v>0</v>
      </c>
      <c r="U94" s="131">
        <f>Balance_Sheet_Qtr!Z94</f>
        <v>0</v>
      </c>
      <c r="V94" s="169"/>
      <c r="W94" s="169">
        <f>Balance_Sheet_Qtr!AJ94</f>
        <v>0</v>
      </c>
      <c r="X94" s="169">
        <f>Balance_Sheet_Qtr!AO94</f>
        <v>0</v>
      </c>
      <c r="Y94" s="169">
        <f>Balance_Sheet_Qtr!AT94</f>
        <v>0</v>
      </c>
      <c r="Z94" s="169">
        <f>Balance_Sheet_Qtr!AY94</f>
        <v>0</v>
      </c>
      <c r="AA94" s="169">
        <f>Balance_Sheet_Qtr!BD94</f>
        <v>0</v>
      </c>
      <c r="AB94" s="169">
        <f ca="1">Balance_Sheet_Qtr!BI94</f>
        <v>-800.01359332540073</v>
      </c>
      <c r="AC94" s="79">
        <f ca="1">-AC93*AC90</f>
        <v>-1001.8583181851383</v>
      </c>
      <c r="AD94" s="79">
        <f ca="1">-AD93*AD90</f>
        <v>-1205.8555874150941</v>
      </c>
      <c r="AE94" s="79">
        <f ca="1">-AE93*AE90</f>
        <v>-1407.7210192660318</v>
      </c>
      <c r="AF94" s="79">
        <f ca="1">-AF93*AF90</f>
        <v>-1625.5806164953142</v>
      </c>
    </row>
    <row r="95" spans="1:36">
      <c r="A95" s="1" t="str">
        <f>Balance_Sheet_Qtr!A95</f>
        <v>Incremental EBIT</v>
      </c>
      <c r="B95" s="79"/>
      <c r="C95" s="79"/>
      <c r="D95" s="79"/>
      <c r="E95" s="79"/>
      <c r="F95" s="79"/>
      <c r="G95" s="79"/>
      <c r="H95" s="79"/>
      <c r="I95" s="79"/>
      <c r="J95" s="79"/>
      <c r="K95" s="79"/>
      <c r="L95" s="79"/>
      <c r="M95" s="79"/>
      <c r="N95" s="79"/>
      <c r="O95" s="79"/>
      <c r="P95" s="79"/>
      <c r="Q95" s="131">
        <f>Balance_Sheet_Qtr!F95</f>
        <v>0</v>
      </c>
      <c r="R95" s="131">
        <f>Balance_Sheet_Qtr!K95</f>
        <v>0</v>
      </c>
      <c r="S95" s="131">
        <f>Balance_Sheet_Qtr!P95</f>
        <v>0</v>
      </c>
      <c r="T95" s="131">
        <f>Balance_Sheet_Qtr!U95</f>
        <v>0</v>
      </c>
      <c r="U95" s="131">
        <f>Balance_Sheet_Qtr!Z95</f>
        <v>0</v>
      </c>
      <c r="V95" s="169"/>
      <c r="W95" s="169">
        <f>Balance_Sheet_Qtr!AJ95</f>
        <v>0</v>
      </c>
      <c r="X95" s="169">
        <f>Balance_Sheet_Qtr!AO95</f>
        <v>0</v>
      </c>
      <c r="Y95" s="169">
        <f>Balance_Sheet_Qtr!AT95</f>
        <v>0</v>
      </c>
      <c r="Z95" s="169">
        <f>Balance_Sheet_Qtr!AY95</f>
        <v>0</v>
      </c>
      <c r="AA95" s="169">
        <f>Balance_Sheet_Qtr!BD95</f>
        <v>0</v>
      </c>
      <c r="AB95" s="169">
        <f ca="1">Balance_Sheet_Qtr!BI95</f>
        <v>1866.698384425935</v>
      </c>
      <c r="AC95" s="79">
        <f ca="1">AC90+AC94</f>
        <v>2337.6694090986562</v>
      </c>
      <c r="AD95" s="79">
        <f ca="1">AD90+AD94</f>
        <v>2813.6630373018861</v>
      </c>
      <c r="AE95" s="79">
        <f ca="1">AE90+AE94</f>
        <v>3284.6823782874076</v>
      </c>
      <c r="AF95" s="79">
        <f ca="1">AF90+AF94</f>
        <v>3793.0214384890664</v>
      </c>
    </row>
    <row r="96" spans="1:36">
      <c r="A96" s="1" t="str">
        <f>Balance_Sheet_Qtr!A96</f>
        <v>Incremental Cost of Debt</v>
      </c>
      <c r="B96" s="146"/>
      <c r="C96" s="146"/>
      <c r="D96" s="146"/>
      <c r="E96" s="146"/>
      <c r="F96" s="146"/>
      <c r="G96" s="146"/>
      <c r="H96" s="146"/>
      <c r="I96" s="146"/>
      <c r="J96" s="146"/>
      <c r="K96" s="146"/>
      <c r="L96" s="146"/>
      <c r="M96" s="146"/>
      <c r="N96" s="146"/>
      <c r="O96" s="146"/>
      <c r="P96" s="146"/>
      <c r="Q96" s="149">
        <f>Balance_Sheet_Qtr!F96</f>
        <v>0</v>
      </c>
      <c r="R96" s="149">
        <f>Balance_Sheet_Qtr!K96</f>
        <v>0</v>
      </c>
      <c r="S96" s="149">
        <f>Balance_Sheet_Qtr!P96</f>
        <v>0</v>
      </c>
      <c r="T96" s="149">
        <f>Balance_Sheet_Qtr!U96</f>
        <v>0</v>
      </c>
      <c r="U96" s="149">
        <f>Balance_Sheet_Qtr!Z96</f>
        <v>0</v>
      </c>
      <c r="V96" s="223"/>
      <c r="W96" s="223">
        <f>Balance_Sheet_Qtr!AJ96</f>
        <v>0</v>
      </c>
      <c r="X96" s="223">
        <f>Balance_Sheet_Qtr!AO96</f>
        <v>0</v>
      </c>
      <c r="Y96" s="223">
        <f>Balance_Sheet_Qtr!AT96</f>
        <v>0</v>
      </c>
      <c r="Z96" s="223">
        <f>Balance_Sheet_Qtr!AY96</f>
        <v>0</v>
      </c>
      <c r="AA96" s="223">
        <f>Balance_Sheet_Qtr!BD96</f>
        <v>0</v>
      </c>
      <c r="AB96" s="223">
        <f>Balance_Sheet_Qtr!BI96</f>
        <v>3.5000000000000003E-2</v>
      </c>
      <c r="AC96" s="146">
        <v>3.5000000000000003E-2</v>
      </c>
      <c r="AD96" s="146">
        <v>3.5000000000000003E-2</v>
      </c>
      <c r="AE96" s="146">
        <v>3.5000000000000003E-2</v>
      </c>
      <c r="AF96" s="146">
        <v>3.5000000000000003E-2</v>
      </c>
    </row>
    <row r="97" spans="1:32">
      <c r="A97" s="1" t="str">
        <f>Balance_Sheet_Qtr!A97</f>
        <v>Incremental Interest Expense</v>
      </c>
      <c r="B97" s="79"/>
      <c r="C97" s="79"/>
      <c r="D97" s="79"/>
      <c r="E97" s="79"/>
      <c r="F97" s="79"/>
      <c r="G97" s="79"/>
      <c r="H97" s="79"/>
      <c r="I97" s="79"/>
      <c r="J97" s="79"/>
      <c r="K97" s="79"/>
      <c r="L97" s="79"/>
      <c r="M97" s="79"/>
      <c r="N97" s="79"/>
      <c r="O97" s="79"/>
      <c r="P97" s="79"/>
      <c r="Q97" s="131">
        <f>Balance_Sheet_Qtr!F97</f>
        <v>0</v>
      </c>
      <c r="R97" s="131">
        <f>Balance_Sheet_Qtr!K97</f>
        <v>0</v>
      </c>
      <c r="S97" s="131">
        <f>Balance_Sheet_Qtr!P97</f>
        <v>0</v>
      </c>
      <c r="T97" s="131">
        <f>Balance_Sheet_Qtr!U97</f>
        <v>0</v>
      </c>
      <c r="U97" s="131">
        <f>Balance_Sheet_Qtr!Z97</f>
        <v>0</v>
      </c>
      <c r="V97" s="169"/>
      <c r="W97" s="169">
        <f>Balance_Sheet_Qtr!AJ97</f>
        <v>0</v>
      </c>
      <c r="X97" s="169">
        <f>Balance_Sheet_Qtr!AO97</f>
        <v>0</v>
      </c>
      <c r="Y97" s="169">
        <f>Balance_Sheet_Qtr!AT97</f>
        <v>0</v>
      </c>
      <c r="Z97" s="169">
        <f>Balance_Sheet_Qtr!AY97</f>
        <v>0</v>
      </c>
      <c r="AA97" s="169">
        <f>Balance_Sheet_Qtr!BD97</f>
        <v>0</v>
      </c>
      <c r="AB97" s="169">
        <f ca="1">Balance_Sheet_Qtr!BI97</f>
        <v>-1120.019030655561</v>
      </c>
      <c r="AC97" s="79">
        <f ca="1">-AC96*AC86</f>
        <v>-1402.6016454591938</v>
      </c>
      <c r="AD97" s="79">
        <f ca="1">-AD96*AD86</f>
        <v>-1688.197822381132</v>
      </c>
      <c r="AE97" s="79">
        <f ca="1">-AE96*AE86</f>
        <v>-1970.809426972445</v>
      </c>
      <c r="AF97" s="79">
        <f ca="1">-AF96*AF86</f>
        <v>-2275.8128630934402</v>
      </c>
    </row>
    <row r="98" spans="1:32">
      <c r="A98" s="1" t="str">
        <f>Balance_Sheet_Qtr!A98</f>
        <v>Pre-Tax Income</v>
      </c>
      <c r="B98" s="79"/>
      <c r="C98" s="79"/>
      <c r="D98" s="79"/>
      <c r="E98" s="79"/>
      <c r="F98" s="79"/>
      <c r="G98" s="79"/>
      <c r="H98" s="79"/>
      <c r="I98" s="79"/>
      <c r="J98" s="79"/>
      <c r="K98" s="79"/>
      <c r="L98" s="79"/>
      <c r="M98" s="79"/>
      <c r="N98" s="79"/>
      <c r="O98" s="79"/>
      <c r="P98" s="79"/>
      <c r="Q98" s="131">
        <f>Balance_Sheet_Qtr!F98</f>
        <v>0</v>
      </c>
      <c r="R98" s="131">
        <f>Balance_Sheet_Qtr!K98</f>
        <v>0</v>
      </c>
      <c r="S98" s="131">
        <f>Balance_Sheet_Qtr!P98</f>
        <v>0</v>
      </c>
      <c r="T98" s="131">
        <f>Balance_Sheet_Qtr!U98</f>
        <v>0</v>
      </c>
      <c r="U98" s="131">
        <f>Balance_Sheet_Qtr!Z98</f>
        <v>0</v>
      </c>
      <c r="V98" s="169"/>
      <c r="W98" s="169">
        <f>Balance_Sheet_Qtr!AJ98</f>
        <v>0</v>
      </c>
      <c r="X98" s="169">
        <f>Balance_Sheet_Qtr!AO98</f>
        <v>0</v>
      </c>
      <c r="Y98" s="169">
        <f>Balance_Sheet_Qtr!AT98</f>
        <v>0</v>
      </c>
      <c r="Z98" s="169">
        <f>Balance_Sheet_Qtr!AY98</f>
        <v>0</v>
      </c>
      <c r="AA98" s="169">
        <f>Balance_Sheet_Qtr!BD98</f>
        <v>0</v>
      </c>
      <c r="AB98" s="169">
        <f ca="1">Balance_Sheet_Qtr!BI98</f>
        <v>746.67935377037406</v>
      </c>
      <c r="AC98" s="79">
        <f ca="1">AC95+AC97</f>
        <v>935.06776363946233</v>
      </c>
      <c r="AD98" s="79">
        <f ca="1">AD95+AD97</f>
        <v>1125.4652149207541</v>
      </c>
      <c r="AE98" s="79">
        <f ca="1">AE95+AE97</f>
        <v>1313.8729513149626</v>
      </c>
      <c r="AF98" s="79">
        <f ca="1">AF95+AF97</f>
        <v>1517.2085753956262</v>
      </c>
    </row>
    <row r="99" spans="1:32">
      <c r="A99" s="1" t="str">
        <f>Balance_Sheet_Qtr!A99</f>
        <v>Incremental Tax Expense</v>
      </c>
      <c r="B99" s="79"/>
      <c r="C99" s="79"/>
      <c r="D99" s="79"/>
      <c r="E99" s="79"/>
      <c r="F99" s="79"/>
      <c r="G99" s="79"/>
      <c r="H99" s="79"/>
      <c r="I99" s="79"/>
      <c r="J99" s="79"/>
      <c r="K99" s="79"/>
      <c r="L99" s="79"/>
      <c r="M99" s="79"/>
      <c r="N99" s="79"/>
      <c r="O99" s="79"/>
      <c r="P99" s="79"/>
      <c r="Q99" s="131">
        <f>Balance_Sheet_Qtr!F99</f>
        <v>0</v>
      </c>
      <c r="R99" s="131">
        <f>Balance_Sheet_Qtr!K99</f>
        <v>0</v>
      </c>
      <c r="S99" s="131">
        <f>Balance_Sheet_Qtr!P99</f>
        <v>0</v>
      </c>
      <c r="T99" s="131">
        <f>Balance_Sheet_Qtr!U99</f>
        <v>0</v>
      </c>
      <c r="U99" s="131">
        <f>Balance_Sheet_Qtr!Z99</f>
        <v>0</v>
      </c>
      <c r="V99" s="169"/>
      <c r="W99" s="169">
        <f>Balance_Sheet_Qtr!AJ99</f>
        <v>0</v>
      </c>
      <c r="X99" s="169">
        <f>Balance_Sheet_Qtr!AO99</f>
        <v>0</v>
      </c>
      <c r="Y99" s="169">
        <f>Balance_Sheet_Qtr!AT99</f>
        <v>0</v>
      </c>
      <c r="Z99" s="169">
        <f>Balance_Sheet_Qtr!AY99</f>
        <v>0</v>
      </c>
      <c r="AA99" s="169">
        <f>Balance_Sheet_Qtr!BD99</f>
        <v>0</v>
      </c>
      <c r="AB99" s="169">
        <f ca="1">Balance_Sheet_Qtr!BI99</f>
        <v>-156.80266429177854</v>
      </c>
      <c r="AC99" s="79">
        <f ca="1">-AC98*AC100</f>
        <v>-196.3642303642871</v>
      </c>
      <c r="AD99" s="79">
        <f ca="1">-AD98*AD100</f>
        <v>-236.34769513335834</v>
      </c>
      <c r="AE99" s="79">
        <f ca="1">-AE98*AE100</f>
        <v>-275.91331977614215</v>
      </c>
      <c r="AF99" s="79">
        <f ca="1">-AF98*AF100</f>
        <v>-318.61380083308148</v>
      </c>
    </row>
    <row r="100" spans="1:32">
      <c r="A100" s="1" t="str">
        <f>Balance_Sheet_Qtr!A100</f>
        <v>Incremental Tax Rate</v>
      </c>
      <c r="B100" s="146"/>
      <c r="C100" s="146"/>
      <c r="D100" s="146"/>
      <c r="E100" s="146"/>
      <c r="F100" s="146"/>
      <c r="G100" s="146"/>
      <c r="H100" s="146"/>
      <c r="I100" s="146"/>
      <c r="J100" s="146"/>
      <c r="K100" s="146"/>
      <c r="L100" s="146"/>
      <c r="M100" s="146"/>
      <c r="N100" s="146"/>
      <c r="O100" s="146"/>
      <c r="P100" s="146"/>
      <c r="Q100" s="149">
        <f>Balance_Sheet_Qtr!F100</f>
        <v>0</v>
      </c>
      <c r="R100" s="149">
        <f>Balance_Sheet_Qtr!K100</f>
        <v>0</v>
      </c>
      <c r="S100" s="149">
        <f>Balance_Sheet_Qtr!P100</f>
        <v>0</v>
      </c>
      <c r="T100" s="149">
        <f>Balance_Sheet_Qtr!U100</f>
        <v>0</v>
      </c>
      <c r="U100" s="149">
        <f>Balance_Sheet_Qtr!Z100</f>
        <v>0</v>
      </c>
      <c r="V100" s="223"/>
      <c r="W100" s="223">
        <f>Balance_Sheet_Qtr!AJ100</f>
        <v>0</v>
      </c>
      <c r="X100" s="223">
        <f>Balance_Sheet_Qtr!AO100</f>
        <v>0</v>
      </c>
      <c r="Y100" s="223">
        <f>Balance_Sheet_Qtr!AT100</f>
        <v>0</v>
      </c>
      <c r="Z100" s="223">
        <f>Balance_Sheet_Qtr!AY100</f>
        <v>0</v>
      </c>
      <c r="AA100" s="223">
        <f>Balance_Sheet_Qtr!BD100</f>
        <v>0</v>
      </c>
      <c r="AB100" s="223">
        <f>Balance_Sheet_Qtr!BI100</f>
        <v>0.21</v>
      </c>
      <c r="AC100" s="146">
        <v>0.21</v>
      </c>
      <c r="AD100" s="146">
        <v>0.21</v>
      </c>
      <c r="AE100" s="146">
        <v>0.21</v>
      </c>
      <c r="AF100" s="146">
        <v>0.21</v>
      </c>
    </row>
    <row r="101" spans="1:32">
      <c r="A101" s="1" t="str">
        <f>Balance_Sheet_Qtr!A101</f>
        <v>Incremental Net Income</v>
      </c>
      <c r="B101" s="79"/>
      <c r="C101" s="79"/>
      <c r="D101" s="79"/>
      <c r="E101" s="79"/>
      <c r="F101" s="79"/>
      <c r="G101" s="79"/>
      <c r="H101" s="79"/>
      <c r="I101" s="79"/>
      <c r="J101" s="79"/>
      <c r="K101" s="79"/>
      <c r="L101" s="79"/>
      <c r="M101" s="79"/>
      <c r="N101" s="79"/>
      <c r="O101" s="79"/>
      <c r="P101" s="79"/>
      <c r="Q101" s="131">
        <f>Balance_Sheet_Qtr!F101</f>
        <v>0</v>
      </c>
      <c r="R101" s="131">
        <f>Balance_Sheet_Qtr!K101</f>
        <v>0</v>
      </c>
      <c r="S101" s="131">
        <f>Balance_Sheet_Qtr!P101</f>
        <v>0</v>
      </c>
      <c r="T101" s="131">
        <f>Balance_Sheet_Qtr!U101</f>
        <v>0</v>
      </c>
      <c r="U101" s="131">
        <f>Balance_Sheet_Qtr!Z101</f>
        <v>0</v>
      </c>
      <c r="V101" s="169"/>
      <c r="W101" s="169">
        <f>Balance_Sheet_Qtr!AJ101</f>
        <v>0</v>
      </c>
      <c r="X101" s="169">
        <f>Balance_Sheet_Qtr!AO101</f>
        <v>0</v>
      </c>
      <c r="Y101" s="169">
        <f>Balance_Sheet_Qtr!AT101</f>
        <v>0</v>
      </c>
      <c r="Z101" s="169">
        <f>Balance_Sheet_Qtr!AY101</f>
        <v>0</v>
      </c>
      <c r="AA101" s="169">
        <f>Balance_Sheet_Qtr!BD101</f>
        <v>0</v>
      </c>
      <c r="AB101" s="169">
        <f ca="1">Balance_Sheet_Qtr!BI101</f>
        <v>589.87668947859549</v>
      </c>
      <c r="AC101" s="79">
        <f ca="1">AC98+AC99</f>
        <v>738.70353327517523</v>
      </c>
      <c r="AD101" s="79">
        <f ca="1">AD98+AD99</f>
        <v>889.11751978739574</v>
      </c>
      <c r="AE101" s="79">
        <f ca="1">AE98+AE99</f>
        <v>1037.9596315388205</v>
      </c>
      <c r="AF101" s="79">
        <f ca="1">AF98+AF99</f>
        <v>1198.5947745625447</v>
      </c>
    </row>
    <row r="102" spans="1:32">
      <c r="A102" s="145" t="str">
        <f>Balance_Sheet_Qtr!A102</f>
        <v>Incremental EPS</v>
      </c>
      <c r="B102" s="51"/>
      <c r="C102" s="51"/>
      <c r="D102" s="51"/>
      <c r="E102" s="51"/>
      <c r="F102" s="51"/>
      <c r="G102" s="51"/>
      <c r="H102" s="51"/>
      <c r="I102" s="51"/>
      <c r="J102" s="51"/>
      <c r="K102" s="51"/>
      <c r="L102" s="51"/>
      <c r="M102" s="51"/>
      <c r="N102" s="51"/>
      <c r="O102" s="51"/>
      <c r="P102" s="51"/>
      <c r="Q102" s="150">
        <f>Balance_Sheet_Qtr!F102</f>
        <v>0</v>
      </c>
      <c r="R102" s="150">
        <f>Balance_Sheet_Qtr!K102</f>
        <v>0</v>
      </c>
      <c r="S102" s="150">
        <f>Balance_Sheet_Qtr!P102</f>
        <v>0</v>
      </c>
      <c r="T102" s="150">
        <f>Balance_Sheet_Qtr!U102</f>
        <v>0</v>
      </c>
      <c r="U102" s="150">
        <f>Balance_Sheet_Qtr!Z102</f>
        <v>0</v>
      </c>
      <c r="V102" s="224"/>
      <c r="W102" s="224">
        <f>Balance_Sheet_Qtr!AJ102</f>
        <v>0</v>
      </c>
      <c r="X102" s="224">
        <f>Balance_Sheet_Qtr!AO102</f>
        <v>0</v>
      </c>
      <c r="Y102" s="224">
        <f>Balance_Sheet_Qtr!AT102</f>
        <v>0</v>
      </c>
      <c r="Z102" s="224">
        <f>Balance_Sheet_Qtr!AY102</f>
        <v>0</v>
      </c>
      <c r="AA102" s="224">
        <f>Balance_Sheet_Qtr!BD102</f>
        <v>0</v>
      </c>
      <c r="AB102" s="224">
        <f ca="1">Balance_Sheet_Qtr!BI102</f>
        <v>0.43198258561113789</v>
      </c>
      <c r="AC102" s="51">
        <f ca="1">AC101/ProForma_IS_Annual!AC61</f>
        <v>0.54614298719192234</v>
      </c>
      <c r="AD102" s="51">
        <f ca="1">AD101/ProForma_IS_Annual!AD61</f>
        <v>0.66657531290467587</v>
      </c>
      <c r="AE102" s="51">
        <f ca="1">AE101/ProForma_IS_Annual!AE61</f>
        <v>0.78840406656549822</v>
      </c>
      <c r="AF102" s="51">
        <f ca="1">AF101/ProForma_IS_Annual!AF61</f>
        <v>0.92195681676888497</v>
      </c>
    </row>
    <row r="103" spans="1:32">
      <c r="A103" s="1" t="str">
        <f>Balance_Sheet_Qtr!A103</f>
        <v>Annualized EPS Accretion</v>
      </c>
      <c r="B103" s="36"/>
      <c r="C103" s="36"/>
      <c r="D103" s="36"/>
      <c r="E103" s="36"/>
      <c r="F103" s="36"/>
      <c r="G103" s="36"/>
      <c r="H103" s="36"/>
      <c r="I103" s="36"/>
      <c r="J103" s="36"/>
      <c r="K103" s="36"/>
      <c r="L103" s="36"/>
      <c r="M103" s="36"/>
      <c r="N103" s="36"/>
      <c r="O103" s="36"/>
      <c r="P103" s="36"/>
      <c r="Q103" s="130">
        <f>Balance_Sheet_Qtr!F103</f>
        <v>0</v>
      </c>
      <c r="R103" s="130">
        <f>Balance_Sheet_Qtr!K103</f>
        <v>0</v>
      </c>
      <c r="S103" s="130">
        <f>Balance_Sheet_Qtr!P103</f>
        <v>0</v>
      </c>
      <c r="T103" s="130">
        <f>Balance_Sheet_Qtr!U103</f>
        <v>0</v>
      </c>
      <c r="U103" s="130">
        <f>Balance_Sheet_Qtr!Z103</f>
        <v>0</v>
      </c>
      <c r="V103" s="186"/>
      <c r="W103" s="186">
        <f>Balance_Sheet_Qtr!AJ103</f>
        <v>0</v>
      </c>
      <c r="X103" s="186">
        <f>Balance_Sheet_Qtr!AO103</f>
        <v>0</v>
      </c>
      <c r="Y103" s="186">
        <f>Balance_Sheet_Qtr!AT103</f>
        <v>0</v>
      </c>
      <c r="Z103" s="186">
        <f>Balance_Sheet_Qtr!AY103</f>
        <v>0</v>
      </c>
      <c r="AA103" s="186">
        <f>Balance_Sheet_Qtr!BD103</f>
        <v>0</v>
      </c>
      <c r="AB103" s="186">
        <f ca="1">Balance_Sheet_Qtr!BI103</f>
        <v>5.9564273920660271E-2</v>
      </c>
      <c r="AC103" s="36">
        <f ca="1">AC102/ProForma_IS_Annual!AC52</f>
        <v>6.9592745287399158E-2</v>
      </c>
      <c r="AD103" s="36">
        <f ca="1">AD102/ProForma_IS_Annual!AD52</f>
        <v>7.844646623648685E-2</v>
      </c>
      <c r="AE103" s="36">
        <f ca="1">AE102/ProForma_IS_Annual!AE52</f>
        <v>8.5698834744427604E-2</v>
      </c>
      <c r="AF103" s="36">
        <f ca="1">AF102/ProForma_IS_Annual!AF52</f>
        <v>9.2639081806227333E-2</v>
      </c>
    </row>
    <row r="104" spans="1:32">
      <c r="A104" s="1"/>
      <c r="B104" s="139"/>
      <c r="C104" s="139"/>
      <c r="D104" s="139"/>
      <c r="E104" s="139"/>
      <c r="F104" s="139"/>
      <c r="G104" s="139"/>
      <c r="H104" s="139"/>
      <c r="I104" s="139"/>
      <c r="J104" s="139"/>
      <c r="K104" s="139"/>
      <c r="L104" s="139"/>
      <c r="M104" s="139"/>
      <c r="N104" s="139"/>
      <c r="O104" s="139"/>
      <c r="P104" s="139"/>
      <c r="Q104" s="147"/>
      <c r="R104" s="147"/>
      <c r="S104" s="147"/>
      <c r="T104" s="147"/>
      <c r="U104" s="147"/>
      <c r="V104" s="221"/>
      <c r="W104" s="221"/>
      <c r="X104" s="221"/>
      <c r="Y104" s="221"/>
      <c r="Z104" s="221"/>
      <c r="AA104" s="221"/>
      <c r="AB104" s="221"/>
      <c r="AC104" s="139"/>
      <c r="AD104" s="139"/>
      <c r="AE104" s="139"/>
      <c r="AF104" s="139"/>
    </row>
    <row r="105" spans="1:32">
      <c r="A105" s="116" t="str">
        <f>Balance_Sheet_Qtr!A105</f>
        <v>Dry Powder Calculation for Share Buybacks</v>
      </c>
      <c r="B105" s="144"/>
      <c r="C105" s="144"/>
      <c r="D105" s="144"/>
      <c r="E105" s="144"/>
      <c r="F105" s="144"/>
      <c r="G105" s="144"/>
      <c r="H105" s="144"/>
      <c r="I105" s="144"/>
      <c r="J105" s="144"/>
      <c r="K105" s="144"/>
      <c r="L105" s="144"/>
      <c r="M105" s="144"/>
      <c r="N105" s="144"/>
      <c r="O105" s="144"/>
      <c r="P105" s="144"/>
      <c r="Q105" s="148"/>
      <c r="R105" s="148"/>
      <c r="S105" s="148"/>
      <c r="T105" s="148"/>
      <c r="U105" s="148"/>
      <c r="V105" s="222"/>
      <c r="W105" s="222"/>
      <c r="X105" s="222"/>
      <c r="Y105" s="222"/>
      <c r="Z105" s="222"/>
      <c r="AA105" s="222"/>
      <c r="AB105" s="222"/>
      <c r="AC105" s="144"/>
      <c r="AD105" s="144"/>
      <c r="AE105" s="144"/>
      <c r="AF105" s="144"/>
    </row>
    <row r="106" spans="1:32">
      <c r="A106" s="1" t="str">
        <f>Balance_Sheet_Qtr!A106</f>
        <v>Cash</v>
      </c>
      <c r="B106" s="79"/>
      <c r="C106" s="79"/>
      <c r="D106" s="79"/>
      <c r="E106" s="79"/>
      <c r="F106" s="79"/>
      <c r="G106" s="79"/>
      <c r="H106" s="79"/>
      <c r="I106" s="79"/>
      <c r="J106" s="79"/>
      <c r="K106" s="79"/>
      <c r="L106" s="79"/>
      <c r="M106" s="79"/>
      <c r="N106" s="79"/>
      <c r="O106" s="79"/>
      <c r="P106" s="79"/>
      <c r="Q106" s="131">
        <f>Balance_Sheet_Qtr!F106</f>
        <v>0</v>
      </c>
      <c r="R106" s="131">
        <f>Balance_Sheet_Qtr!K106</f>
        <v>0</v>
      </c>
      <c r="S106" s="131">
        <f>Balance_Sheet_Qtr!P106</f>
        <v>0</v>
      </c>
      <c r="T106" s="131">
        <f>Balance_Sheet_Qtr!U106</f>
        <v>0</v>
      </c>
      <c r="U106" s="131">
        <f>Balance_Sheet_Qtr!Z106</f>
        <v>0</v>
      </c>
      <c r="V106" s="169"/>
      <c r="W106" s="169">
        <f>Balance_Sheet_Qtr!AJ106</f>
        <v>0</v>
      </c>
      <c r="X106" s="169">
        <f>Balance_Sheet_Qtr!AO106</f>
        <v>0</v>
      </c>
      <c r="Y106" s="169">
        <f>Balance_Sheet_Qtr!AT106</f>
        <v>0</v>
      </c>
      <c r="Z106" s="169">
        <f>Balance_Sheet_Qtr!AY106</f>
        <v>0</v>
      </c>
      <c r="AA106" s="169">
        <f>Balance_Sheet_Qtr!BD106</f>
        <v>0</v>
      </c>
      <c r="AB106" s="169">
        <f>Balance_Sheet_Qtr!BI106</f>
        <v>8604.2143587620139</v>
      </c>
      <c r="AC106" s="79">
        <f>AC5</f>
        <v>9439.8404685194837</v>
      </c>
      <c r="AD106" s="79">
        <f>AD5</f>
        <v>12183.072621087589</v>
      </c>
      <c r="AE106" s="79">
        <f>AE5</f>
        <v>15154.271582754918</v>
      </c>
      <c r="AF106" s="79">
        <f>AF5</f>
        <v>18258.057323765934</v>
      </c>
    </row>
    <row r="107" spans="1:32">
      <c r="A107" s="1" t="str">
        <f>Balance_Sheet_Qtr!A107</f>
        <v>Incremental Debt</v>
      </c>
      <c r="B107" s="79"/>
      <c r="C107" s="79"/>
      <c r="D107" s="79"/>
      <c r="E107" s="79"/>
      <c r="F107" s="79"/>
      <c r="G107" s="79"/>
      <c r="H107" s="79"/>
      <c r="I107" s="79"/>
      <c r="J107" s="79"/>
      <c r="K107" s="79"/>
      <c r="L107" s="79"/>
      <c r="M107" s="79"/>
      <c r="N107" s="79"/>
      <c r="O107" s="79"/>
      <c r="P107" s="79"/>
      <c r="Q107" s="131">
        <f>Balance_Sheet_Qtr!F107</f>
        <v>0</v>
      </c>
      <c r="R107" s="131">
        <f>Balance_Sheet_Qtr!K107</f>
        <v>0</v>
      </c>
      <c r="S107" s="131">
        <f>Balance_Sheet_Qtr!P107</f>
        <v>0</v>
      </c>
      <c r="T107" s="131">
        <f>Balance_Sheet_Qtr!U107</f>
        <v>0</v>
      </c>
      <c r="U107" s="131">
        <f>Balance_Sheet_Qtr!Z107</f>
        <v>0</v>
      </c>
      <c r="V107" s="169"/>
      <c r="W107" s="169">
        <f>Balance_Sheet_Qtr!AJ107</f>
        <v>0</v>
      </c>
      <c r="X107" s="169">
        <f>Balance_Sheet_Qtr!AO107</f>
        <v>0</v>
      </c>
      <c r="Y107" s="169">
        <f>Balance_Sheet_Qtr!AT107</f>
        <v>0</v>
      </c>
      <c r="Z107" s="169">
        <f>Balance_Sheet_Qtr!AY107</f>
        <v>0</v>
      </c>
      <c r="AA107" s="169">
        <f>Balance_Sheet_Qtr!BD107</f>
        <v>0</v>
      </c>
      <c r="AB107" s="169">
        <f>Balance_Sheet_Qtr!BI107</f>
        <v>24000.407799762026</v>
      </c>
      <c r="AC107" s="79">
        <f>(ProForma_IS_Annual!AC82)*AC109+(Balance_Sheet_Annual!AC106-AC80)</f>
        <v>30055.749545554143</v>
      </c>
      <c r="AD107" s="79">
        <f>(ProForma_IS_Annual!AD82)*AD109+(Balance_Sheet_Annual!AD106-AD80)</f>
        <v>36175.667622452835</v>
      </c>
      <c r="AE107" s="79">
        <f>(ProForma_IS_Annual!AE82)*AE109+(Balance_Sheet_Annual!AE106-AE80)</f>
        <v>42231.630577980955</v>
      </c>
      <c r="AF107" s="79">
        <f>(ProForma_IS_Annual!AF82)*AF109+(Balance_Sheet_Annual!AF106-AF80)</f>
        <v>48767.418494859427</v>
      </c>
    </row>
    <row r="108" spans="1:32">
      <c r="A108" s="145" t="str">
        <f>Balance_Sheet_Qtr!A108</f>
        <v>Dry Powder for Buybacks</v>
      </c>
      <c r="B108" s="24"/>
      <c r="C108" s="24"/>
      <c r="D108" s="24"/>
      <c r="E108" s="24"/>
      <c r="F108" s="24"/>
      <c r="G108" s="24"/>
      <c r="H108" s="24"/>
      <c r="I108" s="24"/>
      <c r="J108" s="24"/>
      <c r="K108" s="24"/>
      <c r="L108" s="24"/>
      <c r="M108" s="24"/>
      <c r="N108" s="24"/>
      <c r="O108" s="24"/>
      <c r="P108" s="24"/>
      <c r="Q108" s="132">
        <f>Balance_Sheet_Qtr!F108</f>
        <v>0</v>
      </c>
      <c r="R108" s="132">
        <f>Balance_Sheet_Qtr!K108</f>
        <v>0</v>
      </c>
      <c r="S108" s="132">
        <f>Balance_Sheet_Qtr!P108</f>
        <v>0</v>
      </c>
      <c r="T108" s="132">
        <f>Balance_Sheet_Qtr!U108</f>
        <v>0</v>
      </c>
      <c r="U108" s="132">
        <f>Balance_Sheet_Qtr!Z108</f>
        <v>0</v>
      </c>
      <c r="V108" s="182"/>
      <c r="W108" s="182">
        <f>Balance_Sheet_Qtr!AJ108</f>
        <v>0</v>
      </c>
      <c r="X108" s="182">
        <f>Balance_Sheet_Qtr!AO108</f>
        <v>0</v>
      </c>
      <c r="Y108" s="182">
        <f>Balance_Sheet_Qtr!AT108</f>
        <v>0</v>
      </c>
      <c r="Z108" s="182">
        <f>Balance_Sheet_Qtr!AY108</f>
        <v>0</v>
      </c>
      <c r="AA108" s="182">
        <f>Balance_Sheet_Qtr!BD108</f>
        <v>0</v>
      </c>
      <c r="AB108" s="182">
        <f>Balance_Sheet_Qtr!BI108</f>
        <v>24000.407799762026</v>
      </c>
      <c r="AC108" s="24">
        <f>AC107</f>
        <v>30055.749545554143</v>
      </c>
      <c r="AD108" s="24">
        <f>AD107</f>
        <v>36175.667622452835</v>
      </c>
      <c r="AE108" s="24">
        <f>AE107</f>
        <v>42231.630577980955</v>
      </c>
      <c r="AF108" s="24">
        <f>AF107</f>
        <v>48767.418494859427</v>
      </c>
    </row>
    <row r="109" spans="1:32">
      <c r="A109" s="1" t="str">
        <f>Balance_Sheet_Qtr!A109</f>
        <v>Target Post-Buyback Net Debt to EBITDA</v>
      </c>
      <c r="B109" s="141"/>
      <c r="C109" s="141"/>
      <c r="D109" s="141"/>
      <c r="E109" s="141"/>
      <c r="F109" s="141"/>
      <c r="G109" s="141"/>
      <c r="H109" s="141"/>
      <c r="I109" s="141"/>
      <c r="J109" s="141"/>
      <c r="K109" s="141"/>
      <c r="L109" s="141"/>
      <c r="M109" s="141"/>
      <c r="N109" s="141"/>
      <c r="O109" s="141"/>
      <c r="P109" s="141"/>
      <c r="Q109" s="147">
        <f>Balance_Sheet_Qtr!F109</f>
        <v>0</v>
      </c>
      <c r="R109" s="147">
        <f>Balance_Sheet_Qtr!K109</f>
        <v>0</v>
      </c>
      <c r="S109" s="147">
        <f>Balance_Sheet_Qtr!P109</f>
        <v>0</v>
      </c>
      <c r="T109" s="147">
        <f>Balance_Sheet_Qtr!U109</f>
        <v>0</v>
      </c>
      <c r="U109" s="147">
        <f>Balance_Sheet_Qtr!Z109</f>
        <v>0</v>
      </c>
      <c r="V109" s="221"/>
      <c r="W109" s="221">
        <f>Balance_Sheet_Qtr!AJ109</f>
        <v>0</v>
      </c>
      <c r="X109" s="221">
        <f>Balance_Sheet_Qtr!AO109</f>
        <v>0</v>
      </c>
      <c r="Y109" s="221">
        <f>Balance_Sheet_Qtr!AT109</f>
        <v>0</v>
      </c>
      <c r="Z109" s="221">
        <f>Balance_Sheet_Qtr!AY109</f>
        <v>0</v>
      </c>
      <c r="AA109" s="221">
        <f>Balance_Sheet_Qtr!BD109</f>
        <v>0</v>
      </c>
      <c r="AB109" s="221">
        <f>Balance_Sheet_Qtr!BI109</f>
        <v>3</v>
      </c>
      <c r="AC109" s="141">
        <v>3</v>
      </c>
      <c r="AD109" s="141">
        <v>3</v>
      </c>
      <c r="AE109" s="141">
        <v>3</v>
      </c>
      <c r="AF109" s="141">
        <v>3</v>
      </c>
    </row>
    <row r="110" spans="1:32">
      <c r="A110" s="1" t="str">
        <f>Balance_Sheet_Qtr!A110</f>
        <v>Post-Buyback Net Debt to EBITDA</v>
      </c>
      <c r="B110" s="139"/>
      <c r="C110" s="139"/>
      <c r="D110" s="139"/>
      <c r="E110" s="139"/>
      <c r="F110" s="139"/>
      <c r="G110" s="139"/>
      <c r="H110" s="139"/>
      <c r="I110" s="139"/>
      <c r="J110" s="139"/>
      <c r="K110" s="139"/>
      <c r="L110" s="139"/>
      <c r="M110" s="139"/>
      <c r="N110" s="139"/>
      <c r="O110" s="139"/>
      <c r="P110" s="139"/>
      <c r="Q110" s="147">
        <f>Balance_Sheet_Qtr!F110</f>
        <v>0</v>
      </c>
      <c r="R110" s="147">
        <f>Balance_Sheet_Qtr!K110</f>
        <v>0</v>
      </c>
      <c r="S110" s="147">
        <f>Balance_Sheet_Qtr!P110</f>
        <v>0</v>
      </c>
      <c r="T110" s="147">
        <f>Balance_Sheet_Qtr!U110</f>
        <v>0</v>
      </c>
      <c r="U110" s="147">
        <f>Balance_Sheet_Qtr!Z110</f>
        <v>0</v>
      </c>
      <c r="V110" s="221"/>
      <c r="W110" s="221">
        <f>Balance_Sheet_Qtr!AJ110</f>
        <v>0</v>
      </c>
      <c r="X110" s="221">
        <f>Balance_Sheet_Qtr!AO110</f>
        <v>0</v>
      </c>
      <c r="Y110" s="221">
        <f>Balance_Sheet_Qtr!AT110</f>
        <v>0</v>
      </c>
      <c r="Z110" s="221">
        <f>Balance_Sheet_Qtr!AY110</f>
        <v>0</v>
      </c>
      <c r="AA110" s="221">
        <f>Balance_Sheet_Qtr!BD110</f>
        <v>0</v>
      </c>
      <c r="AB110" s="221">
        <f>Balance_Sheet_Qtr!BI110</f>
        <v>3</v>
      </c>
      <c r="AC110" s="139">
        <f>(AC107+AC80-AC106)/(ProForma_IS_Annual!AC82)</f>
        <v>3</v>
      </c>
      <c r="AD110" s="139">
        <f>(AD107+AD80-AD106)/(ProForma_IS_Annual!AD82)</f>
        <v>3</v>
      </c>
      <c r="AE110" s="139">
        <f>(AE107+AE80-AE106)/(ProForma_IS_Annual!AE82)</f>
        <v>2.9999999999999996</v>
      </c>
      <c r="AF110" s="139">
        <f>(AF107+AF80-AF106)/(ProForma_IS_Annual!AF82)</f>
        <v>2.9999999999999996</v>
      </c>
    </row>
    <row r="111" spans="1:32">
      <c r="A111" s="1" t="str">
        <f>Balance_Sheet_Qtr!A111</f>
        <v>Incremental Cost of Debt</v>
      </c>
      <c r="B111" s="146"/>
      <c r="C111" s="146"/>
      <c r="D111" s="146"/>
      <c r="E111" s="146"/>
      <c r="F111" s="146"/>
      <c r="G111" s="146"/>
      <c r="H111" s="146"/>
      <c r="I111" s="146"/>
      <c r="J111" s="146"/>
      <c r="K111" s="146"/>
      <c r="L111" s="146"/>
      <c r="M111" s="146"/>
      <c r="N111" s="146"/>
      <c r="O111" s="146"/>
      <c r="P111" s="146"/>
      <c r="Q111" s="149">
        <f>Balance_Sheet_Qtr!F111</f>
        <v>0</v>
      </c>
      <c r="R111" s="149">
        <f>Balance_Sheet_Qtr!K111</f>
        <v>0</v>
      </c>
      <c r="S111" s="149">
        <f>Balance_Sheet_Qtr!P111</f>
        <v>0</v>
      </c>
      <c r="T111" s="149">
        <f>Balance_Sheet_Qtr!U111</f>
        <v>0</v>
      </c>
      <c r="U111" s="149">
        <f>Balance_Sheet_Qtr!Z111</f>
        <v>0</v>
      </c>
      <c r="V111" s="223"/>
      <c r="W111" s="223">
        <f>Balance_Sheet_Qtr!AJ111</f>
        <v>0</v>
      </c>
      <c r="X111" s="223">
        <f>Balance_Sheet_Qtr!AO111</f>
        <v>0</v>
      </c>
      <c r="Y111" s="223">
        <f>Balance_Sheet_Qtr!AT111</f>
        <v>0</v>
      </c>
      <c r="Z111" s="223">
        <f>Balance_Sheet_Qtr!AY111</f>
        <v>0</v>
      </c>
      <c r="AA111" s="223">
        <f>Balance_Sheet_Qtr!BD111</f>
        <v>0</v>
      </c>
      <c r="AB111" s="223">
        <f>Balance_Sheet_Qtr!BI111</f>
        <v>3.5000000000000003E-2</v>
      </c>
      <c r="AC111" s="146">
        <v>3.5000000000000003E-2</v>
      </c>
      <c r="AD111" s="146">
        <v>3.5000000000000003E-2</v>
      </c>
      <c r="AE111" s="146">
        <v>3.5000000000000003E-2</v>
      </c>
      <c r="AF111" s="146">
        <v>3.5000000000000003E-2</v>
      </c>
    </row>
    <row r="112" spans="1:32">
      <c r="A112" s="1" t="str">
        <f>Balance_Sheet_Qtr!A112</f>
        <v>Incremental Interest Expense</v>
      </c>
      <c r="B112" s="79"/>
      <c r="C112" s="79"/>
      <c r="D112" s="79"/>
      <c r="E112" s="79"/>
      <c r="F112" s="79"/>
      <c r="G112" s="79"/>
      <c r="H112" s="79"/>
      <c r="I112" s="79"/>
      <c r="J112" s="79"/>
      <c r="K112" s="79"/>
      <c r="L112" s="79"/>
      <c r="M112" s="79"/>
      <c r="N112" s="79"/>
      <c r="O112" s="79"/>
      <c r="P112" s="79"/>
      <c r="Q112" s="131">
        <f>Balance_Sheet_Qtr!F112</f>
        <v>0</v>
      </c>
      <c r="R112" s="131">
        <f>Balance_Sheet_Qtr!K112</f>
        <v>0</v>
      </c>
      <c r="S112" s="131">
        <f>Balance_Sheet_Qtr!P112</f>
        <v>0</v>
      </c>
      <c r="T112" s="131">
        <f>Balance_Sheet_Qtr!U112</f>
        <v>0</v>
      </c>
      <c r="U112" s="131">
        <f>Balance_Sheet_Qtr!Z112</f>
        <v>0</v>
      </c>
      <c r="V112" s="169"/>
      <c r="W112" s="169">
        <f>Balance_Sheet_Qtr!AJ112</f>
        <v>0</v>
      </c>
      <c r="X112" s="169">
        <f>Balance_Sheet_Qtr!AO112</f>
        <v>0</v>
      </c>
      <c r="Y112" s="169">
        <f>Balance_Sheet_Qtr!AT112</f>
        <v>0</v>
      </c>
      <c r="Z112" s="169">
        <f>Balance_Sheet_Qtr!AY112</f>
        <v>0</v>
      </c>
      <c r="AA112" s="169">
        <f>Balance_Sheet_Qtr!BD112</f>
        <v>0</v>
      </c>
      <c r="AB112" s="169">
        <f>Balance_Sheet_Qtr!BI112</f>
        <v>-840.01427299167096</v>
      </c>
      <c r="AC112" s="79">
        <f>-AC111*AC107</f>
        <v>-1051.9512340943952</v>
      </c>
      <c r="AD112" s="79">
        <f>-AD111*AD107</f>
        <v>-1266.1483667858492</v>
      </c>
      <c r="AE112" s="79">
        <f>-AE111*AE107</f>
        <v>-1478.1070702293337</v>
      </c>
      <c r="AF112" s="79">
        <f>-AF111*AF107</f>
        <v>-1706.8596473200801</v>
      </c>
    </row>
    <row r="113" spans="1:32">
      <c r="A113" s="1" t="str">
        <f>Balance_Sheet_Qtr!A113</f>
        <v>Marginal Tax Rate</v>
      </c>
      <c r="B113" s="146"/>
      <c r="C113" s="146"/>
      <c r="D113" s="146"/>
      <c r="E113" s="146"/>
      <c r="F113" s="146"/>
      <c r="G113" s="146"/>
      <c r="H113" s="146"/>
      <c r="I113" s="146"/>
      <c r="J113" s="146"/>
      <c r="K113" s="146"/>
      <c r="L113" s="146"/>
      <c r="M113" s="146"/>
      <c r="N113" s="146"/>
      <c r="O113" s="146"/>
      <c r="P113" s="146"/>
      <c r="Q113" s="149">
        <f>Balance_Sheet_Qtr!F113</f>
        <v>0</v>
      </c>
      <c r="R113" s="149">
        <f>Balance_Sheet_Qtr!K113</f>
        <v>0</v>
      </c>
      <c r="S113" s="149">
        <f>Balance_Sheet_Qtr!P113</f>
        <v>0</v>
      </c>
      <c r="T113" s="149">
        <f>Balance_Sheet_Qtr!U113</f>
        <v>0</v>
      </c>
      <c r="U113" s="149">
        <f>Balance_Sheet_Qtr!Z113</f>
        <v>0</v>
      </c>
      <c r="V113" s="223"/>
      <c r="W113" s="223">
        <f>Balance_Sheet_Qtr!AJ113</f>
        <v>0</v>
      </c>
      <c r="X113" s="223">
        <f>Balance_Sheet_Qtr!AO113</f>
        <v>0</v>
      </c>
      <c r="Y113" s="223">
        <f>Balance_Sheet_Qtr!AT113</f>
        <v>0</v>
      </c>
      <c r="Z113" s="223">
        <f>Balance_Sheet_Qtr!AY113</f>
        <v>0</v>
      </c>
      <c r="AA113" s="223">
        <f>Balance_Sheet_Qtr!BD113</f>
        <v>0</v>
      </c>
      <c r="AB113" s="223">
        <f>Balance_Sheet_Qtr!BI113</f>
        <v>0.21</v>
      </c>
      <c r="AC113" s="146">
        <v>0.21</v>
      </c>
      <c r="AD113" s="146">
        <v>0.21</v>
      </c>
      <c r="AE113" s="146">
        <v>0.21</v>
      </c>
      <c r="AF113" s="146">
        <v>0.21</v>
      </c>
    </row>
    <row r="114" spans="1:32">
      <c r="A114" s="1" t="str">
        <f>Balance_Sheet_Qtr!A114</f>
        <v>Tax Effected Cost of Incremental Interest</v>
      </c>
      <c r="B114" s="79"/>
      <c r="C114" s="79"/>
      <c r="D114" s="79"/>
      <c r="E114" s="79"/>
      <c r="F114" s="79"/>
      <c r="G114" s="79"/>
      <c r="H114" s="79"/>
      <c r="I114" s="79"/>
      <c r="J114" s="79"/>
      <c r="K114" s="79"/>
      <c r="L114" s="79"/>
      <c r="M114" s="79"/>
      <c r="N114" s="79"/>
      <c r="O114" s="79"/>
      <c r="P114" s="79"/>
      <c r="Q114" s="131">
        <f>Balance_Sheet_Qtr!F114</f>
        <v>0</v>
      </c>
      <c r="R114" s="131">
        <f>Balance_Sheet_Qtr!K114</f>
        <v>0</v>
      </c>
      <c r="S114" s="131">
        <f>Balance_Sheet_Qtr!P114</f>
        <v>0</v>
      </c>
      <c r="T114" s="131">
        <f>Balance_Sheet_Qtr!U114</f>
        <v>0</v>
      </c>
      <c r="U114" s="131">
        <f>Balance_Sheet_Qtr!Z114</f>
        <v>0</v>
      </c>
      <c r="V114" s="169"/>
      <c r="W114" s="169">
        <f>Balance_Sheet_Qtr!AJ114</f>
        <v>0</v>
      </c>
      <c r="X114" s="169">
        <f>Balance_Sheet_Qtr!AO114</f>
        <v>0</v>
      </c>
      <c r="Y114" s="169">
        <f>Balance_Sheet_Qtr!AT114</f>
        <v>0</v>
      </c>
      <c r="Z114" s="169">
        <f>Balance_Sheet_Qtr!AY114</f>
        <v>0</v>
      </c>
      <c r="AA114" s="169">
        <f>Balance_Sheet_Qtr!BD114</f>
        <v>0</v>
      </c>
      <c r="AB114" s="169">
        <f>Balance_Sheet_Qtr!BI114</f>
        <v>-663.61127566342009</v>
      </c>
      <c r="AC114" s="79">
        <f>AC112*(1-AC113)</f>
        <v>-831.04147493457219</v>
      </c>
      <c r="AD114" s="79">
        <f>AD112*(1-AD113)</f>
        <v>-1000.257209760821</v>
      </c>
      <c r="AE114" s="79">
        <f>AE112*(1-AE113)</f>
        <v>-1167.7045854811736</v>
      </c>
      <c r="AF114" s="79">
        <f>AF112*(1-AF113)</f>
        <v>-1348.4191213828633</v>
      </c>
    </row>
    <row r="115" spans="1:32">
      <c r="A115" s="1" t="str">
        <f>Balance_Sheet_Qtr!A115</f>
        <v>Post-Buyback Net Income</v>
      </c>
      <c r="B115" s="79"/>
      <c r="C115" s="79"/>
      <c r="D115" s="79"/>
      <c r="E115" s="79"/>
      <c r="F115" s="79"/>
      <c r="G115" s="79"/>
      <c r="H115" s="79"/>
      <c r="I115" s="79"/>
      <c r="J115" s="79"/>
      <c r="K115" s="79"/>
      <c r="L115" s="79"/>
      <c r="M115" s="79"/>
      <c r="N115" s="79"/>
      <c r="O115" s="79"/>
      <c r="P115" s="79"/>
      <c r="Q115" s="131">
        <f>Balance_Sheet_Qtr!F115</f>
        <v>0</v>
      </c>
      <c r="R115" s="131">
        <f>Balance_Sheet_Qtr!K115</f>
        <v>0</v>
      </c>
      <c r="S115" s="131">
        <f>Balance_Sheet_Qtr!P115</f>
        <v>0</v>
      </c>
      <c r="T115" s="131">
        <f>Balance_Sheet_Qtr!U115</f>
        <v>0</v>
      </c>
      <c r="U115" s="131">
        <f>Balance_Sheet_Qtr!Z115</f>
        <v>0</v>
      </c>
      <c r="V115" s="169"/>
      <c r="W115" s="169">
        <f>Balance_Sheet_Qtr!AJ115</f>
        <v>0</v>
      </c>
      <c r="X115" s="169">
        <f>Balance_Sheet_Qtr!AO115</f>
        <v>0</v>
      </c>
      <c r="Y115" s="169">
        <f>Balance_Sheet_Qtr!AT115</f>
        <v>0</v>
      </c>
      <c r="Z115" s="169">
        <f>Balance_Sheet_Qtr!AY115</f>
        <v>0</v>
      </c>
      <c r="AA115" s="169">
        <f>Balance_Sheet_Qtr!BD115</f>
        <v>0</v>
      </c>
      <c r="AB115" s="169">
        <f>Balance_Sheet_Qtr!BI115</f>
        <v>9239.5848963290809</v>
      </c>
      <c r="AC115" s="79">
        <f>AC114+ProForma_IS_Annual!AC44</f>
        <v>9783.621450411023</v>
      </c>
      <c r="AD115" s="79">
        <f>AD114+ProForma_IS_Annual!AD44</f>
        <v>10333.809988461187</v>
      </c>
      <c r="AE115" s="79">
        <f>AE114+ProForma_IS_Annual!AE44</f>
        <v>10944.007722326043</v>
      </c>
      <c r="AF115" s="79">
        <f>AF114+ProForma_IS_Annual!AF44</f>
        <v>11589.908323071291</v>
      </c>
    </row>
    <row r="116" spans="1:32">
      <c r="A116" s="1" t="str">
        <f>Balance_Sheet_Qtr!A116</f>
        <v>Post-Buyback EPS</v>
      </c>
      <c r="B116" s="53"/>
      <c r="C116" s="53"/>
      <c r="D116" s="53"/>
      <c r="E116" s="53"/>
      <c r="F116" s="53"/>
      <c r="G116" s="53"/>
      <c r="H116" s="53"/>
      <c r="I116" s="53"/>
      <c r="J116" s="53"/>
      <c r="K116" s="53"/>
      <c r="L116" s="53"/>
      <c r="M116" s="53"/>
      <c r="N116" s="53"/>
      <c r="O116" s="53"/>
      <c r="P116" s="53"/>
      <c r="Q116" s="151">
        <f>Balance_Sheet_Qtr!F116</f>
        <v>0</v>
      </c>
      <c r="R116" s="151">
        <f>Balance_Sheet_Qtr!K116</f>
        <v>0</v>
      </c>
      <c r="S116" s="151">
        <f>Balance_Sheet_Qtr!P116</f>
        <v>0</v>
      </c>
      <c r="T116" s="151">
        <f>Balance_Sheet_Qtr!U116</f>
        <v>0</v>
      </c>
      <c r="U116" s="151">
        <f>Balance_Sheet_Qtr!Z116</f>
        <v>0</v>
      </c>
      <c r="V116" s="225"/>
      <c r="W116" s="225">
        <f>Balance_Sheet_Qtr!AJ116</f>
        <v>0</v>
      </c>
      <c r="X116" s="225">
        <f>Balance_Sheet_Qtr!AO116</f>
        <v>0</v>
      </c>
      <c r="Y116" s="225">
        <f>Balance_Sheet_Qtr!AT116</f>
        <v>0</v>
      </c>
      <c r="Z116" s="225">
        <f>Balance_Sheet_Qtr!AY116</f>
        <v>0</v>
      </c>
      <c r="AA116" s="225">
        <f>Balance_Sheet_Qtr!BD116</f>
        <v>0</v>
      </c>
      <c r="AB116" s="225">
        <f>Balance_Sheet_Qtr!BI116</f>
        <v>7.4332856800976952</v>
      </c>
      <c r="AC116" s="53">
        <f>AC115/(ProForma_IS_Annual!AC61-AC120)</f>
        <v>8.1092939368737387</v>
      </c>
      <c r="AD116" s="53">
        <f>AD115/(ProForma_IS_Annual!AD61-AD120)</f>
        <v>8.8598058235928594</v>
      </c>
      <c r="AE116" s="53">
        <f>AE115/(ProForma_IS_Annual!AE61-AE120)</f>
        <v>9.6822572739708246</v>
      </c>
      <c r="AF116" s="53">
        <f>AF115/(ProForma_IS_Annual!AF61-AF120)</f>
        <v>10.581886508355865</v>
      </c>
    </row>
    <row r="117" spans="1:32">
      <c r="A117" s="145" t="str">
        <f>Balance_Sheet_Qtr!A117</f>
        <v>Incremental EPS</v>
      </c>
      <c r="B117" s="51"/>
      <c r="C117" s="51"/>
      <c r="D117" s="51"/>
      <c r="E117" s="51"/>
      <c r="F117" s="51"/>
      <c r="G117" s="51"/>
      <c r="H117" s="51"/>
      <c r="I117" s="51"/>
      <c r="J117" s="51"/>
      <c r="K117" s="51"/>
      <c r="L117" s="51"/>
      <c r="M117" s="51"/>
      <c r="N117" s="51"/>
      <c r="O117" s="51"/>
      <c r="P117" s="51"/>
      <c r="Q117" s="150">
        <f>Balance_Sheet_Qtr!F117</f>
        <v>0</v>
      </c>
      <c r="R117" s="150">
        <f>Balance_Sheet_Qtr!K117</f>
        <v>0</v>
      </c>
      <c r="S117" s="150">
        <f>Balance_Sheet_Qtr!P117</f>
        <v>0</v>
      </c>
      <c r="T117" s="150">
        <f>Balance_Sheet_Qtr!U117</f>
        <v>0</v>
      </c>
      <c r="U117" s="150">
        <f>Balance_Sheet_Qtr!Z117</f>
        <v>0</v>
      </c>
      <c r="V117" s="224"/>
      <c r="W117" s="224">
        <f>Balance_Sheet_Qtr!AJ117</f>
        <v>0</v>
      </c>
      <c r="X117" s="224">
        <f>Balance_Sheet_Qtr!AO117</f>
        <v>0</v>
      </c>
      <c r="Y117" s="224">
        <f>Balance_Sheet_Qtr!AT117</f>
        <v>0</v>
      </c>
      <c r="Z117" s="224">
        <f>Balance_Sheet_Qtr!AY117</f>
        <v>0</v>
      </c>
      <c r="AA117" s="224">
        <f>Balance_Sheet_Qtr!BD117</f>
        <v>0</v>
      </c>
      <c r="AB117" s="224">
        <f>Balance_Sheet_Qtr!BI117</f>
        <v>0.18090842143187924</v>
      </c>
      <c r="AC117" s="51">
        <f>AC116-ProForma_IS_Annual!AC52</f>
        <v>0.261593936873739</v>
      </c>
      <c r="AD117" s="51">
        <f>AD116-ProForma_IS_Annual!AD52</f>
        <v>0.36260582359286175</v>
      </c>
      <c r="AE117" s="51">
        <f>AE116-ProForma_IS_Annual!AE52</f>
        <v>0.48255147964247591</v>
      </c>
      <c r="AF117" s="51">
        <f>AF116-ProForma_IS_Annual!AF52</f>
        <v>0.62974969100984346</v>
      </c>
    </row>
    <row r="118" spans="1:32">
      <c r="A118" s="1" t="str">
        <f>Balance_Sheet_Qtr!A118</f>
        <v>EPS Accretion</v>
      </c>
      <c r="B118" s="137"/>
      <c r="C118" s="137"/>
      <c r="D118" s="137"/>
      <c r="E118" s="137"/>
      <c r="F118" s="137"/>
      <c r="G118" s="137"/>
      <c r="H118" s="137"/>
      <c r="I118" s="137"/>
      <c r="J118" s="137"/>
      <c r="K118" s="137"/>
      <c r="L118" s="137"/>
      <c r="M118" s="137"/>
      <c r="N118" s="137"/>
      <c r="O118" s="137"/>
      <c r="P118" s="137"/>
      <c r="Q118" s="152">
        <f>Balance_Sheet_Qtr!F118</f>
        <v>0</v>
      </c>
      <c r="R118" s="152">
        <f>Balance_Sheet_Qtr!K118</f>
        <v>0</v>
      </c>
      <c r="S118" s="152">
        <f>Balance_Sheet_Qtr!P118</f>
        <v>0</v>
      </c>
      <c r="T118" s="152">
        <f>Balance_Sheet_Qtr!U118</f>
        <v>0</v>
      </c>
      <c r="U118" s="152">
        <f>Balance_Sheet_Qtr!Z118</f>
        <v>0</v>
      </c>
      <c r="V118" s="226"/>
      <c r="W118" s="226">
        <f>Balance_Sheet_Qtr!AJ118</f>
        <v>0</v>
      </c>
      <c r="X118" s="226">
        <f>Balance_Sheet_Qtr!AO118</f>
        <v>0</v>
      </c>
      <c r="Y118" s="226">
        <f>Balance_Sheet_Qtr!AT118</f>
        <v>0</v>
      </c>
      <c r="Z118" s="226">
        <f>Balance_Sheet_Qtr!AY118</f>
        <v>0</v>
      </c>
      <c r="AA118" s="226">
        <f>Balance_Sheet_Qtr!BD118</f>
        <v>0</v>
      </c>
      <c r="AB118" s="226">
        <f>Balance_Sheet_Qtr!BI118</f>
        <v>2.4944706401712979E-2</v>
      </c>
      <c r="AC118" s="137">
        <f>AC116/(ProForma_IS_Annual!AC52)-1</f>
        <v>3.3333834992894662E-2</v>
      </c>
      <c r="AD118" s="137">
        <f>AD116/(ProForma_IS_Annual!AD52)-1</f>
        <v>4.2673565832610949E-2</v>
      </c>
      <c r="AE118" s="137">
        <f>AE116/(ProForma_IS_Annual!AE52)-1</f>
        <v>5.2452925172886466E-2</v>
      </c>
      <c r="AF118" s="137">
        <f>AF116/(ProForma_IS_Annual!AF52)-1</f>
        <v>6.3277836967858381E-2</v>
      </c>
    </row>
    <row r="119" spans="1:32">
      <c r="A119" s="1" t="str">
        <f>Balance_Sheet_Qtr!A119</f>
        <v>Assumed Share Price</v>
      </c>
      <c r="B119" s="78"/>
      <c r="C119" s="78"/>
      <c r="D119" s="78"/>
      <c r="E119" s="78"/>
      <c r="F119" s="78"/>
      <c r="G119" s="78"/>
      <c r="H119" s="78"/>
      <c r="I119" s="78"/>
      <c r="J119" s="78"/>
      <c r="K119" s="78"/>
      <c r="L119" s="78"/>
      <c r="M119" s="78"/>
      <c r="N119" s="78"/>
      <c r="O119" s="78"/>
      <c r="P119" s="78"/>
      <c r="Q119" s="131">
        <f>Balance_Sheet_Qtr!F119</f>
        <v>0</v>
      </c>
      <c r="R119" s="131">
        <f>Balance_Sheet_Qtr!K119</f>
        <v>0</v>
      </c>
      <c r="S119" s="131">
        <f>Balance_Sheet_Qtr!P119</f>
        <v>0</v>
      </c>
      <c r="T119" s="131">
        <f>Balance_Sheet_Qtr!U119</f>
        <v>0</v>
      </c>
      <c r="U119" s="131">
        <f>Balance_Sheet_Qtr!Z119</f>
        <v>0</v>
      </c>
      <c r="V119" s="169"/>
      <c r="W119" s="169">
        <f>Balance_Sheet_Qtr!AJ119</f>
        <v>0</v>
      </c>
      <c r="X119" s="169">
        <f>Balance_Sheet_Qtr!AO119</f>
        <v>0</v>
      </c>
      <c r="Y119" s="169">
        <f>Balance_Sheet_Qtr!AT119</f>
        <v>0</v>
      </c>
      <c r="Z119" s="169">
        <f>Balance_Sheet_Qtr!AY119</f>
        <v>0</v>
      </c>
      <c r="AA119" s="169">
        <f>Balance_Sheet_Qtr!BD119</f>
        <v>0</v>
      </c>
      <c r="AB119" s="169">
        <f>Balance_Sheet_Qtr!BI119</f>
        <v>195.90747497500001</v>
      </c>
      <c r="AC119" s="169">
        <f>ProForma_IS_Annual!AC74</f>
        <v>205.70284872375004</v>
      </c>
      <c r="AD119" s="169">
        <f>ProForma_IS_Annual!AD74</f>
        <v>215.98799115993754</v>
      </c>
      <c r="AE119" s="169">
        <f>ProForma_IS_Annual!AE74</f>
        <v>226.78739071793441</v>
      </c>
      <c r="AF119" s="169">
        <f>ProForma_IS_Annual!AF74</f>
        <v>238.12676025383115</v>
      </c>
    </row>
    <row r="120" spans="1:32">
      <c r="A120" s="1" t="str">
        <f>Balance_Sheet_Qtr!A120</f>
        <v>Incremental Shares Repurchased (mn)</v>
      </c>
      <c r="B120" s="22"/>
      <c r="C120" s="22"/>
      <c r="D120" s="22"/>
      <c r="E120" s="22"/>
      <c r="F120" s="22"/>
      <c r="G120" s="22"/>
      <c r="H120" s="22"/>
      <c r="I120" s="22"/>
      <c r="J120" s="22"/>
      <c r="K120" s="22"/>
      <c r="L120" s="22"/>
      <c r="M120" s="22"/>
      <c r="N120" s="22"/>
      <c r="O120" s="22"/>
      <c r="P120" s="22"/>
      <c r="Q120" s="127">
        <f>Balance_Sheet_Qtr!F120</f>
        <v>0</v>
      </c>
      <c r="R120" s="127">
        <f>Balance_Sheet_Qtr!K120</f>
        <v>0</v>
      </c>
      <c r="S120" s="127">
        <f>Balance_Sheet_Qtr!P120</f>
        <v>0</v>
      </c>
      <c r="T120" s="127">
        <f>Balance_Sheet_Qtr!U120</f>
        <v>0</v>
      </c>
      <c r="U120" s="127">
        <f>Balance_Sheet_Qtr!Z120</f>
        <v>0</v>
      </c>
      <c r="V120" s="38"/>
      <c r="W120" s="38">
        <f>Balance_Sheet_Qtr!AJ120</f>
        <v>0</v>
      </c>
      <c r="X120" s="38">
        <f>Balance_Sheet_Qtr!AO120</f>
        <v>0</v>
      </c>
      <c r="Y120" s="38">
        <f>Balance_Sheet_Qtr!AT120</f>
        <v>0</v>
      </c>
      <c r="Z120" s="38">
        <f>Balance_Sheet_Qtr!AY120</f>
        <v>0</v>
      </c>
      <c r="AA120" s="38">
        <f>Balance_Sheet_Qtr!BD120</f>
        <v>0</v>
      </c>
      <c r="AB120" s="38">
        <f>Balance_Sheet_Qtr!BI120</f>
        <v>122.50889254136294</v>
      </c>
      <c r="AC120" s="22">
        <f>AC108/AC119</f>
        <v>146.11246140746309</v>
      </c>
      <c r="AD120" s="22">
        <f>AD108/AD119</f>
        <v>167.48925450982603</v>
      </c>
      <c r="AE120" s="22">
        <f>AE108/AE119</f>
        <v>186.21683703088377</v>
      </c>
      <c r="AF120" s="22">
        <f>AF108/AF119</f>
        <v>204.79604410220762</v>
      </c>
    </row>
    <row r="121" spans="1:32">
      <c r="B121" s="21"/>
      <c r="C121" s="21"/>
      <c r="D121" s="21"/>
      <c r="E121" s="21"/>
      <c r="F121" s="21"/>
      <c r="G121" s="21"/>
      <c r="H121" s="21"/>
      <c r="I121" s="21"/>
      <c r="J121" s="21"/>
      <c r="K121" s="21"/>
      <c r="L121" s="21"/>
      <c r="M121" s="21"/>
      <c r="N121" s="21"/>
      <c r="O121" s="21"/>
      <c r="P121" s="21"/>
      <c r="Q121" s="21"/>
      <c r="R121" s="21"/>
      <c r="S121" s="21"/>
      <c r="T121" s="21"/>
      <c r="U121" s="21"/>
    </row>
    <row r="122" spans="1:32">
      <c r="B122" s="21"/>
      <c r="C122" s="21"/>
      <c r="D122" s="21"/>
      <c r="E122" s="21"/>
      <c r="F122" s="21"/>
      <c r="G122" s="21"/>
      <c r="H122" s="21"/>
      <c r="I122" s="21"/>
      <c r="J122" s="21"/>
      <c r="K122" s="21"/>
      <c r="L122" s="21"/>
      <c r="M122" s="21"/>
      <c r="N122" s="21"/>
      <c r="O122" s="21"/>
      <c r="P122" s="21"/>
      <c r="Q122" s="21"/>
      <c r="R122" s="21"/>
      <c r="S122" s="21"/>
      <c r="T122" s="21"/>
      <c r="U122" s="21"/>
    </row>
    <row r="123" spans="1:32">
      <c r="B123" s="21"/>
      <c r="C123" s="21"/>
      <c r="D123" s="21"/>
      <c r="E123" s="21"/>
      <c r="F123" s="21"/>
      <c r="G123" s="21"/>
      <c r="H123" s="21"/>
      <c r="I123" s="21"/>
      <c r="J123" s="21"/>
      <c r="K123" s="21"/>
      <c r="L123" s="21"/>
      <c r="M123" s="21"/>
      <c r="N123" s="21"/>
      <c r="O123" s="21"/>
      <c r="P123" s="21"/>
      <c r="Q123" s="21"/>
      <c r="R123" s="21"/>
      <c r="S123" s="21"/>
      <c r="T123" s="21"/>
      <c r="U123" s="21"/>
    </row>
    <row r="124" spans="1:32">
      <c r="B124" s="21"/>
      <c r="C124" s="21"/>
      <c r="D124" s="21"/>
      <c r="E124" s="21"/>
      <c r="F124" s="21"/>
      <c r="G124" s="21"/>
      <c r="H124" s="21"/>
      <c r="I124" s="21"/>
      <c r="J124" s="21"/>
      <c r="K124" s="21"/>
      <c r="L124" s="21"/>
      <c r="M124" s="21"/>
      <c r="N124" s="21"/>
      <c r="O124" s="21"/>
      <c r="P124" s="21"/>
      <c r="Q124" s="21"/>
      <c r="R124" s="21"/>
      <c r="S124" s="21"/>
      <c r="T124" s="21"/>
      <c r="U124" s="21"/>
    </row>
    <row r="127" spans="1:32">
      <c r="B127" s="21"/>
      <c r="C127" s="21"/>
      <c r="D127" s="21"/>
      <c r="E127" s="21"/>
      <c r="F127" s="21"/>
      <c r="G127" s="21"/>
      <c r="H127" s="21"/>
      <c r="I127" s="21"/>
      <c r="J127" s="21"/>
      <c r="K127" s="21"/>
      <c r="L127" s="21"/>
      <c r="M127" s="21"/>
      <c r="N127" s="21"/>
      <c r="O127" s="21"/>
      <c r="P127" s="21"/>
      <c r="Q127" s="21"/>
      <c r="R127" s="21"/>
      <c r="S127" s="21"/>
      <c r="T127" s="21"/>
      <c r="U127" s="21"/>
    </row>
    <row r="128" spans="1:32">
      <c r="B128" s="21"/>
      <c r="C128" s="21"/>
      <c r="D128" s="21"/>
      <c r="E128" s="21"/>
      <c r="F128" s="21"/>
      <c r="G128" s="21"/>
      <c r="H128" s="21"/>
      <c r="I128" s="21"/>
      <c r="J128" s="21"/>
      <c r="K128" s="21"/>
      <c r="L128" s="21"/>
      <c r="M128" s="21"/>
      <c r="N128" s="21"/>
      <c r="O128" s="21"/>
      <c r="P128" s="21"/>
      <c r="Q128" s="21"/>
      <c r="R128" s="21"/>
      <c r="S128" s="21"/>
      <c r="T128" s="21"/>
      <c r="U128" s="21"/>
    </row>
    <row r="129" spans="2:21">
      <c r="B129" s="21"/>
      <c r="C129" s="21"/>
      <c r="D129" s="21"/>
      <c r="E129" s="21"/>
      <c r="F129" s="21"/>
      <c r="G129" s="21"/>
      <c r="H129" s="21"/>
      <c r="I129" s="21"/>
      <c r="J129" s="21"/>
      <c r="K129" s="21"/>
      <c r="L129" s="21"/>
      <c r="M129" s="21"/>
      <c r="N129" s="21"/>
      <c r="O129" s="21"/>
      <c r="P129" s="21"/>
      <c r="Q129" s="21"/>
      <c r="R129" s="21"/>
      <c r="S129" s="21"/>
      <c r="T129" s="21"/>
      <c r="U129" s="21"/>
    </row>
    <row r="130" spans="2:21">
      <c r="B130" s="21"/>
      <c r="C130" s="21"/>
      <c r="D130" s="21"/>
      <c r="E130" s="21"/>
      <c r="F130" s="21"/>
      <c r="G130" s="21"/>
      <c r="H130" s="21"/>
      <c r="I130" s="21"/>
      <c r="J130" s="21"/>
      <c r="K130" s="21"/>
      <c r="L130" s="21"/>
      <c r="M130" s="21"/>
      <c r="N130" s="21"/>
      <c r="O130" s="21"/>
      <c r="P130" s="21"/>
      <c r="Q130" s="21"/>
      <c r="R130" s="21"/>
      <c r="S130" s="21"/>
      <c r="T130" s="21"/>
      <c r="U130" s="21"/>
    </row>
    <row r="131" spans="2:21">
      <c r="B131" s="21"/>
      <c r="C131" s="21"/>
      <c r="D131" s="21"/>
      <c r="E131" s="21"/>
      <c r="F131" s="21"/>
      <c r="G131" s="21"/>
      <c r="H131" s="21"/>
      <c r="I131" s="21"/>
      <c r="J131" s="21"/>
      <c r="K131" s="21"/>
      <c r="L131" s="21"/>
      <c r="M131" s="21"/>
      <c r="N131" s="21"/>
      <c r="O131" s="21"/>
      <c r="P131" s="21"/>
      <c r="Q131" s="21"/>
      <c r="R131" s="21"/>
      <c r="S131" s="21"/>
      <c r="T131" s="21"/>
      <c r="U131" s="21"/>
    </row>
    <row r="132" spans="2:21">
      <c r="B132" s="21"/>
      <c r="C132" s="21"/>
      <c r="D132" s="21"/>
      <c r="E132" s="21"/>
      <c r="F132" s="21"/>
      <c r="G132" s="21"/>
      <c r="H132" s="21"/>
      <c r="I132" s="21"/>
      <c r="J132" s="21"/>
      <c r="K132" s="21"/>
      <c r="L132" s="21"/>
      <c r="M132" s="21"/>
      <c r="N132" s="21"/>
      <c r="O132" s="21"/>
      <c r="P132" s="21"/>
      <c r="Q132" s="21"/>
      <c r="R132" s="21"/>
      <c r="S132" s="21"/>
      <c r="T132" s="21"/>
      <c r="U132" s="21"/>
    </row>
    <row r="133" spans="2:21">
      <c r="B133" s="21"/>
      <c r="C133" s="21"/>
      <c r="D133" s="21"/>
      <c r="E133" s="21"/>
      <c r="F133" s="21"/>
      <c r="G133" s="21"/>
      <c r="H133" s="21"/>
      <c r="I133" s="21"/>
      <c r="J133" s="21"/>
      <c r="K133" s="21"/>
      <c r="L133" s="21"/>
      <c r="M133" s="21"/>
      <c r="N133" s="21"/>
      <c r="O133" s="21"/>
      <c r="P133" s="21"/>
      <c r="Q133" s="21"/>
      <c r="R133" s="21"/>
      <c r="S133" s="21"/>
      <c r="T133" s="21"/>
      <c r="U133" s="21"/>
    </row>
    <row r="134" spans="2:21">
      <c r="B134" s="21"/>
      <c r="C134" s="21"/>
      <c r="D134" s="21"/>
      <c r="E134" s="21"/>
      <c r="F134" s="21"/>
      <c r="G134" s="21"/>
      <c r="H134" s="21"/>
      <c r="I134" s="21"/>
      <c r="J134" s="21"/>
      <c r="K134" s="21"/>
      <c r="L134" s="21"/>
      <c r="M134" s="21"/>
      <c r="N134" s="21"/>
      <c r="O134" s="21"/>
      <c r="P134" s="21"/>
      <c r="Q134" s="21"/>
      <c r="R134" s="21"/>
      <c r="S134" s="21"/>
      <c r="T134" s="21"/>
      <c r="U134" s="21"/>
    </row>
    <row r="135" spans="2:21">
      <c r="B135" s="21"/>
      <c r="C135" s="21"/>
      <c r="D135" s="21"/>
      <c r="E135" s="21"/>
      <c r="F135" s="21"/>
      <c r="G135" s="21"/>
      <c r="H135" s="21"/>
      <c r="I135" s="21"/>
      <c r="J135" s="21"/>
      <c r="K135" s="21"/>
      <c r="L135" s="21"/>
      <c r="M135" s="21"/>
      <c r="N135" s="21"/>
      <c r="O135" s="21"/>
      <c r="P135" s="21"/>
      <c r="Q135" s="21"/>
      <c r="R135" s="21"/>
      <c r="S135" s="21"/>
      <c r="T135" s="21"/>
      <c r="U135" s="21"/>
    </row>
    <row r="136" spans="2:21">
      <c r="B136" s="21"/>
      <c r="C136" s="21"/>
      <c r="D136" s="21"/>
      <c r="E136" s="21"/>
      <c r="F136" s="21"/>
      <c r="G136" s="21"/>
      <c r="H136" s="21"/>
      <c r="I136" s="21"/>
      <c r="J136" s="21"/>
      <c r="K136" s="21"/>
      <c r="L136" s="21"/>
      <c r="M136" s="21"/>
      <c r="N136" s="21"/>
      <c r="O136" s="21"/>
      <c r="P136" s="21"/>
      <c r="Q136" s="21"/>
      <c r="R136" s="21"/>
      <c r="S136" s="21"/>
      <c r="T136" s="21"/>
      <c r="U136" s="21"/>
    </row>
    <row r="137" spans="2:21">
      <c r="B137" s="21"/>
      <c r="C137" s="21"/>
      <c r="D137" s="21"/>
      <c r="E137" s="21"/>
      <c r="F137" s="21"/>
      <c r="G137" s="21"/>
      <c r="H137" s="21"/>
      <c r="I137" s="21"/>
      <c r="J137" s="21"/>
      <c r="K137" s="21"/>
      <c r="L137" s="21"/>
      <c r="M137" s="21"/>
      <c r="N137" s="21"/>
      <c r="O137" s="21"/>
      <c r="P137" s="21"/>
      <c r="Q137" s="21"/>
      <c r="R137" s="21"/>
      <c r="S137" s="21"/>
      <c r="T137" s="21"/>
      <c r="U137" s="21"/>
    </row>
    <row r="138" spans="2:21">
      <c r="B138" s="21"/>
      <c r="C138" s="21"/>
      <c r="D138" s="21"/>
      <c r="E138" s="21"/>
      <c r="F138" s="21"/>
      <c r="G138" s="21"/>
      <c r="H138" s="21"/>
      <c r="I138" s="21"/>
      <c r="J138" s="21"/>
      <c r="K138" s="21"/>
      <c r="L138" s="21"/>
      <c r="M138" s="21"/>
      <c r="N138" s="21"/>
      <c r="O138" s="21"/>
      <c r="P138" s="21"/>
      <c r="Q138" s="21"/>
      <c r="R138" s="21"/>
      <c r="S138" s="21"/>
      <c r="T138" s="21"/>
      <c r="U138" s="21"/>
    </row>
    <row r="139" spans="2:21">
      <c r="B139" s="21"/>
      <c r="C139" s="21"/>
      <c r="D139" s="21"/>
      <c r="E139" s="21"/>
      <c r="F139" s="21"/>
      <c r="G139" s="21"/>
      <c r="H139" s="21"/>
      <c r="I139" s="21"/>
      <c r="J139" s="21"/>
      <c r="K139" s="21"/>
      <c r="L139" s="21"/>
      <c r="M139" s="21"/>
      <c r="N139" s="21"/>
      <c r="O139" s="21"/>
      <c r="P139" s="21"/>
      <c r="Q139" s="21"/>
      <c r="R139" s="21"/>
      <c r="S139" s="21"/>
      <c r="T139" s="21"/>
      <c r="U139" s="21"/>
    </row>
    <row r="140" spans="2:21">
      <c r="B140" s="21"/>
      <c r="C140" s="21"/>
      <c r="D140" s="21"/>
      <c r="E140" s="21"/>
      <c r="F140" s="21"/>
      <c r="G140" s="21"/>
      <c r="H140" s="21"/>
      <c r="I140" s="21"/>
      <c r="J140" s="21"/>
      <c r="K140" s="21"/>
      <c r="L140" s="21"/>
      <c r="M140" s="21"/>
      <c r="N140" s="21"/>
      <c r="O140" s="21"/>
      <c r="P140" s="21"/>
      <c r="Q140" s="21"/>
      <c r="R140" s="21"/>
      <c r="S140" s="21"/>
      <c r="T140" s="21"/>
      <c r="U140" s="21"/>
    </row>
    <row r="141" spans="2:21">
      <c r="B141"/>
      <c r="C141"/>
      <c r="D141"/>
      <c r="E141"/>
      <c r="F141"/>
      <c r="G141"/>
      <c r="H141"/>
      <c r="I141"/>
      <c r="J141"/>
      <c r="K141"/>
      <c r="L141"/>
      <c r="M141"/>
      <c r="N141"/>
      <c r="O141"/>
      <c r="P141"/>
      <c r="Q141"/>
      <c r="R141"/>
      <c r="S141"/>
      <c r="T141"/>
      <c r="U141"/>
    </row>
    <row r="142" spans="2:21">
      <c r="B142" s="21"/>
      <c r="C142" s="21"/>
      <c r="D142" s="21"/>
      <c r="E142" s="21"/>
      <c r="F142" s="21"/>
      <c r="G142" s="21"/>
      <c r="H142" s="21"/>
      <c r="I142" s="21"/>
      <c r="J142" s="21"/>
      <c r="K142" s="21"/>
      <c r="L142" s="21"/>
      <c r="M142" s="21"/>
      <c r="N142" s="21"/>
      <c r="O142" s="21"/>
      <c r="P142" s="21"/>
      <c r="Q142" s="21"/>
      <c r="R142" s="21"/>
      <c r="S142" s="21"/>
      <c r="T142" s="21"/>
      <c r="U142" s="21"/>
    </row>
    <row r="143" spans="2:21">
      <c r="B143" s="21"/>
      <c r="C143" s="21"/>
      <c r="D143" s="21"/>
      <c r="E143" s="21"/>
      <c r="F143" s="21"/>
      <c r="G143" s="21"/>
      <c r="H143" s="21"/>
      <c r="I143" s="21"/>
      <c r="J143" s="21"/>
      <c r="K143" s="21"/>
      <c r="L143" s="21"/>
      <c r="M143" s="21"/>
      <c r="N143" s="21"/>
      <c r="O143" s="21"/>
      <c r="P143" s="21"/>
      <c r="Q143" s="21"/>
      <c r="R143" s="21"/>
      <c r="S143" s="21"/>
      <c r="T143" s="21"/>
      <c r="U143" s="21"/>
    </row>
    <row r="144" spans="2:21">
      <c r="B144" s="21"/>
      <c r="C144" s="21"/>
      <c r="D144" s="21"/>
      <c r="E144" s="21"/>
      <c r="F144" s="21"/>
      <c r="G144" s="21"/>
      <c r="H144" s="21"/>
      <c r="I144" s="21"/>
      <c r="J144" s="21"/>
      <c r="K144" s="21"/>
      <c r="L144" s="21"/>
      <c r="M144" s="21"/>
      <c r="N144" s="21"/>
      <c r="O144" s="21"/>
      <c r="P144" s="21"/>
      <c r="Q144" s="21"/>
      <c r="R144" s="21"/>
      <c r="S144" s="21"/>
      <c r="T144" s="21"/>
      <c r="U144" s="21"/>
    </row>
    <row r="145" spans="2:21">
      <c r="B145" s="21"/>
      <c r="C145" s="21"/>
      <c r="D145" s="21"/>
      <c r="E145" s="21"/>
      <c r="F145" s="21"/>
      <c r="G145" s="21"/>
      <c r="H145" s="21"/>
      <c r="I145" s="21"/>
      <c r="J145" s="21"/>
      <c r="K145" s="21"/>
      <c r="L145" s="21"/>
      <c r="M145" s="21"/>
      <c r="N145" s="21"/>
      <c r="O145" s="21"/>
      <c r="P145" s="21"/>
      <c r="Q145" s="21"/>
      <c r="R145" s="21"/>
      <c r="S145" s="21"/>
      <c r="T145" s="21"/>
      <c r="U145" s="21"/>
    </row>
    <row r="146" spans="2:21">
      <c r="B146" s="21"/>
      <c r="C146" s="21"/>
      <c r="D146" s="21"/>
      <c r="E146" s="21"/>
      <c r="F146" s="21"/>
      <c r="G146" s="21"/>
      <c r="H146" s="21"/>
      <c r="I146" s="21"/>
      <c r="J146" s="21"/>
      <c r="K146" s="21"/>
      <c r="L146" s="21"/>
      <c r="M146" s="21"/>
      <c r="N146" s="21"/>
      <c r="O146" s="21"/>
      <c r="P146" s="21"/>
      <c r="Q146" s="21"/>
      <c r="R146" s="21"/>
      <c r="S146" s="21"/>
      <c r="T146" s="21"/>
      <c r="U146" s="21"/>
    </row>
    <row r="147" spans="2:21">
      <c r="B147" s="21"/>
      <c r="C147" s="21"/>
      <c r="D147" s="21"/>
      <c r="E147" s="21"/>
      <c r="F147" s="21"/>
      <c r="G147" s="21"/>
      <c r="H147" s="21"/>
      <c r="I147" s="21"/>
      <c r="J147" s="21"/>
      <c r="K147" s="21"/>
      <c r="L147" s="21"/>
      <c r="M147" s="21"/>
      <c r="N147" s="21"/>
      <c r="O147" s="21"/>
      <c r="P147" s="21"/>
      <c r="Q147" s="21"/>
      <c r="R147" s="21"/>
      <c r="S147" s="21"/>
      <c r="T147" s="21"/>
      <c r="U147" s="21"/>
    </row>
    <row r="148" spans="2:21">
      <c r="B148" s="21"/>
      <c r="C148" s="21"/>
      <c r="D148" s="21"/>
      <c r="E148" s="21"/>
      <c r="F148" s="21"/>
      <c r="G148" s="21"/>
      <c r="H148" s="21"/>
      <c r="I148" s="21"/>
      <c r="J148" s="21"/>
      <c r="K148" s="21"/>
      <c r="L148" s="21"/>
      <c r="M148" s="21"/>
      <c r="N148" s="21"/>
      <c r="O148" s="21"/>
      <c r="P148" s="21"/>
      <c r="Q148" s="21"/>
      <c r="R148" s="21"/>
      <c r="S148" s="21"/>
      <c r="T148" s="21"/>
      <c r="U148" s="21"/>
    </row>
    <row r="149" spans="2:21">
      <c r="B149" s="21"/>
      <c r="C149" s="21"/>
      <c r="D149" s="21"/>
      <c r="E149" s="21"/>
      <c r="F149" s="21"/>
      <c r="G149" s="21"/>
      <c r="H149" s="21"/>
      <c r="I149" s="21"/>
      <c r="J149" s="21"/>
      <c r="K149" s="21"/>
      <c r="L149" s="21"/>
      <c r="M149" s="21"/>
      <c r="N149" s="21"/>
      <c r="O149" s="21"/>
      <c r="P149" s="21"/>
      <c r="Q149" s="21"/>
      <c r="R149" s="21"/>
      <c r="S149" s="21"/>
      <c r="T149" s="21"/>
      <c r="U149" s="21"/>
    </row>
    <row r="150" spans="2:21">
      <c r="B150" s="21"/>
      <c r="C150" s="21"/>
      <c r="D150" s="21"/>
      <c r="E150" s="21"/>
      <c r="F150" s="21"/>
      <c r="G150" s="21"/>
      <c r="H150" s="21"/>
      <c r="I150" s="21"/>
      <c r="J150" s="21"/>
      <c r="K150" s="21"/>
      <c r="L150" s="21"/>
      <c r="M150" s="21"/>
      <c r="N150" s="21"/>
      <c r="O150" s="21"/>
      <c r="P150" s="21"/>
      <c r="Q150" s="21"/>
      <c r="R150" s="21"/>
      <c r="S150" s="21"/>
      <c r="T150" s="21"/>
      <c r="U150" s="21"/>
    </row>
    <row r="151" spans="2:21">
      <c r="B151" s="21"/>
      <c r="C151" s="21"/>
      <c r="D151" s="21"/>
      <c r="E151" s="21"/>
      <c r="F151" s="21"/>
      <c r="G151" s="21"/>
      <c r="H151" s="21"/>
      <c r="I151" s="21"/>
      <c r="J151" s="21"/>
      <c r="K151" s="21"/>
      <c r="L151" s="21"/>
      <c r="M151" s="21"/>
      <c r="N151" s="21"/>
      <c r="O151" s="21"/>
      <c r="P151" s="21"/>
      <c r="Q151" s="21"/>
      <c r="R151" s="21"/>
      <c r="S151" s="21"/>
      <c r="T151" s="21"/>
      <c r="U151" s="21"/>
    </row>
    <row r="152" spans="2:21">
      <c r="B152" s="21"/>
      <c r="C152" s="21"/>
      <c r="D152" s="21"/>
      <c r="E152" s="21"/>
      <c r="F152" s="21"/>
      <c r="G152" s="21"/>
      <c r="H152" s="21"/>
      <c r="I152" s="21"/>
      <c r="J152" s="21"/>
      <c r="K152" s="21"/>
      <c r="L152" s="21"/>
      <c r="M152" s="21"/>
      <c r="N152" s="21"/>
      <c r="O152" s="21"/>
      <c r="P152" s="21"/>
      <c r="Q152" s="21"/>
      <c r="R152" s="21"/>
      <c r="S152" s="21"/>
      <c r="T152" s="21"/>
      <c r="U152" s="21"/>
    </row>
    <row r="153" spans="2:21">
      <c r="B153" s="21"/>
      <c r="C153" s="21"/>
      <c r="D153" s="21"/>
      <c r="E153" s="21"/>
      <c r="F153" s="21"/>
      <c r="G153" s="21"/>
      <c r="H153" s="21"/>
      <c r="I153" s="21"/>
      <c r="J153" s="21"/>
      <c r="K153" s="21"/>
      <c r="L153" s="21"/>
      <c r="M153" s="21"/>
      <c r="N153" s="21"/>
      <c r="O153" s="21"/>
      <c r="P153" s="21"/>
      <c r="Q153" s="21"/>
      <c r="R153" s="21"/>
      <c r="S153" s="21"/>
      <c r="T153" s="21"/>
      <c r="U153" s="21"/>
    </row>
    <row r="154" spans="2:21">
      <c r="B154" s="21"/>
      <c r="C154" s="21"/>
      <c r="D154" s="21"/>
      <c r="E154" s="21"/>
      <c r="F154" s="21"/>
      <c r="G154" s="21"/>
      <c r="H154" s="21"/>
      <c r="I154" s="21"/>
      <c r="J154" s="21"/>
      <c r="K154" s="21"/>
      <c r="L154" s="21"/>
      <c r="M154" s="21"/>
      <c r="N154" s="21"/>
      <c r="O154" s="21"/>
      <c r="P154" s="21"/>
      <c r="Q154" s="21"/>
      <c r="R154" s="21"/>
      <c r="S154" s="21"/>
      <c r="T154" s="21"/>
      <c r="U154" s="21"/>
    </row>
    <row r="155" spans="2:21">
      <c r="B155" s="21"/>
      <c r="C155" s="21"/>
      <c r="D155" s="21"/>
      <c r="E155" s="21"/>
      <c r="F155" s="21"/>
      <c r="G155" s="21"/>
      <c r="H155" s="21"/>
      <c r="I155" s="21"/>
      <c r="J155" s="21"/>
      <c r="K155" s="21"/>
      <c r="L155" s="21"/>
      <c r="M155" s="21"/>
      <c r="N155" s="21"/>
      <c r="O155" s="21"/>
      <c r="P155" s="21"/>
      <c r="Q155" s="21"/>
      <c r="R155" s="21"/>
      <c r="S155" s="21"/>
      <c r="T155" s="21"/>
      <c r="U155" s="21"/>
    </row>
    <row r="156" spans="2:21">
      <c r="B156" s="21"/>
      <c r="C156" s="21"/>
      <c r="D156" s="21"/>
      <c r="E156" s="21"/>
      <c r="F156" s="21"/>
      <c r="G156" s="21"/>
      <c r="H156" s="21"/>
      <c r="I156" s="21"/>
      <c r="J156" s="21"/>
      <c r="K156" s="21"/>
      <c r="L156" s="21"/>
      <c r="M156" s="21"/>
      <c r="N156" s="21"/>
      <c r="O156" s="21"/>
      <c r="P156" s="21"/>
      <c r="Q156" s="21"/>
      <c r="R156" s="21"/>
      <c r="S156" s="21"/>
      <c r="T156" s="21"/>
      <c r="U156" s="21"/>
    </row>
    <row r="157" spans="2:21">
      <c r="B157" s="21"/>
      <c r="C157" s="21"/>
      <c r="D157" s="21"/>
      <c r="E157" s="21"/>
      <c r="F157" s="21"/>
      <c r="G157" s="21"/>
      <c r="H157" s="21"/>
      <c r="I157" s="21"/>
      <c r="J157" s="21"/>
      <c r="K157" s="21"/>
      <c r="L157" s="21"/>
      <c r="M157" s="21"/>
      <c r="N157" s="21"/>
      <c r="O157" s="21"/>
      <c r="P157" s="21"/>
      <c r="Q157" s="21"/>
      <c r="R157" s="21"/>
      <c r="S157" s="21"/>
      <c r="T157" s="21"/>
      <c r="U157" s="21"/>
    </row>
    <row r="158" spans="2:21">
      <c r="B158" s="21"/>
      <c r="C158" s="21"/>
      <c r="D158" s="21"/>
      <c r="E158" s="21"/>
      <c r="F158" s="21"/>
      <c r="G158" s="21"/>
      <c r="H158" s="21"/>
      <c r="I158" s="21"/>
      <c r="J158" s="21"/>
      <c r="K158" s="21"/>
      <c r="L158" s="21"/>
      <c r="M158" s="21"/>
      <c r="N158" s="21"/>
      <c r="O158" s="21"/>
      <c r="P158" s="21"/>
      <c r="Q158" s="21"/>
      <c r="R158" s="21"/>
      <c r="S158" s="21"/>
      <c r="T158" s="21"/>
      <c r="U158" s="21"/>
    </row>
    <row r="159" spans="2:21">
      <c r="B159" s="21"/>
      <c r="C159" s="21"/>
      <c r="D159" s="21"/>
      <c r="E159" s="21"/>
      <c r="F159" s="21"/>
      <c r="G159" s="21"/>
      <c r="H159" s="21"/>
      <c r="I159" s="21"/>
      <c r="J159" s="21"/>
      <c r="K159" s="21"/>
      <c r="L159" s="21"/>
      <c r="M159" s="21"/>
      <c r="N159" s="21"/>
      <c r="O159" s="21"/>
      <c r="P159" s="21"/>
      <c r="Q159" s="21"/>
      <c r="R159" s="21"/>
      <c r="S159" s="21"/>
      <c r="T159" s="21"/>
      <c r="U159" s="21"/>
    </row>
    <row r="160" spans="2:21">
      <c r="B160" s="21"/>
      <c r="C160" s="21"/>
      <c r="D160" s="21"/>
      <c r="E160" s="21"/>
      <c r="F160" s="21"/>
      <c r="G160" s="21"/>
      <c r="H160" s="21"/>
      <c r="I160" s="21"/>
      <c r="J160" s="21"/>
      <c r="K160" s="21"/>
      <c r="L160" s="21"/>
      <c r="M160" s="21"/>
      <c r="N160" s="21"/>
      <c r="O160" s="21"/>
      <c r="P160" s="21"/>
      <c r="Q160" s="21"/>
      <c r="R160" s="21"/>
      <c r="S160" s="21"/>
      <c r="T160" s="21"/>
      <c r="U160" s="21"/>
    </row>
    <row r="161" spans="2:21">
      <c r="B161" s="21"/>
      <c r="C161" s="21"/>
      <c r="D161" s="21"/>
      <c r="E161" s="21"/>
      <c r="F161" s="21"/>
      <c r="G161" s="21"/>
      <c r="H161" s="21"/>
      <c r="I161" s="21"/>
      <c r="J161" s="21"/>
      <c r="K161" s="21"/>
      <c r="L161" s="21"/>
      <c r="M161" s="21"/>
      <c r="N161" s="21"/>
      <c r="O161" s="21"/>
      <c r="P161" s="21"/>
      <c r="Q161" s="21"/>
      <c r="R161" s="21"/>
      <c r="S161" s="21"/>
      <c r="T161" s="21"/>
      <c r="U161" s="21"/>
    </row>
    <row r="162" spans="2:21">
      <c r="B162" s="21"/>
      <c r="C162" s="21"/>
      <c r="D162" s="21"/>
      <c r="E162" s="21"/>
      <c r="F162" s="21"/>
      <c r="G162" s="21"/>
      <c r="H162" s="21"/>
      <c r="I162" s="21"/>
      <c r="J162" s="21"/>
      <c r="K162" s="21"/>
      <c r="L162" s="21"/>
      <c r="M162" s="21"/>
      <c r="N162" s="21"/>
      <c r="O162" s="21"/>
      <c r="P162" s="21"/>
      <c r="Q162" s="21"/>
      <c r="R162" s="21"/>
      <c r="S162" s="21"/>
      <c r="T162" s="21"/>
      <c r="U162" s="21"/>
    </row>
    <row r="163" spans="2:21">
      <c r="B163" s="21"/>
      <c r="C163" s="21"/>
      <c r="D163" s="21"/>
      <c r="E163" s="21"/>
      <c r="F163" s="21"/>
      <c r="G163" s="21"/>
      <c r="H163" s="21"/>
      <c r="I163" s="21"/>
      <c r="J163" s="21"/>
      <c r="K163" s="21"/>
      <c r="L163" s="21"/>
      <c r="M163" s="21"/>
      <c r="N163" s="21"/>
      <c r="O163" s="21"/>
      <c r="P163" s="21"/>
      <c r="Q163" s="21"/>
      <c r="R163" s="21"/>
      <c r="S163" s="21"/>
      <c r="T163" s="21"/>
      <c r="U163" s="21"/>
    </row>
    <row r="164" spans="2:21">
      <c r="B164" s="21"/>
      <c r="C164" s="21"/>
      <c r="D164" s="21"/>
      <c r="E164" s="21"/>
      <c r="F164" s="21"/>
      <c r="G164" s="21"/>
      <c r="H164" s="21"/>
      <c r="I164" s="21"/>
      <c r="J164" s="21"/>
      <c r="K164" s="21"/>
      <c r="L164" s="21"/>
      <c r="M164" s="21"/>
      <c r="N164" s="21"/>
      <c r="O164" s="21"/>
      <c r="P164" s="21"/>
      <c r="Q164" s="21"/>
      <c r="R164" s="21"/>
      <c r="S164" s="21"/>
      <c r="T164" s="21"/>
      <c r="U164" s="21"/>
    </row>
    <row r="165" spans="2:21">
      <c r="B165" s="21"/>
      <c r="C165" s="21"/>
      <c r="D165" s="21"/>
      <c r="E165" s="21"/>
      <c r="F165" s="21"/>
      <c r="G165" s="21"/>
      <c r="H165" s="21"/>
      <c r="I165" s="21"/>
      <c r="J165" s="21"/>
      <c r="K165" s="21"/>
      <c r="L165" s="21"/>
      <c r="M165" s="21"/>
      <c r="N165" s="21"/>
      <c r="O165" s="21"/>
      <c r="P165" s="21"/>
      <c r="Q165" s="21"/>
      <c r="R165" s="21"/>
      <c r="S165" s="21"/>
      <c r="T165" s="21"/>
      <c r="U165" s="21"/>
    </row>
    <row r="166" spans="2:21">
      <c r="B166" s="21"/>
      <c r="C166" s="21"/>
      <c r="D166" s="21"/>
      <c r="E166" s="21"/>
      <c r="F166" s="21"/>
      <c r="G166" s="21"/>
      <c r="H166" s="21"/>
      <c r="I166" s="21"/>
      <c r="J166" s="21"/>
      <c r="K166" s="21"/>
      <c r="L166" s="21"/>
      <c r="M166" s="21"/>
      <c r="N166" s="21"/>
      <c r="O166" s="21"/>
      <c r="P166" s="21"/>
      <c r="Q166" s="21"/>
      <c r="R166" s="21"/>
      <c r="S166" s="21"/>
      <c r="T166" s="21"/>
      <c r="U166" s="21"/>
    </row>
    <row r="167" spans="2:21">
      <c r="B167" s="21"/>
      <c r="C167" s="21"/>
      <c r="D167" s="21"/>
      <c r="E167" s="21"/>
      <c r="F167" s="21"/>
      <c r="G167" s="21"/>
      <c r="H167" s="21"/>
      <c r="I167" s="21"/>
      <c r="J167" s="21"/>
      <c r="K167" s="21"/>
      <c r="L167" s="21"/>
      <c r="M167" s="21"/>
      <c r="N167" s="21"/>
      <c r="O167" s="21"/>
      <c r="P167" s="21"/>
      <c r="Q167" s="21"/>
      <c r="R167" s="21"/>
      <c r="S167" s="21"/>
      <c r="T167" s="21"/>
      <c r="U167" s="21"/>
    </row>
    <row r="168" spans="2:21">
      <c r="B168" s="21"/>
      <c r="C168" s="21"/>
      <c r="D168" s="21"/>
      <c r="E168" s="21"/>
      <c r="F168" s="21"/>
      <c r="G168" s="21"/>
      <c r="H168" s="21"/>
      <c r="I168" s="21"/>
      <c r="J168" s="21"/>
      <c r="K168" s="21"/>
      <c r="L168" s="21"/>
      <c r="M168" s="21"/>
      <c r="N168" s="21"/>
      <c r="O168" s="21"/>
      <c r="P168" s="21"/>
      <c r="Q168" s="21"/>
      <c r="R168" s="21"/>
      <c r="S168" s="21"/>
      <c r="T168" s="21"/>
      <c r="U168" s="21"/>
    </row>
    <row r="169" spans="2:21">
      <c r="B169" s="21"/>
      <c r="C169" s="21"/>
      <c r="D169" s="21"/>
      <c r="E169" s="21"/>
      <c r="F169" s="21"/>
      <c r="G169" s="21"/>
      <c r="H169" s="21"/>
      <c r="I169" s="21"/>
      <c r="J169" s="21"/>
      <c r="K169" s="21"/>
      <c r="L169" s="21"/>
      <c r="M169" s="21"/>
      <c r="N169" s="21"/>
      <c r="O169" s="21"/>
      <c r="P169" s="21"/>
      <c r="Q169" s="21"/>
      <c r="R169" s="21"/>
      <c r="S169" s="21"/>
      <c r="T169" s="21"/>
      <c r="U169" s="21"/>
    </row>
    <row r="170" spans="2:21">
      <c r="B170" s="21"/>
      <c r="C170" s="21"/>
      <c r="D170" s="21"/>
      <c r="E170" s="21"/>
      <c r="F170" s="21"/>
      <c r="G170" s="21"/>
      <c r="H170" s="21"/>
      <c r="I170" s="21"/>
      <c r="J170" s="21"/>
      <c r="K170" s="21"/>
      <c r="L170" s="21"/>
      <c r="M170" s="21"/>
      <c r="N170" s="21"/>
      <c r="O170" s="21"/>
      <c r="P170" s="21"/>
      <c r="Q170" s="21"/>
      <c r="R170" s="21"/>
      <c r="S170" s="21"/>
      <c r="T170" s="21"/>
      <c r="U170" s="21"/>
    </row>
    <row r="171" spans="2:21">
      <c r="B171" s="21"/>
      <c r="C171" s="21"/>
      <c r="D171" s="21"/>
      <c r="E171" s="21"/>
      <c r="F171" s="21"/>
      <c r="G171" s="21"/>
      <c r="H171" s="21"/>
      <c r="I171" s="21"/>
      <c r="J171" s="21"/>
      <c r="K171" s="21"/>
      <c r="L171" s="21"/>
      <c r="M171" s="21"/>
      <c r="N171" s="21"/>
      <c r="O171" s="21"/>
      <c r="P171" s="21"/>
      <c r="Q171" s="21"/>
      <c r="R171" s="21"/>
      <c r="S171" s="21"/>
      <c r="T171" s="21"/>
      <c r="U171" s="21"/>
    </row>
    <row r="172" spans="2:21">
      <c r="B172" s="21"/>
      <c r="C172" s="21"/>
      <c r="D172" s="21"/>
      <c r="E172" s="21"/>
      <c r="F172" s="21"/>
      <c r="G172" s="21"/>
      <c r="H172" s="21"/>
      <c r="I172" s="21"/>
      <c r="J172" s="21"/>
      <c r="K172" s="21"/>
      <c r="L172" s="21"/>
      <c r="M172" s="21"/>
      <c r="N172" s="21"/>
      <c r="O172" s="21"/>
      <c r="P172" s="21"/>
      <c r="Q172" s="21"/>
      <c r="R172" s="21"/>
      <c r="S172" s="21"/>
      <c r="T172" s="21"/>
      <c r="U172" s="21"/>
    </row>
    <row r="173" spans="2:21">
      <c r="B173" s="21"/>
      <c r="C173" s="21"/>
      <c r="D173" s="21"/>
      <c r="E173" s="21"/>
      <c r="F173" s="21"/>
      <c r="G173" s="21"/>
      <c r="H173" s="21"/>
      <c r="I173" s="21"/>
      <c r="J173" s="21"/>
      <c r="K173" s="21"/>
      <c r="L173" s="21"/>
      <c r="M173" s="21"/>
      <c r="N173" s="21"/>
      <c r="O173" s="21"/>
      <c r="P173" s="21"/>
      <c r="Q173" s="21"/>
      <c r="R173" s="21"/>
      <c r="S173" s="21"/>
      <c r="T173" s="21"/>
      <c r="U173" s="21"/>
    </row>
    <row r="174" spans="2:21">
      <c r="B174" s="21"/>
      <c r="C174" s="21"/>
      <c r="D174" s="21"/>
      <c r="E174" s="21"/>
      <c r="F174" s="21"/>
      <c r="G174" s="21"/>
      <c r="H174" s="21"/>
      <c r="I174" s="21"/>
      <c r="J174" s="21"/>
      <c r="K174" s="21"/>
      <c r="L174" s="21"/>
      <c r="M174" s="21"/>
      <c r="N174" s="21"/>
      <c r="O174" s="21"/>
      <c r="P174" s="21"/>
      <c r="Q174" s="21"/>
      <c r="R174" s="21"/>
      <c r="S174" s="21"/>
      <c r="T174" s="21"/>
      <c r="U174" s="21"/>
    </row>
    <row r="175" spans="2:21">
      <c r="B175" s="21"/>
      <c r="C175" s="21"/>
      <c r="D175" s="21"/>
      <c r="E175" s="21"/>
      <c r="F175" s="21"/>
      <c r="G175" s="21"/>
      <c r="H175" s="21"/>
      <c r="I175" s="21"/>
      <c r="J175" s="21"/>
      <c r="K175" s="21"/>
      <c r="L175" s="21"/>
      <c r="M175" s="21"/>
      <c r="N175" s="21"/>
      <c r="O175" s="21"/>
      <c r="P175" s="21"/>
      <c r="Q175" s="21"/>
      <c r="R175" s="21"/>
      <c r="S175" s="21"/>
      <c r="T175" s="21"/>
      <c r="U175" s="21"/>
    </row>
    <row r="176" spans="2:21">
      <c r="B176" s="21"/>
      <c r="C176" s="21"/>
      <c r="D176" s="21"/>
      <c r="E176" s="21"/>
      <c r="F176" s="21"/>
      <c r="G176" s="21"/>
      <c r="H176" s="21"/>
      <c r="I176" s="21"/>
      <c r="J176" s="21"/>
      <c r="K176" s="21"/>
      <c r="L176" s="21"/>
      <c r="M176" s="21"/>
      <c r="N176" s="21"/>
      <c r="O176" s="21"/>
      <c r="P176" s="21"/>
      <c r="Q176" s="21"/>
      <c r="R176" s="21"/>
      <c r="S176" s="21"/>
      <c r="T176" s="21"/>
      <c r="U176" s="21"/>
    </row>
    <row r="177" spans="2:21">
      <c r="B177" s="21"/>
      <c r="C177" s="21"/>
      <c r="D177" s="21"/>
      <c r="E177" s="21"/>
      <c r="F177" s="21"/>
      <c r="G177" s="21"/>
      <c r="H177" s="21"/>
      <c r="I177" s="21"/>
      <c r="J177" s="21"/>
      <c r="K177" s="21"/>
      <c r="L177" s="21"/>
      <c r="M177" s="21"/>
      <c r="N177" s="21"/>
      <c r="O177" s="21"/>
      <c r="P177" s="21"/>
      <c r="Q177" s="21"/>
      <c r="R177" s="21"/>
      <c r="S177" s="21"/>
      <c r="T177" s="21"/>
      <c r="U177" s="21"/>
    </row>
    <row r="178" spans="2:21">
      <c r="B178" s="21"/>
      <c r="C178" s="21"/>
      <c r="D178" s="21"/>
      <c r="E178" s="21"/>
      <c r="F178" s="21"/>
      <c r="G178" s="21"/>
      <c r="H178" s="21"/>
      <c r="I178" s="21"/>
      <c r="J178" s="21"/>
      <c r="K178" s="21"/>
      <c r="L178" s="21"/>
      <c r="M178" s="21"/>
      <c r="N178" s="21"/>
      <c r="O178" s="21"/>
      <c r="P178" s="21"/>
      <c r="Q178" s="21"/>
      <c r="R178" s="21"/>
      <c r="S178" s="21"/>
      <c r="T178" s="21"/>
      <c r="U178" s="21"/>
    </row>
    <row r="179" spans="2:21">
      <c r="B179" s="21"/>
      <c r="C179" s="21"/>
      <c r="D179" s="21"/>
      <c r="E179" s="21"/>
      <c r="F179" s="21"/>
      <c r="G179" s="21"/>
      <c r="H179" s="21"/>
      <c r="I179" s="21"/>
      <c r="J179" s="21"/>
      <c r="K179" s="21"/>
      <c r="L179" s="21"/>
      <c r="M179" s="21"/>
      <c r="N179" s="21"/>
      <c r="O179" s="21"/>
      <c r="P179" s="21"/>
      <c r="Q179" s="21"/>
      <c r="R179" s="21"/>
      <c r="S179" s="21"/>
      <c r="T179" s="21"/>
      <c r="U179" s="21"/>
    </row>
    <row r="180" spans="2:21">
      <c r="B180" s="21"/>
      <c r="C180" s="21"/>
      <c r="D180" s="21"/>
      <c r="E180" s="21"/>
      <c r="F180" s="21"/>
      <c r="G180" s="21"/>
      <c r="H180" s="21"/>
      <c r="I180" s="21"/>
      <c r="J180" s="21"/>
      <c r="K180" s="21"/>
      <c r="L180" s="21"/>
      <c r="M180" s="21"/>
      <c r="N180" s="21"/>
      <c r="O180" s="21"/>
      <c r="P180" s="21"/>
      <c r="Q180" s="21"/>
      <c r="R180" s="21"/>
      <c r="S180" s="21"/>
      <c r="T180" s="21"/>
      <c r="U180" s="21"/>
    </row>
    <row r="181" spans="2:21">
      <c r="B181" s="21"/>
      <c r="C181" s="21"/>
      <c r="D181" s="21"/>
      <c r="E181" s="21"/>
      <c r="F181" s="21"/>
      <c r="G181" s="21"/>
      <c r="H181" s="21"/>
      <c r="I181" s="21"/>
      <c r="J181" s="21"/>
      <c r="K181" s="21"/>
      <c r="L181" s="21"/>
      <c r="M181" s="21"/>
      <c r="N181" s="21"/>
      <c r="O181" s="21"/>
      <c r="P181" s="21"/>
      <c r="Q181" s="21"/>
      <c r="R181" s="21"/>
      <c r="S181" s="21"/>
      <c r="T181" s="21"/>
      <c r="U181" s="21"/>
    </row>
    <row r="182" spans="2:21">
      <c r="B182" s="21"/>
      <c r="C182" s="21"/>
      <c r="D182" s="21"/>
      <c r="E182" s="21"/>
      <c r="F182" s="21"/>
      <c r="G182" s="21"/>
      <c r="H182" s="21"/>
      <c r="I182" s="21"/>
      <c r="J182" s="21"/>
      <c r="K182" s="21"/>
      <c r="L182" s="21"/>
      <c r="M182" s="21"/>
      <c r="N182" s="21"/>
      <c r="O182" s="21"/>
      <c r="P182" s="21"/>
      <c r="Q182" s="21"/>
      <c r="R182" s="21"/>
      <c r="S182" s="21"/>
      <c r="T182" s="21"/>
      <c r="U182" s="21"/>
    </row>
    <row r="183" spans="2:21">
      <c r="B183" s="21"/>
      <c r="C183" s="21"/>
      <c r="D183" s="21"/>
      <c r="E183" s="21"/>
      <c r="F183" s="21"/>
      <c r="G183" s="21"/>
      <c r="H183" s="21"/>
      <c r="I183" s="21"/>
      <c r="J183" s="21"/>
      <c r="K183" s="21"/>
      <c r="L183" s="21"/>
      <c r="M183" s="21"/>
      <c r="N183" s="21"/>
      <c r="O183" s="21"/>
      <c r="P183" s="21"/>
      <c r="Q183" s="21"/>
      <c r="R183" s="21"/>
      <c r="S183" s="21"/>
      <c r="T183" s="21"/>
      <c r="U183" s="21"/>
    </row>
    <row r="184" spans="2:21">
      <c r="B184" s="21"/>
      <c r="C184" s="21"/>
      <c r="D184" s="21"/>
      <c r="E184" s="21"/>
      <c r="F184" s="21"/>
      <c r="G184" s="21"/>
      <c r="H184" s="21"/>
      <c r="I184" s="21"/>
      <c r="J184" s="21"/>
      <c r="K184" s="21"/>
      <c r="L184" s="21"/>
      <c r="M184" s="21"/>
      <c r="N184" s="21"/>
      <c r="O184" s="21"/>
      <c r="P184" s="21"/>
      <c r="Q184" s="21"/>
      <c r="R184" s="21"/>
      <c r="S184" s="21"/>
      <c r="T184" s="21"/>
      <c r="U184" s="21"/>
    </row>
    <row r="185" spans="2:21">
      <c r="B185" s="21"/>
      <c r="C185" s="21"/>
      <c r="D185" s="21"/>
      <c r="E185" s="21"/>
      <c r="F185" s="21"/>
      <c r="G185" s="21"/>
      <c r="H185" s="21"/>
      <c r="I185" s="21"/>
      <c r="J185" s="21"/>
      <c r="K185" s="21"/>
      <c r="L185" s="21"/>
      <c r="M185" s="21"/>
      <c r="N185" s="21"/>
      <c r="O185" s="21"/>
      <c r="P185" s="21"/>
      <c r="Q185" s="21"/>
      <c r="R185" s="21"/>
      <c r="S185" s="21"/>
      <c r="T185" s="21"/>
      <c r="U185" s="21"/>
    </row>
    <row r="186" spans="2:21">
      <c r="B186" s="21"/>
      <c r="C186" s="21"/>
      <c r="D186" s="21"/>
      <c r="E186" s="21"/>
      <c r="F186" s="21"/>
      <c r="G186" s="21"/>
      <c r="H186" s="21"/>
      <c r="I186" s="21"/>
      <c r="J186" s="21"/>
      <c r="K186" s="21"/>
      <c r="L186" s="21"/>
      <c r="M186" s="21"/>
      <c r="N186" s="21"/>
      <c r="O186" s="21"/>
      <c r="P186" s="21"/>
      <c r="Q186" s="21"/>
      <c r="R186" s="21"/>
      <c r="S186" s="21"/>
      <c r="T186" s="21"/>
      <c r="U186" s="21"/>
    </row>
    <row r="187" spans="2:21">
      <c r="B187" s="21"/>
      <c r="C187" s="21"/>
      <c r="D187" s="21"/>
      <c r="E187" s="21"/>
      <c r="F187" s="21"/>
      <c r="G187" s="21"/>
      <c r="H187" s="21"/>
      <c r="I187" s="21"/>
      <c r="J187" s="21"/>
      <c r="K187" s="21"/>
      <c r="L187" s="21"/>
      <c r="M187" s="21"/>
      <c r="N187" s="21"/>
      <c r="O187" s="21"/>
      <c r="P187" s="21"/>
      <c r="Q187" s="21"/>
      <c r="R187" s="21"/>
      <c r="S187" s="21"/>
      <c r="T187" s="21"/>
      <c r="U187" s="21"/>
    </row>
    <row r="188" spans="2:21">
      <c r="B188" s="21"/>
      <c r="C188" s="21"/>
      <c r="D188" s="21"/>
      <c r="E188" s="21"/>
      <c r="F188" s="21"/>
      <c r="G188" s="21"/>
      <c r="H188" s="21"/>
      <c r="I188" s="21"/>
      <c r="J188" s="21"/>
      <c r="K188" s="21"/>
      <c r="L188" s="21"/>
      <c r="M188" s="21"/>
      <c r="N188" s="21"/>
      <c r="O188" s="21"/>
      <c r="P188" s="21"/>
      <c r="Q188" s="21"/>
      <c r="R188" s="21"/>
      <c r="S188" s="21"/>
      <c r="T188" s="21"/>
      <c r="U188" s="21"/>
    </row>
    <row r="189" spans="2:21">
      <c r="B189" s="21"/>
      <c r="C189" s="21"/>
      <c r="D189" s="21"/>
      <c r="E189" s="21"/>
      <c r="F189" s="21"/>
      <c r="G189" s="21"/>
      <c r="H189" s="21"/>
      <c r="I189" s="21"/>
      <c r="J189" s="21"/>
      <c r="K189" s="21"/>
      <c r="L189" s="21"/>
      <c r="M189" s="21"/>
      <c r="N189" s="21"/>
      <c r="O189" s="21"/>
      <c r="P189" s="21"/>
      <c r="Q189" s="21"/>
      <c r="R189" s="21"/>
      <c r="S189" s="21"/>
      <c r="T189" s="21"/>
      <c r="U189" s="21"/>
    </row>
    <row r="190" spans="2:21">
      <c r="B190" s="21"/>
      <c r="C190" s="21"/>
      <c r="D190" s="21"/>
      <c r="E190" s="21"/>
      <c r="F190" s="21"/>
      <c r="G190" s="21"/>
      <c r="H190" s="21"/>
      <c r="I190" s="21"/>
      <c r="J190" s="21"/>
      <c r="K190" s="21"/>
      <c r="L190" s="21"/>
      <c r="M190" s="21"/>
      <c r="N190" s="21"/>
      <c r="O190" s="21"/>
      <c r="P190" s="21"/>
      <c r="Q190" s="21"/>
      <c r="R190" s="21"/>
      <c r="S190" s="21"/>
      <c r="T190" s="21"/>
      <c r="U190" s="21"/>
    </row>
    <row r="191" spans="2:21">
      <c r="B191" s="21"/>
      <c r="C191" s="21"/>
      <c r="D191" s="21"/>
      <c r="E191" s="21"/>
      <c r="F191" s="21"/>
      <c r="G191" s="21"/>
      <c r="H191" s="21"/>
      <c r="I191" s="21"/>
      <c r="J191" s="21"/>
      <c r="K191" s="21"/>
      <c r="L191" s="21"/>
      <c r="M191" s="21"/>
      <c r="N191" s="21"/>
      <c r="O191" s="21"/>
      <c r="P191" s="21"/>
      <c r="Q191" s="21"/>
      <c r="R191" s="21"/>
      <c r="S191" s="21"/>
      <c r="T191" s="21"/>
      <c r="U191" s="21"/>
    </row>
    <row r="192" spans="2:21">
      <c r="B192" s="21"/>
      <c r="C192" s="21"/>
      <c r="D192" s="21"/>
      <c r="E192" s="21"/>
      <c r="F192" s="21"/>
      <c r="G192" s="21"/>
      <c r="H192" s="21"/>
      <c r="I192" s="21"/>
      <c r="J192" s="21"/>
      <c r="K192" s="21"/>
      <c r="L192" s="21"/>
      <c r="M192" s="21"/>
      <c r="N192" s="21"/>
      <c r="O192" s="21"/>
      <c r="P192" s="21"/>
      <c r="Q192" s="21"/>
      <c r="R192" s="21"/>
      <c r="S192" s="21"/>
      <c r="T192" s="21"/>
      <c r="U192" s="21"/>
    </row>
    <row r="193" spans="2:21">
      <c r="B193" s="21"/>
      <c r="C193" s="21"/>
      <c r="D193" s="21"/>
      <c r="E193" s="21"/>
      <c r="F193" s="21"/>
      <c r="G193" s="21"/>
      <c r="H193" s="21"/>
      <c r="I193" s="21"/>
      <c r="J193" s="21"/>
      <c r="K193" s="21"/>
      <c r="L193" s="21"/>
      <c r="M193" s="21"/>
      <c r="N193" s="21"/>
      <c r="O193" s="21"/>
      <c r="P193" s="21"/>
      <c r="Q193" s="21"/>
      <c r="R193" s="21"/>
      <c r="S193" s="21"/>
      <c r="T193" s="21"/>
      <c r="U193" s="21"/>
    </row>
    <row r="194" spans="2:21">
      <c r="B194" s="21"/>
      <c r="C194" s="21"/>
      <c r="D194" s="21"/>
      <c r="E194" s="21"/>
      <c r="F194" s="21"/>
      <c r="G194" s="21"/>
      <c r="H194" s="21"/>
      <c r="I194" s="21"/>
      <c r="J194" s="21"/>
      <c r="K194" s="21"/>
      <c r="L194" s="21"/>
      <c r="M194" s="21"/>
      <c r="N194" s="21"/>
      <c r="O194" s="21"/>
      <c r="P194" s="21"/>
      <c r="Q194" s="21"/>
      <c r="R194" s="21"/>
      <c r="S194" s="21"/>
      <c r="T194" s="21"/>
      <c r="U194" s="21"/>
    </row>
    <row r="195" spans="2:21">
      <c r="B195" s="21"/>
      <c r="C195" s="21"/>
      <c r="D195" s="21"/>
      <c r="E195" s="21"/>
      <c r="F195" s="21"/>
      <c r="G195" s="21"/>
      <c r="H195" s="21"/>
      <c r="I195" s="21"/>
      <c r="J195" s="21"/>
      <c r="K195" s="21"/>
      <c r="L195" s="21"/>
      <c r="M195" s="21"/>
      <c r="N195" s="21"/>
      <c r="O195" s="21"/>
      <c r="P195" s="21"/>
      <c r="Q195" s="21"/>
      <c r="R195" s="21"/>
      <c r="S195" s="21"/>
      <c r="T195" s="21"/>
      <c r="U195" s="21"/>
    </row>
    <row r="196" spans="2:21">
      <c r="B196" s="21"/>
      <c r="C196" s="21"/>
      <c r="D196" s="21"/>
      <c r="E196" s="21"/>
      <c r="F196" s="21"/>
      <c r="G196" s="21"/>
      <c r="H196" s="21"/>
      <c r="I196" s="21"/>
      <c r="J196" s="21"/>
      <c r="K196" s="21"/>
      <c r="L196" s="21"/>
      <c r="M196" s="21"/>
      <c r="N196" s="21"/>
      <c r="O196" s="21"/>
      <c r="P196" s="21"/>
      <c r="Q196" s="21"/>
      <c r="R196" s="21"/>
      <c r="S196" s="21"/>
      <c r="T196" s="21"/>
      <c r="U196" s="21"/>
    </row>
    <row r="197" spans="2:21">
      <c r="B197" s="21"/>
      <c r="C197" s="21"/>
      <c r="D197" s="21"/>
      <c r="E197" s="21"/>
      <c r="F197" s="21"/>
      <c r="G197" s="21"/>
      <c r="H197" s="21"/>
      <c r="I197" s="21"/>
      <c r="J197" s="21"/>
      <c r="K197" s="21"/>
      <c r="L197" s="21"/>
      <c r="M197" s="21"/>
      <c r="N197" s="21"/>
      <c r="O197" s="21"/>
      <c r="P197" s="21"/>
      <c r="Q197" s="21"/>
      <c r="R197" s="21"/>
      <c r="S197" s="21"/>
      <c r="T197" s="21"/>
      <c r="U197" s="21"/>
    </row>
    <row r="198" spans="2:21">
      <c r="B198" s="21"/>
      <c r="C198" s="21"/>
      <c r="D198" s="21"/>
      <c r="E198" s="21"/>
      <c r="F198" s="21"/>
      <c r="G198" s="21"/>
      <c r="H198" s="21"/>
      <c r="I198" s="21"/>
      <c r="J198" s="21"/>
      <c r="K198" s="21"/>
      <c r="L198" s="21"/>
      <c r="M198" s="21"/>
      <c r="N198" s="21"/>
      <c r="O198" s="21"/>
      <c r="P198" s="21"/>
      <c r="Q198" s="21"/>
      <c r="R198" s="21"/>
      <c r="S198" s="21"/>
      <c r="T198" s="21"/>
      <c r="U198" s="21"/>
    </row>
    <row r="199" spans="2:21">
      <c r="B199" s="21"/>
      <c r="C199" s="21"/>
      <c r="D199" s="21"/>
      <c r="E199" s="21"/>
      <c r="F199" s="21"/>
      <c r="G199" s="21"/>
      <c r="H199" s="21"/>
      <c r="I199" s="21"/>
      <c r="J199" s="21"/>
      <c r="K199" s="21"/>
      <c r="L199" s="21"/>
      <c r="M199" s="21"/>
      <c r="N199" s="21"/>
      <c r="O199" s="21"/>
      <c r="P199" s="21"/>
      <c r="Q199" s="21"/>
      <c r="R199" s="21"/>
      <c r="S199" s="21"/>
      <c r="T199" s="21"/>
      <c r="U199" s="21"/>
    </row>
    <row r="200" spans="2:21">
      <c r="B200" s="21"/>
      <c r="C200" s="21"/>
      <c r="D200" s="21"/>
      <c r="E200" s="21"/>
      <c r="F200" s="21"/>
      <c r="G200" s="21"/>
      <c r="H200" s="21"/>
      <c r="I200" s="21"/>
      <c r="J200" s="21"/>
      <c r="K200" s="21"/>
      <c r="L200" s="21"/>
      <c r="M200" s="21"/>
      <c r="N200" s="21"/>
      <c r="O200" s="21"/>
      <c r="P200" s="21"/>
      <c r="Q200" s="21"/>
      <c r="R200" s="21"/>
      <c r="S200" s="21"/>
      <c r="T200" s="21"/>
      <c r="U200" s="21"/>
    </row>
    <row r="201" spans="2:21">
      <c r="B201" s="21"/>
      <c r="C201" s="21"/>
      <c r="D201" s="21"/>
      <c r="E201" s="21"/>
      <c r="F201" s="21"/>
      <c r="G201" s="21"/>
      <c r="H201" s="21"/>
      <c r="I201" s="21"/>
      <c r="J201" s="21"/>
      <c r="K201" s="21"/>
      <c r="L201" s="21"/>
      <c r="M201" s="21"/>
      <c r="N201" s="21"/>
      <c r="O201" s="21"/>
      <c r="P201" s="21"/>
      <c r="Q201" s="21"/>
      <c r="R201" s="21"/>
      <c r="S201" s="21"/>
      <c r="T201" s="21"/>
      <c r="U201" s="21"/>
    </row>
  </sheetData>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4" tint="0.39997558519241921"/>
  </sheetPr>
  <dimension ref="A1:CF141"/>
  <sheetViews>
    <sheetView showGridLines="0" zoomScale="115" zoomScaleNormal="115" workbookViewId="0">
      <pane xSplit="1" ySplit="2" topLeftCell="AY63" activePane="bottomRight" state="frozen"/>
      <selection activeCell="BR2" sqref="B2:BR2"/>
      <selection pane="topRight" activeCell="BR2" sqref="B2:BR2"/>
      <selection pane="bottomLeft" activeCell="BR2" sqref="B2:BR2"/>
      <selection pane="bottomRight" activeCell="BH89" sqref="BH89"/>
    </sheetView>
  </sheetViews>
  <sheetFormatPr defaultRowHeight="15" outlineLevelCol="2"/>
  <cols>
    <col min="1" max="1" width="48.140625" customWidth="1"/>
    <col min="2" max="5" width="12.140625" style="25" hidden="1" customWidth="1" outlineLevel="2"/>
    <col min="6" max="6" width="12.140625" style="25" hidden="1" customWidth="1" outlineLevel="1"/>
    <col min="7" max="10" width="12.140625" style="25" hidden="1" customWidth="1" outlineLevel="2"/>
    <col min="11" max="11" width="12.140625" style="25" hidden="1" customWidth="1" outlineLevel="1" collapsed="1"/>
    <col min="12" max="15" width="12.140625" style="25" hidden="1" customWidth="1" outlineLevel="2"/>
    <col min="16" max="16" width="12.140625" style="25" hidden="1" customWidth="1" outlineLevel="1" collapsed="1"/>
    <col min="17" max="20" width="12.140625" style="25" hidden="1" customWidth="1" outlineLevel="2"/>
    <col min="21" max="21" width="12.140625" style="25" hidden="1" customWidth="1" collapsed="1"/>
    <col min="22" max="25" width="12.140625" style="25" hidden="1" customWidth="1" outlineLevel="1"/>
    <col min="26" max="26" width="12.140625" style="25" customWidth="1" collapsed="1"/>
    <col min="27" max="30" width="12.140625" style="25" customWidth="1" outlineLevel="1"/>
    <col min="31" max="31" width="12.140625" style="25" customWidth="1"/>
    <col min="32" max="35" width="12.140625" style="25" customWidth="1" outlineLevel="1"/>
    <col min="36" max="36" width="12.140625" style="25" customWidth="1"/>
    <col min="37" max="40" width="12.140625" style="25" customWidth="1" outlineLevel="1"/>
    <col min="41" max="41" width="12.140625" style="25" customWidth="1"/>
    <col min="42" max="44" width="12.140625" style="25" customWidth="1" outlineLevel="1"/>
    <col min="45" max="45" width="13" style="25" customWidth="1" outlineLevel="1"/>
    <col min="46" max="46" width="12.140625" style="25" customWidth="1"/>
    <col min="47" max="48" width="13" style="25" customWidth="1" outlineLevel="1"/>
    <col min="49" max="50" width="13.42578125" style="25" customWidth="1" outlineLevel="1"/>
    <col min="51" max="51" width="13.42578125" style="25" customWidth="1"/>
    <col min="52" max="55" width="13.42578125" style="25" customWidth="1" outlineLevel="1"/>
    <col min="56" max="56" width="13.42578125" style="25" customWidth="1"/>
    <col min="57" max="60" width="13.42578125" style="25" customWidth="1" outlineLevel="1"/>
    <col min="61" max="61" width="13.42578125" style="25" customWidth="1"/>
    <col min="62" max="62" width="3.28515625" customWidth="1" outlineLevel="1"/>
    <col min="63" max="63" width="34.7109375" customWidth="1" outlineLevel="1"/>
    <col min="64" max="65" width="9.140625" customWidth="1" outlineLevel="1"/>
    <col min="66" max="66" width="9.7109375" customWidth="1" outlineLevel="1"/>
    <col min="67" max="67" width="9.140625" customWidth="1" outlineLevel="1"/>
    <col min="68" max="68" width="12.140625" customWidth="1"/>
    <col min="69" max="69" width="22.140625" customWidth="1"/>
    <col min="70" max="70" width="62.7109375" customWidth="1" outlineLevel="1"/>
    <col min="71" max="76" width="9.140625" customWidth="1" outlineLevel="1"/>
    <col min="77" max="81" width="9.140625" customWidth="1"/>
    <col min="83" max="83" width="33.5703125" customWidth="1"/>
  </cols>
  <sheetData>
    <row r="1" spans="1:84">
      <c r="A1" s="14" t="s">
        <v>32</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row>
    <row r="2" spans="1:84">
      <c r="B2" s="105" t="str">
        <f>ProForma_IS_Qtr!B2</f>
        <v>1Q15A</v>
      </c>
      <c r="C2" s="105" t="str">
        <f>ProForma_IS_Qtr!C2</f>
        <v>2Q15A</v>
      </c>
      <c r="D2" s="105" t="str">
        <f>ProForma_IS_Qtr!D2</f>
        <v>3Q15A</v>
      </c>
      <c r="E2" s="105" t="str">
        <f>ProForma_IS_Qtr!E2</f>
        <v>4Q15A</v>
      </c>
      <c r="F2" s="106" t="str">
        <f>ProForma_IS_Qtr!F2</f>
        <v>CY2015A</v>
      </c>
      <c r="G2" s="105" t="str">
        <f>ProForma_IS_Qtr!G2</f>
        <v>1Q16A</v>
      </c>
      <c r="H2" s="105" t="str">
        <f>ProForma_IS_Qtr!H2</f>
        <v>2Q16A</v>
      </c>
      <c r="I2" s="105" t="str">
        <f>ProForma_IS_Qtr!I2</f>
        <v>3Q16A</v>
      </c>
      <c r="J2" s="105" t="str">
        <f>ProForma_IS_Qtr!J2</f>
        <v>4Q16A</v>
      </c>
      <c r="K2" s="106" t="str">
        <f>ProForma_IS_Qtr!K2</f>
        <v>CY2016A</v>
      </c>
      <c r="L2" s="105" t="str">
        <f>ProForma_IS_Qtr!L2</f>
        <v>1Q17A</v>
      </c>
      <c r="M2" s="105" t="str">
        <f>ProForma_IS_Qtr!M2</f>
        <v>2Q17A</v>
      </c>
      <c r="N2" s="105" t="str">
        <f>ProForma_IS_Qtr!N2</f>
        <v>3Q17A</v>
      </c>
      <c r="O2" s="105" t="str">
        <f>ProForma_IS_Qtr!O2</f>
        <v>4Q17A</v>
      </c>
      <c r="P2" s="106" t="str">
        <f>ProForma_IS_Qtr!P2</f>
        <v>CY2017A</v>
      </c>
      <c r="Q2" s="105" t="str">
        <f>ProForma_IS_Qtr!Q2</f>
        <v>1Q18A</v>
      </c>
      <c r="R2" s="105" t="str">
        <f>ProForma_IS_Qtr!R2</f>
        <v>2Q18A</v>
      </c>
      <c r="S2" s="105" t="str">
        <f>ProForma_IS_Qtr!S2</f>
        <v>3Q18A</v>
      </c>
      <c r="T2" s="105" t="str">
        <f>ProForma_IS_Qtr!T2</f>
        <v>4Q18A</v>
      </c>
      <c r="U2" s="106" t="str">
        <f>ProForma_IS_Qtr!U2</f>
        <v>CY2018A</v>
      </c>
      <c r="V2" s="105" t="str">
        <f>ProForma_IS_Qtr!V2</f>
        <v>1Q19A</v>
      </c>
      <c r="W2" s="105" t="str">
        <f>ProForma_IS_Qtr!W2</f>
        <v>2Q19A</v>
      </c>
      <c r="X2" s="105" t="str">
        <f>ProForma_IS_Qtr!X2</f>
        <v>3Q19A</v>
      </c>
      <c r="Y2" s="105" t="str">
        <f>ProForma_IS_Qtr!Y2</f>
        <v>4Q19A</v>
      </c>
      <c r="Z2" s="106" t="str">
        <f>ProForma_IS_Qtr!Z2</f>
        <v>CY2019A</v>
      </c>
      <c r="AA2" s="105" t="str">
        <f>ProForma_IS_Qtr!AA2</f>
        <v>1Q20A</v>
      </c>
      <c r="AB2" s="105" t="str">
        <f>ProForma_IS_Qtr!AB2</f>
        <v>2Q20A</v>
      </c>
      <c r="AC2" s="105" t="str">
        <f>ProForma_IS_Qtr!AC2</f>
        <v>3Q20A</v>
      </c>
      <c r="AD2" s="105" t="str">
        <f>ProForma_IS_Qtr!AD2</f>
        <v>4Q20A</v>
      </c>
      <c r="AE2" s="106" t="str">
        <f>ProForma_IS_Qtr!AE2</f>
        <v>CY2020A</v>
      </c>
      <c r="AF2" s="105" t="str">
        <f>ProForma_IS_Qtr!AF2</f>
        <v>1Q21A</v>
      </c>
      <c r="AG2" s="105" t="str">
        <f>ProForma_IS_Qtr!AG2</f>
        <v>2Q21A</v>
      </c>
      <c r="AH2" s="105" t="str">
        <f>ProForma_IS_Qtr!AH2</f>
        <v>3Q21A</v>
      </c>
      <c r="AI2" s="105" t="str">
        <f>ProForma_IS_Qtr!AI2</f>
        <v>4Q21A</v>
      </c>
      <c r="AJ2" s="106" t="str">
        <f>ProForma_IS_Qtr!AJ2</f>
        <v>CY2021A</v>
      </c>
      <c r="AK2" s="105" t="str">
        <f>ProForma_IS_Qtr!AK2</f>
        <v>1Q22A</v>
      </c>
      <c r="AL2" s="105" t="str">
        <f>ProForma_IS_Qtr!AL2</f>
        <v>2Q22A</v>
      </c>
      <c r="AM2" s="105" t="str">
        <f>ProForma_IS_Qtr!AM2</f>
        <v>3Q22A</v>
      </c>
      <c r="AN2" s="105" t="str">
        <f>ProForma_IS_Qtr!AN2</f>
        <v>4Q22A</v>
      </c>
      <c r="AO2" s="106" t="str">
        <f>ProForma_IS_Qtr!AO2</f>
        <v>CY2022A</v>
      </c>
      <c r="AP2" s="105" t="str">
        <f>ProForma_IS_Qtr!AP2</f>
        <v>1Q23A</v>
      </c>
      <c r="AQ2" s="105" t="str">
        <f>ProForma_IS_Qtr!AQ2</f>
        <v>2Q23A</v>
      </c>
      <c r="AR2" s="105" t="str">
        <f>ProForma_IS_Qtr!AR2</f>
        <v>3Q23A</v>
      </c>
      <c r="AS2" s="105" t="str">
        <f>ProForma_IS_Qtr!AS2</f>
        <v>4Q23A</v>
      </c>
      <c r="AT2" s="106" t="str">
        <f>ProForma_IS_Qtr!AT2</f>
        <v>CY2023A</v>
      </c>
      <c r="AU2" s="105" t="str">
        <f>ProForma_IS_Qtr!AU2</f>
        <v>1Q24A</v>
      </c>
      <c r="AV2" s="105" t="str">
        <f>ProForma_IS_Qtr!AV2</f>
        <v>2Q24A</v>
      </c>
      <c r="AW2" s="105" t="str">
        <f>ProForma_IS_Qtr!AW2</f>
        <v>3Q24A</v>
      </c>
      <c r="AX2" s="105" t="str">
        <f>ProForma_IS_Qtr!AX2</f>
        <v>4Q24A</v>
      </c>
      <c r="AY2" s="106" t="str">
        <f>ProForma_IS_Qtr!AY2</f>
        <v>CY2024A</v>
      </c>
      <c r="AZ2" s="105" t="str">
        <f>ProForma_IS_Qtr!AZ2</f>
        <v>1Q25A</v>
      </c>
      <c r="BA2" s="105" t="str">
        <f>ProForma_IS_Qtr!BA2</f>
        <v>2Q25A</v>
      </c>
      <c r="BB2" s="105" t="str">
        <f>ProForma_IS_Qtr!BB2</f>
        <v>3Q25A</v>
      </c>
      <c r="BC2" s="105" t="str">
        <f>ProForma_IS_Qtr!BC2</f>
        <v>4Q25A</v>
      </c>
      <c r="BD2" s="106" t="str">
        <f>ProForma_IS_Qtr!BD2</f>
        <v>CY2025A</v>
      </c>
      <c r="BE2" s="105" t="str">
        <f>ProForma_IS_Qtr!BE2</f>
        <v>1Q26A</v>
      </c>
      <c r="BF2" s="105" t="str">
        <f>ProForma_IS_Qtr!BF2</f>
        <v>2Q26A</v>
      </c>
      <c r="BG2" s="105" t="str">
        <f>ProForma_IS_Qtr!BG2</f>
        <v>3Q26E</v>
      </c>
      <c r="BH2" s="105" t="str">
        <f>ProForma_IS_Qtr!BH2</f>
        <v>4Q26E</v>
      </c>
      <c r="BI2" s="106" t="str">
        <f>ProForma_IS_Qtr!BI2</f>
        <v>CY2026E</v>
      </c>
      <c r="BJ2" s="314" t="s">
        <v>418</v>
      </c>
    </row>
    <row r="3" spans="1:84">
      <c r="A3" s="4" t="s">
        <v>33</v>
      </c>
      <c r="F3" s="26"/>
      <c r="K3" s="26"/>
      <c r="P3" s="26"/>
      <c r="U3" s="26"/>
      <c r="Z3" s="26"/>
      <c r="AE3" s="26"/>
      <c r="AJ3" s="26"/>
      <c r="AO3" s="26"/>
      <c r="AT3" s="26"/>
      <c r="AY3" s="26"/>
      <c r="BD3" s="26"/>
      <c r="BI3" s="26"/>
    </row>
    <row r="4" spans="1:84">
      <c r="A4" s="4" t="s">
        <v>88</v>
      </c>
      <c r="F4" s="26"/>
      <c r="K4" s="26"/>
      <c r="P4" s="26"/>
      <c r="U4" s="79"/>
      <c r="Y4" s="77"/>
      <c r="Z4" s="26"/>
      <c r="AE4" s="26"/>
      <c r="AJ4" s="26"/>
      <c r="AO4" s="26"/>
      <c r="AT4" s="26"/>
      <c r="AY4" s="26"/>
      <c r="BD4" s="26"/>
      <c r="BI4" s="26"/>
    </row>
    <row r="5" spans="1:84">
      <c r="A5" s="1" t="s">
        <v>89</v>
      </c>
      <c r="B5" s="37"/>
      <c r="C5" s="37"/>
      <c r="D5" s="37"/>
      <c r="E5" s="37"/>
      <c r="F5" s="38"/>
      <c r="G5" s="37"/>
      <c r="H5" s="37"/>
      <c r="I5" s="37"/>
      <c r="J5" s="37"/>
      <c r="K5" s="38"/>
      <c r="L5" s="37"/>
      <c r="M5" s="37"/>
      <c r="N5" s="37"/>
      <c r="O5" s="37"/>
      <c r="P5" s="38"/>
      <c r="Q5" s="37"/>
      <c r="R5" s="37"/>
      <c r="S5" s="37"/>
      <c r="T5" s="37"/>
      <c r="U5" s="38">
        <f>Cash_Flow_Qtr!V56</f>
        <v>6212</v>
      </c>
      <c r="V5" s="37"/>
      <c r="W5" s="37"/>
      <c r="X5" s="37"/>
      <c r="Y5" s="21">
        <f t="shared" ref="Y5:Y12" si="0">+Z5</f>
        <v>4937</v>
      </c>
      <c r="Z5" s="43">
        <v>4937</v>
      </c>
      <c r="AA5" s="41">
        <v>8001</v>
      </c>
      <c r="AB5" s="41">
        <v>6975</v>
      </c>
      <c r="AC5" s="41">
        <v>10001</v>
      </c>
      <c r="AD5" s="21">
        <f t="shared" ref="AD5:AD12" si="1">+AE5</f>
        <v>8802</v>
      </c>
      <c r="AE5" s="43">
        <v>8802</v>
      </c>
      <c r="AF5" s="41">
        <v>8579</v>
      </c>
      <c r="AG5" s="41">
        <v>8051</v>
      </c>
      <c r="AH5" s="41">
        <v>7476</v>
      </c>
      <c r="AI5" s="21">
        <f t="shared" ref="AI5:AI12" si="2">+AJ5</f>
        <v>7832</v>
      </c>
      <c r="AJ5" s="43">
        <v>7832</v>
      </c>
      <c r="AK5" s="41">
        <v>6040</v>
      </c>
      <c r="AL5" s="41">
        <v>4767</v>
      </c>
      <c r="AM5" s="41">
        <v>5381</v>
      </c>
      <c r="AN5" s="21">
        <f t="shared" ref="AN5:AN12" si="3">+AO5</f>
        <v>6220</v>
      </c>
      <c r="AO5" s="43">
        <v>6220</v>
      </c>
      <c r="AP5" s="41">
        <v>5893</v>
      </c>
      <c r="AQ5" s="41">
        <v>5391</v>
      </c>
      <c r="AR5" s="41">
        <v>5456</v>
      </c>
      <c r="AS5" s="21">
        <f t="shared" ref="AS5:AS12" si="4">+AT5</f>
        <v>6587</v>
      </c>
      <c r="AT5" s="43">
        <v>6587</v>
      </c>
      <c r="AU5" s="41">
        <v>5607</v>
      </c>
      <c r="AV5" s="41">
        <v>6011</v>
      </c>
      <c r="AW5" s="41">
        <v>6682</v>
      </c>
      <c r="AX5" s="21">
        <f t="shared" ref="AX5:AX12" si="5">+AY5</f>
        <v>5578</v>
      </c>
      <c r="AY5" s="43">
        <v>5578</v>
      </c>
      <c r="AZ5" s="41">
        <v>5157</v>
      </c>
      <c r="BA5" s="41">
        <v>4782</v>
      </c>
      <c r="BB5" s="41">
        <v>5966</v>
      </c>
      <c r="BC5" s="21">
        <f t="shared" ref="BC5:BC12" si="6">+BD5</f>
        <v>7435</v>
      </c>
      <c r="BD5" s="43">
        <v>7435</v>
      </c>
      <c r="BE5" s="41">
        <v>6818</v>
      </c>
      <c r="BF5" s="41">
        <v>8305</v>
      </c>
      <c r="BG5" s="37">
        <f>Cash_Flow_Qtr!BG60</f>
        <v>9335.1062457325861</v>
      </c>
      <c r="BH5" s="37">
        <f>Cash_Flow_Qtr!BH60</f>
        <v>8604.2143587620139</v>
      </c>
      <c r="BI5" s="38">
        <f>Cash_Flow_Qtr!BI60</f>
        <v>8604.2143587620139</v>
      </c>
      <c r="BJ5" s="112"/>
      <c r="BL5" s="112"/>
      <c r="CE5" t="s">
        <v>89</v>
      </c>
      <c r="CF5" s="112">
        <f>AK5-AJ5</f>
        <v>-1792</v>
      </c>
    </row>
    <row r="6" spans="1:84">
      <c r="A6" s="1" t="s">
        <v>234</v>
      </c>
      <c r="B6" s="41"/>
      <c r="C6" s="41"/>
      <c r="D6" s="41"/>
      <c r="E6" s="21"/>
      <c r="F6" s="43"/>
      <c r="G6" s="41"/>
      <c r="H6" s="41"/>
      <c r="I6" s="41"/>
      <c r="J6" s="21"/>
      <c r="K6" s="43"/>
      <c r="L6" s="41"/>
      <c r="M6" s="41"/>
      <c r="N6" s="41"/>
      <c r="O6" s="21"/>
      <c r="P6" s="43"/>
      <c r="Q6" s="41"/>
      <c r="R6" s="41"/>
      <c r="S6" s="41"/>
      <c r="T6" s="21"/>
      <c r="U6" s="43"/>
      <c r="V6" s="41"/>
      <c r="W6" s="41"/>
      <c r="X6" s="41"/>
      <c r="Y6" s="21">
        <f t="shared" si="0"/>
        <v>24</v>
      </c>
      <c r="Z6" s="43">
        <v>24</v>
      </c>
      <c r="AA6" s="41">
        <v>65</v>
      </c>
      <c r="AB6" s="41">
        <v>42</v>
      </c>
      <c r="AC6" s="41">
        <v>31</v>
      </c>
      <c r="AD6" s="21">
        <f t="shared" si="1"/>
        <v>30</v>
      </c>
      <c r="AE6" s="43">
        <v>30</v>
      </c>
      <c r="AF6" s="41">
        <v>37</v>
      </c>
      <c r="AG6" s="41">
        <v>29</v>
      </c>
      <c r="AH6" s="41">
        <v>26</v>
      </c>
      <c r="AI6" s="21">
        <f t="shared" si="2"/>
        <v>21</v>
      </c>
      <c r="AJ6" s="43">
        <v>21</v>
      </c>
      <c r="AK6" s="41">
        <v>41</v>
      </c>
      <c r="AL6" s="41">
        <v>65</v>
      </c>
      <c r="AM6" s="41">
        <v>54</v>
      </c>
      <c r="AN6" s="21">
        <f t="shared" si="3"/>
        <v>71</v>
      </c>
      <c r="AO6" s="43">
        <v>71</v>
      </c>
      <c r="AP6" s="41">
        <v>53</v>
      </c>
      <c r="AQ6" s="41">
        <v>41</v>
      </c>
      <c r="AR6" s="41">
        <v>41</v>
      </c>
      <c r="AS6" s="21">
        <f t="shared" si="4"/>
        <v>39</v>
      </c>
      <c r="AT6" s="43">
        <v>39</v>
      </c>
      <c r="AU6" s="41">
        <v>39</v>
      </c>
      <c r="AV6" s="41">
        <v>47</v>
      </c>
      <c r="AW6" s="41">
        <v>49</v>
      </c>
      <c r="AX6" s="21">
        <f t="shared" si="5"/>
        <v>28</v>
      </c>
      <c r="AY6" s="43">
        <v>28</v>
      </c>
      <c r="AZ6" s="41">
        <v>36</v>
      </c>
      <c r="BA6" s="41">
        <v>45</v>
      </c>
      <c r="BB6" s="41">
        <v>38</v>
      </c>
      <c r="BC6" s="21">
        <f t="shared" si="6"/>
        <v>35</v>
      </c>
      <c r="BD6" s="43">
        <v>35</v>
      </c>
      <c r="BE6" s="41">
        <v>53</v>
      </c>
      <c r="BF6" s="41">
        <v>87</v>
      </c>
      <c r="BG6" s="37">
        <f>Cash_Flow_Qtr!BG58</f>
        <v>87</v>
      </c>
      <c r="BH6" s="37">
        <f>Cash_Flow_Qtr!BH58</f>
        <v>87</v>
      </c>
      <c r="BI6" s="38">
        <f>Cash_Flow_Qtr!BI58</f>
        <v>87</v>
      </c>
      <c r="BJ6" s="112"/>
      <c r="BL6" s="112"/>
      <c r="CE6" t="s">
        <v>234</v>
      </c>
      <c r="CF6" s="112">
        <f>AK6-AJ6</f>
        <v>20</v>
      </c>
    </row>
    <row r="7" spans="1:84">
      <c r="A7" s="1" t="s">
        <v>257</v>
      </c>
      <c r="B7" s="41"/>
      <c r="C7" s="41"/>
      <c r="D7" s="41"/>
      <c r="E7" s="21"/>
      <c r="F7" s="43"/>
      <c r="G7" s="41"/>
      <c r="H7" s="41"/>
      <c r="I7" s="41"/>
      <c r="J7" s="21"/>
      <c r="K7" s="43"/>
      <c r="L7" s="41"/>
      <c r="M7" s="41"/>
      <c r="N7" s="41"/>
      <c r="O7" s="21"/>
      <c r="P7" s="43"/>
      <c r="Q7" s="41"/>
      <c r="R7" s="41"/>
      <c r="S7" s="41"/>
      <c r="T7" s="21"/>
      <c r="U7" s="43">
        <v>0</v>
      </c>
      <c r="V7" s="41"/>
      <c r="W7" s="41"/>
      <c r="X7" s="41"/>
      <c r="Y7" s="21">
        <f t="shared" si="0"/>
        <v>8743</v>
      </c>
      <c r="Z7" s="43">
        <v>8743</v>
      </c>
      <c r="AA7" s="41">
        <v>13104</v>
      </c>
      <c r="AB7" s="41">
        <v>9496</v>
      </c>
      <c r="AC7" s="41">
        <v>10115</v>
      </c>
      <c r="AD7" s="21">
        <f t="shared" si="1"/>
        <v>9254</v>
      </c>
      <c r="AE7" s="43">
        <v>9254</v>
      </c>
      <c r="AF7" s="41">
        <v>10037</v>
      </c>
      <c r="AG7" s="41">
        <v>8912</v>
      </c>
      <c r="AH7" s="41">
        <v>9538</v>
      </c>
      <c r="AI7" s="21">
        <f t="shared" si="2"/>
        <v>9661</v>
      </c>
      <c r="AJ7" s="43">
        <v>9661</v>
      </c>
      <c r="AK7" s="41">
        <v>9076</v>
      </c>
      <c r="AL7" s="41">
        <v>10394</v>
      </c>
      <c r="AM7" s="41">
        <v>9233</v>
      </c>
      <c r="AN7" s="21">
        <f t="shared" si="3"/>
        <v>9108</v>
      </c>
      <c r="AO7" s="43">
        <v>9108</v>
      </c>
      <c r="AP7" s="41">
        <v>10069</v>
      </c>
      <c r="AQ7" s="41">
        <v>9903</v>
      </c>
      <c r="AR7" s="41">
        <v>10058</v>
      </c>
      <c r="AS7" s="21">
        <f t="shared" si="4"/>
        <v>10838</v>
      </c>
      <c r="AT7" s="43">
        <v>10838</v>
      </c>
      <c r="AU7" s="41">
        <v>10280</v>
      </c>
      <c r="AV7" s="41">
        <v>10252</v>
      </c>
      <c r="AW7" s="41">
        <v>10097</v>
      </c>
      <c r="AX7" s="21">
        <f t="shared" si="5"/>
        <v>10976</v>
      </c>
      <c r="AY7" s="43">
        <v>10976</v>
      </c>
      <c r="AZ7" s="41">
        <v>11426</v>
      </c>
      <c r="BA7" s="41">
        <v>12385</v>
      </c>
      <c r="BB7" s="41">
        <v>12837</v>
      </c>
      <c r="BC7" s="21">
        <f t="shared" si="6"/>
        <v>14701</v>
      </c>
      <c r="BD7" s="43">
        <v>14701</v>
      </c>
      <c r="BE7" s="41">
        <v>12945</v>
      </c>
      <c r="BF7" s="41">
        <v>13942</v>
      </c>
      <c r="BG7" s="42">
        <f>BG$64*(ProForma_IS_Qtr!BG$9/(365/4))</f>
        <v>15237.699616438354</v>
      </c>
      <c r="BH7" s="42">
        <f>BI7</f>
        <v>15779.830191780818</v>
      </c>
      <c r="BI7" s="22">
        <f>BI$64*(ProForma_IS_Qtr!BI$9/(365))</f>
        <v>15779.830191780818</v>
      </c>
      <c r="BJ7" s="112"/>
      <c r="BL7" s="112"/>
      <c r="CE7" t="s">
        <v>257</v>
      </c>
      <c r="CF7" s="112">
        <f>AJ7-AK7</f>
        <v>585</v>
      </c>
    </row>
    <row r="8" spans="1:84">
      <c r="A8" s="1" t="s">
        <v>75</v>
      </c>
      <c r="B8" s="41"/>
      <c r="C8" s="41"/>
      <c r="D8" s="41"/>
      <c r="E8" s="21"/>
      <c r="F8" s="43"/>
      <c r="G8" s="41"/>
      <c r="H8" s="41"/>
      <c r="I8" s="41"/>
      <c r="J8" s="21"/>
      <c r="K8" s="43"/>
      <c r="L8" s="41"/>
      <c r="M8" s="41"/>
      <c r="N8" s="41"/>
      <c r="O8" s="21"/>
      <c r="P8" s="43"/>
      <c r="Q8" s="41"/>
      <c r="R8" s="41"/>
      <c r="S8" s="41"/>
      <c r="T8" s="21"/>
      <c r="U8" s="43"/>
      <c r="V8" s="41"/>
      <c r="W8" s="41"/>
      <c r="X8" s="41"/>
      <c r="Y8" s="21">
        <f t="shared" si="0"/>
        <v>4462</v>
      </c>
      <c r="Z8" s="43">
        <v>4462</v>
      </c>
      <c r="AA8" s="41">
        <v>4549</v>
      </c>
      <c r="AB8" s="41">
        <v>9943</v>
      </c>
      <c r="AC8" s="41">
        <v>9617</v>
      </c>
      <c r="AD8" s="21">
        <f t="shared" si="1"/>
        <v>9931</v>
      </c>
      <c r="AE8" s="43">
        <v>9931</v>
      </c>
      <c r="AF8" s="41">
        <v>10238</v>
      </c>
      <c r="AG8" s="41">
        <v>10485</v>
      </c>
      <c r="AH8" s="41">
        <v>10899</v>
      </c>
      <c r="AI8" s="21">
        <f t="shared" si="2"/>
        <v>11361</v>
      </c>
      <c r="AJ8" s="43">
        <v>11361</v>
      </c>
      <c r="AK8" s="41">
        <v>11566</v>
      </c>
      <c r="AL8" s="41">
        <v>11836</v>
      </c>
      <c r="AM8" s="41">
        <v>12297</v>
      </c>
      <c r="AN8" s="21">
        <f t="shared" si="3"/>
        <v>11534</v>
      </c>
      <c r="AO8" s="43">
        <v>11534</v>
      </c>
      <c r="AP8" s="41">
        <v>12729</v>
      </c>
      <c r="AQ8" s="41">
        <v>12970</v>
      </c>
      <c r="AR8" s="41">
        <v>12696</v>
      </c>
      <c r="AS8" s="21">
        <f t="shared" si="4"/>
        <v>12139</v>
      </c>
      <c r="AT8" s="43">
        <v>12139</v>
      </c>
      <c r="AU8" s="41">
        <v>13104</v>
      </c>
      <c r="AV8" s="41">
        <v>13581</v>
      </c>
      <c r="AW8" s="41">
        <v>14684</v>
      </c>
      <c r="AX8" s="21">
        <f t="shared" si="5"/>
        <v>14570</v>
      </c>
      <c r="AY8" s="43">
        <v>14570</v>
      </c>
      <c r="AZ8" s="41">
        <v>15241</v>
      </c>
      <c r="BA8" s="41">
        <v>15686</v>
      </c>
      <c r="BB8" s="41">
        <v>16604</v>
      </c>
      <c r="BC8" s="21">
        <f t="shared" si="6"/>
        <v>17092</v>
      </c>
      <c r="BD8" s="43">
        <v>17092</v>
      </c>
      <c r="BE8" s="41">
        <v>18070</v>
      </c>
      <c r="BF8" s="41">
        <v>18980</v>
      </c>
      <c r="BG8" s="42">
        <f>BG$65*(ProForma_IS_Qtr!BG$9/(365/4))</f>
        <v>18390.327123287669</v>
      </c>
      <c r="BH8" s="42">
        <f>BI8</f>
        <v>17883.807550684927</v>
      </c>
      <c r="BI8" s="22">
        <f>BI$65*(ProForma_IS_Qtr!BI$9/(365))</f>
        <v>17883.807550684927</v>
      </c>
      <c r="BJ8" s="112"/>
      <c r="BL8" s="112"/>
      <c r="CE8" t="s">
        <v>75</v>
      </c>
      <c r="CF8" s="112">
        <f t="shared" ref="CF8:CF11" si="7">AJ8-AK8</f>
        <v>-205</v>
      </c>
    </row>
    <row r="9" spans="1:84">
      <c r="A9" s="1" t="s">
        <v>22</v>
      </c>
      <c r="B9" s="41"/>
      <c r="C9" s="41"/>
      <c r="D9" s="41"/>
      <c r="E9" s="21"/>
      <c r="F9" s="43"/>
      <c r="G9" s="41"/>
      <c r="H9" s="41"/>
      <c r="I9" s="41"/>
      <c r="J9" s="21"/>
      <c r="K9" s="43"/>
      <c r="L9" s="41"/>
      <c r="M9" s="41"/>
      <c r="N9" s="41"/>
      <c r="O9" s="21"/>
      <c r="P9" s="43"/>
      <c r="Q9" s="41"/>
      <c r="R9" s="41"/>
      <c r="S9" s="41"/>
      <c r="T9" s="21"/>
      <c r="U9" s="43">
        <v>0</v>
      </c>
      <c r="V9" s="41"/>
      <c r="W9" s="41"/>
      <c r="X9" s="41"/>
      <c r="Y9" s="21">
        <f t="shared" si="0"/>
        <v>9047</v>
      </c>
      <c r="Z9" s="43">
        <v>9047</v>
      </c>
      <c r="AA9" s="41">
        <v>11506</v>
      </c>
      <c r="AB9" s="41">
        <v>10256</v>
      </c>
      <c r="AC9" s="41">
        <v>9843</v>
      </c>
      <c r="AD9" s="21">
        <f t="shared" si="1"/>
        <v>9411</v>
      </c>
      <c r="AE9" s="43">
        <v>9411</v>
      </c>
      <c r="AF9" s="41">
        <v>9498</v>
      </c>
      <c r="AG9" s="41">
        <v>9548</v>
      </c>
      <c r="AH9" s="41">
        <v>9426</v>
      </c>
      <c r="AI9" s="21">
        <f t="shared" si="2"/>
        <v>9178</v>
      </c>
      <c r="AJ9" s="43">
        <v>9178</v>
      </c>
      <c r="AK9" s="41">
        <v>9749</v>
      </c>
      <c r="AL9" s="41">
        <v>10142</v>
      </c>
      <c r="AM9" s="41">
        <v>10443</v>
      </c>
      <c r="AN9" s="21">
        <f t="shared" si="3"/>
        <v>10617</v>
      </c>
      <c r="AO9" s="43">
        <v>10617</v>
      </c>
      <c r="AP9" s="41">
        <v>11327</v>
      </c>
      <c r="AQ9" s="41">
        <v>11997</v>
      </c>
      <c r="AR9" s="41">
        <v>12050</v>
      </c>
      <c r="AS9" s="21">
        <f t="shared" si="4"/>
        <v>11777</v>
      </c>
      <c r="AT9" s="43">
        <v>11777</v>
      </c>
      <c r="AU9" s="41">
        <v>12386</v>
      </c>
      <c r="AV9" s="41">
        <v>13047</v>
      </c>
      <c r="AW9" s="41">
        <v>13465</v>
      </c>
      <c r="AX9" s="21">
        <f t="shared" si="5"/>
        <v>12768</v>
      </c>
      <c r="AY9" s="43">
        <v>12768</v>
      </c>
      <c r="AZ9" s="41">
        <v>13618</v>
      </c>
      <c r="BA9" s="41">
        <v>14012</v>
      </c>
      <c r="BB9" s="41">
        <v>13806</v>
      </c>
      <c r="BC9" s="21">
        <f t="shared" si="6"/>
        <v>13364</v>
      </c>
      <c r="BD9" s="43">
        <v>13364</v>
      </c>
      <c r="BE9" s="41">
        <v>14153</v>
      </c>
      <c r="BF9" s="41">
        <v>14409</v>
      </c>
      <c r="BG9" s="42">
        <f>BG67*(-ProForma_IS_Qtr!BG85/(365/4))</f>
        <v>14502.086531506849</v>
      </c>
      <c r="BH9" s="42">
        <f>BI9</f>
        <v>14527.963663232877</v>
      </c>
      <c r="BI9" s="22">
        <f>BI67*(-ProForma_IS_Qtr!BI85/(365))</f>
        <v>14527.963663232877</v>
      </c>
      <c r="BJ9" s="112"/>
      <c r="BK9" s="347"/>
      <c r="BL9" s="112"/>
      <c r="CE9" t="s">
        <v>22</v>
      </c>
      <c r="CF9" s="112">
        <f t="shared" si="7"/>
        <v>-571</v>
      </c>
    </row>
    <row r="10" spans="1:84">
      <c r="A10" s="1" t="s">
        <v>258</v>
      </c>
      <c r="B10" s="41"/>
      <c r="C10" s="41"/>
      <c r="D10" s="41"/>
      <c r="E10" s="21"/>
      <c r="F10" s="43"/>
      <c r="G10" s="41"/>
      <c r="H10" s="41"/>
      <c r="I10" s="41"/>
      <c r="J10" s="21"/>
      <c r="K10" s="43"/>
      <c r="L10" s="41"/>
      <c r="M10" s="41"/>
      <c r="N10" s="41"/>
      <c r="O10" s="21"/>
      <c r="P10" s="43"/>
      <c r="Q10" s="41"/>
      <c r="R10" s="41"/>
      <c r="S10" s="41"/>
      <c r="T10" s="21"/>
      <c r="U10" s="43"/>
      <c r="V10" s="41"/>
      <c r="W10" s="41"/>
      <c r="X10" s="41"/>
      <c r="Y10" s="21">
        <f t="shared" si="0"/>
        <v>31823</v>
      </c>
      <c r="Z10" s="43">
        <v>31823</v>
      </c>
      <c r="AA10" s="41">
        <v>0</v>
      </c>
      <c r="AB10" s="41">
        <v>135</v>
      </c>
      <c r="AC10" s="41">
        <v>56</v>
      </c>
      <c r="AD10" s="21">
        <f t="shared" si="1"/>
        <v>64</v>
      </c>
      <c r="AE10" s="43">
        <v>64</v>
      </c>
      <c r="AF10" s="41">
        <v>0</v>
      </c>
      <c r="AG10" s="41">
        <v>0</v>
      </c>
      <c r="AH10" s="41">
        <v>0</v>
      </c>
      <c r="AI10" s="21">
        <f t="shared" si="2"/>
        <v>0</v>
      </c>
      <c r="AJ10" s="43">
        <v>0</v>
      </c>
      <c r="AK10" s="41">
        <v>0</v>
      </c>
      <c r="AL10" s="41">
        <v>0</v>
      </c>
      <c r="AM10" s="41">
        <v>0</v>
      </c>
      <c r="AN10" s="21">
        <f t="shared" si="3"/>
        <v>0</v>
      </c>
      <c r="AO10" s="43">
        <v>0</v>
      </c>
      <c r="AP10" s="41">
        <v>0</v>
      </c>
      <c r="AQ10" s="41">
        <v>0</v>
      </c>
      <c r="AR10" s="41">
        <v>0</v>
      </c>
      <c r="AS10" s="21">
        <f t="shared" si="4"/>
        <v>0</v>
      </c>
      <c r="AT10" s="43">
        <v>0</v>
      </c>
      <c r="AU10" s="41">
        <v>0</v>
      </c>
      <c r="AV10" s="41">
        <v>0</v>
      </c>
      <c r="AW10" s="41">
        <v>0</v>
      </c>
      <c r="AX10" s="21">
        <f t="shared" si="5"/>
        <v>0</v>
      </c>
      <c r="AY10" s="43">
        <v>0</v>
      </c>
      <c r="AZ10" s="41">
        <v>0</v>
      </c>
      <c r="BA10" s="41">
        <v>0</v>
      </c>
      <c r="BB10" s="41">
        <v>0</v>
      </c>
      <c r="BC10" s="21">
        <f t="shared" si="6"/>
        <v>0</v>
      </c>
      <c r="BD10" s="43">
        <v>0</v>
      </c>
      <c r="BE10" s="41">
        <v>0</v>
      </c>
      <c r="BF10" s="41">
        <v>0</v>
      </c>
      <c r="BG10" s="42">
        <f t="shared" ref="BG10" si="8">BF10</f>
        <v>0</v>
      </c>
      <c r="BH10" s="42">
        <f t="shared" ref="BH10" si="9">BG10</f>
        <v>0</v>
      </c>
      <c r="BI10" s="22">
        <f t="shared" ref="BI10" si="10">BH10</f>
        <v>0</v>
      </c>
      <c r="BJ10" s="112"/>
      <c r="BL10" s="112"/>
      <c r="CE10" t="s">
        <v>258</v>
      </c>
      <c r="CF10" s="112">
        <f t="shared" si="7"/>
        <v>0</v>
      </c>
    </row>
    <row r="11" spans="1:84">
      <c r="A11" s="1" t="s">
        <v>90</v>
      </c>
      <c r="B11" s="41"/>
      <c r="C11" s="41"/>
      <c r="D11" s="41"/>
      <c r="E11" s="21"/>
      <c r="F11" s="43"/>
      <c r="G11" s="41"/>
      <c r="H11" s="41"/>
      <c r="I11" s="41"/>
      <c r="J11" s="21"/>
      <c r="K11" s="43"/>
      <c r="L11" s="41"/>
      <c r="M11" s="41"/>
      <c r="N11" s="41"/>
      <c r="O11" s="21"/>
      <c r="P11" s="43"/>
      <c r="Q11" s="41"/>
      <c r="R11" s="41"/>
      <c r="S11" s="41"/>
      <c r="T11" s="21"/>
      <c r="U11" s="43"/>
      <c r="V11" s="41"/>
      <c r="W11" s="41"/>
      <c r="X11" s="41"/>
      <c r="Y11" s="21">
        <f t="shared" si="0"/>
        <v>2541</v>
      </c>
      <c r="Z11" s="43">
        <f>2565-Z6</f>
        <v>2541</v>
      </c>
      <c r="AA11" s="41">
        <f>1715-AA6</f>
        <v>1650</v>
      </c>
      <c r="AB11" s="41">
        <f>5469-AB6</f>
        <v>5427</v>
      </c>
      <c r="AC11" s="41">
        <f>3879-AC6</f>
        <v>3848</v>
      </c>
      <c r="AD11" s="21">
        <f t="shared" si="1"/>
        <v>5884</v>
      </c>
      <c r="AE11" s="43">
        <f>5914-AE6</f>
        <v>5884</v>
      </c>
      <c r="AF11" s="41">
        <f>4200-AF6</f>
        <v>4163</v>
      </c>
      <c r="AG11" s="41">
        <f>3883-AG6</f>
        <v>3854</v>
      </c>
      <c r="AH11" s="41">
        <f>4653-AH6</f>
        <v>4627</v>
      </c>
      <c r="AI11" s="21">
        <f t="shared" si="2"/>
        <v>3997</v>
      </c>
      <c r="AJ11" s="43">
        <f>4018-AJ6</f>
        <v>3997</v>
      </c>
      <c r="AK11" s="41">
        <f>4309-AK6</f>
        <v>4268</v>
      </c>
      <c r="AL11" s="41">
        <f>4323-AL6</f>
        <v>4258</v>
      </c>
      <c r="AM11" s="41">
        <f>4467-AM6</f>
        <v>4413</v>
      </c>
      <c r="AN11" s="21">
        <f t="shared" si="3"/>
        <v>4893</v>
      </c>
      <c r="AO11" s="43">
        <f>4964-AO6</f>
        <v>4893</v>
      </c>
      <c r="AP11" s="41">
        <f>5486-AP6</f>
        <v>5433</v>
      </c>
      <c r="AQ11" s="501">
        <f>5654-AQ6</f>
        <v>5613</v>
      </c>
      <c r="AR11" s="501">
        <f>6258-AR6</f>
        <v>6217</v>
      </c>
      <c r="AS11" s="21">
        <f t="shared" si="4"/>
        <v>7037</v>
      </c>
      <c r="AT11" s="513">
        <f>7076-AT6</f>
        <v>7037</v>
      </c>
      <c r="AU11" s="501">
        <f>6646-AU6</f>
        <v>6607</v>
      </c>
      <c r="AV11" s="501">
        <f>6334-AV6</f>
        <v>6287</v>
      </c>
      <c r="AW11" s="501">
        <f>6836-AW6</f>
        <v>6787</v>
      </c>
      <c r="AX11" s="21">
        <f t="shared" si="5"/>
        <v>7213</v>
      </c>
      <c r="AY11" s="513">
        <f>7241-AY6</f>
        <v>7213</v>
      </c>
      <c r="AZ11" s="501">
        <f>7474-AZ6</f>
        <v>7438</v>
      </c>
      <c r="BA11" s="501">
        <f>7792-BA6</f>
        <v>7747</v>
      </c>
      <c r="BB11" s="501">
        <f>7905-BB6</f>
        <v>7867</v>
      </c>
      <c r="BC11" s="21">
        <f t="shared" si="6"/>
        <v>7705</v>
      </c>
      <c r="BD11" s="513">
        <f>7740-BD6</f>
        <v>7705</v>
      </c>
      <c r="BE11" s="501">
        <f>8023-BE6</f>
        <v>7970</v>
      </c>
      <c r="BF11" s="501">
        <f>8276-BF6</f>
        <v>8189</v>
      </c>
      <c r="BG11" s="42">
        <f>(BG72*ProForma_IS_Qtr!BG$9*4)</f>
        <v>8208.3911520000001</v>
      </c>
      <c r="BH11" s="42">
        <f>BI11</f>
        <v>8217.0835751999984</v>
      </c>
      <c r="BI11" s="22">
        <f>(BI72*ProForma_IS_Qtr!BI$9)</f>
        <v>8217.0835751999984</v>
      </c>
      <c r="BJ11" s="112"/>
      <c r="BL11" s="112"/>
      <c r="CE11" t="s">
        <v>90</v>
      </c>
      <c r="CF11" s="112">
        <f t="shared" si="7"/>
        <v>-271</v>
      </c>
    </row>
    <row r="12" spans="1:84">
      <c r="A12" s="8" t="s">
        <v>247</v>
      </c>
      <c r="B12" s="23"/>
      <c r="C12" s="23"/>
      <c r="D12" s="23"/>
      <c r="E12" s="23"/>
      <c r="F12" s="24"/>
      <c r="G12" s="23"/>
      <c r="H12" s="23"/>
      <c r="I12" s="23"/>
      <c r="J12" s="23"/>
      <c r="K12" s="24"/>
      <c r="L12" s="23"/>
      <c r="M12" s="23"/>
      <c r="N12" s="23"/>
      <c r="O12" s="23"/>
      <c r="P12" s="24"/>
      <c r="Q12" s="23"/>
      <c r="R12" s="23"/>
      <c r="S12" s="23"/>
      <c r="T12" s="23"/>
      <c r="U12" s="24"/>
      <c r="V12" s="23"/>
      <c r="W12" s="23"/>
      <c r="X12" s="23"/>
      <c r="Y12" s="23">
        <f t="shared" si="0"/>
        <v>61577</v>
      </c>
      <c r="Z12" s="24">
        <f t="shared" ref="Z12:AB12" si="11">+SUM(Z5:Z11)</f>
        <v>61577</v>
      </c>
      <c r="AA12" s="23">
        <f t="shared" si="11"/>
        <v>38875</v>
      </c>
      <c r="AB12" s="23">
        <f t="shared" si="11"/>
        <v>42274</v>
      </c>
      <c r="AC12" s="23">
        <f t="shared" ref="AC12" si="12">+SUM(AC5:AC11)</f>
        <v>43511</v>
      </c>
      <c r="AD12" s="23">
        <f t="shared" si="1"/>
        <v>43376</v>
      </c>
      <c r="AE12" s="24">
        <f t="shared" ref="AE12" si="13">+SUM(AE5:AE11)</f>
        <v>43376</v>
      </c>
      <c r="AF12" s="23">
        <f t="shared" ref="AF12" si="14">+SUM(AF5:AF11)</f>
        <v>42552</v>
      </c>
      <c r="AG12" s="23">
        <f t="shared" ref="AG12" si="15">+SUM(AG5:AG11)</f>
        <v>40879</v>
      </c>
      <c r="AH12" s="23">
        <f>+SUM(AH5:AH11)</f>
        <v>41992</v>
      </c>
      <c r="AI12" s="23">
        <f t="shared" si="2"/>
        <v>42050</v>
      </c>
      <c r="AJ12" s="24">
        <f t="shared" ref="AJ12:AL12" si="16">+SUM(AJ5:AJ11)</f>
        <v>42050</v>
      </c>
      <c r="AK12" s="23">
        <f t="shared" si="16"/>
        <v>40740</v>
      </c>
      <c r="AL12" s="23">
        <f t="shared" si="16"/>
        <v>41462</v>
      </c>
      <c r="AM12" s="23">
        <f>+SUM(AM5:AM11)</f>
        <v>41821</v>
      </c>
      <c r="AN12" s="23">
        <f t="shared" si="3"/>
        <v>42443</v>
      </c>
      <c r="AO12" s="24">
        <f t="shared" ref="AO12:AQ12" si="17">+SUM(AO5:AO11)</f>
        <v>42443</v>
      </c>
      <c r="AP12" s="23">
        <f t="shared" si="17"/>
        <v>45504</v>
      </c>
      <c r="AQ12" s="23">
        <f t="shared" si="17"/>
        <v>45915</v>
      </c>
      <c r="AR12" s="23">
        <f>+SUM(AR5:AR11)</f>
        <v>46518</v>
      </c>
      <c r="AS12" s="23">
        <f t="shared" si="4"/>
        <v>48417</v>
      </c>
      <c r="AT12" s="24">
        <f t="shared" ref="AT12:AV12" si="18">+SUM(AT5:AT11)</f>
        <v>48417</v>
      </c>
      <c r="AU12" s="23">
        <f t="shared" si="18"/>
        <v>48023</v>
      </c>
      <c r="AV12" s="23">
        <f t="shared" si="18"/>
        <v>49225</v>
      </c>
      <c r="AW12" s="23">
        <f>+SUM(AW5:AW11)</f>
        <v>51764</v>
      </c>
      <c r="AX12" s="23">
        <f t="shared" si="5"/>
        <v>51133</v>
      </c>
      <c r="AY12" s="24">
        <f t="shared" ref="AY12:BA12" si="19">+SUM(AY5:AY11)</f>
        <v>51133</v>
      </c>
      <c r="AZ12" s="23">
        <f t="shared" si="19"/>
        <v>52916</v>
      </c>
      <c r="BA12" s="23">
        <f t="shared" si="19"/>
        <v>54657</v>
      </c>
      <c r="BB12" s="23">
        <f>+SUM(BB5:BB11)</f>
        <v>57118</v>
      </c>
      <c r="BC12" s="23">
        <f t="shared" si="6"/>
        <v>60332</v>
      </c>
      <c r="BD12" s="24">
        <f t="shared" ref="BD12:BE12" si="20">+SUM(BD5:BD11)</f>
        <v>60332</v>
      </c>
      <c r="BE12" s="23">
        <f t="shared" si="20"/>
        <v>60009</v>
      </c>
      <c r="BF12" s="23">
        <f t="shared" ref="BF12:BG12" si="21">+SUM(BF5:BF11)</f>
        <v>63912</v>
      </c>
      <c r="BG12" s="23">
        <f t="shared" si="21"/>
        <v>65760.610668965455</v>
      </c>
      <c r="BH12" s="23">
        <f t="shared" ref="BH12:BI12" si="22">+SUM(BH5:BH11)</f>
        <v>65099.899339660638</v>
      </c>
      <c r="BI12" s="24">
        <f t="shared" si="22"/>
        <v>65099.899339660638</v>
      </c>
      <c r="BJ12" s="112"/>
      <c r="BL12" s="112"/>
      <c r="CF12" s="112"/>
    </row>
    <row r="13" spans="1:84">
      <c r="B13" s="21"/>
      <c r="C13" s="21"/>
      <c r="D13" s="21"/>
      <c r="E13" s="21"/>
      <c r="F13" s="22"/>
      <c r="G13" s="21"/>
      <c r="H13" s="21"/>
      <c r="I13" s="21"/>
      <c r="J13" s="21"/>
      <c r="K13" s="22"/>
      <c r="L13" s="21"/>
      <c r="M13" s="21"/>
      <c r="N13" s="21"/>
      <c r="O13" s="21"/>
      <c r="P13" s="22"/>
      <c r="Q13" s="21"/>
      <c r="R13" s="21"/>
      <c r="S13" s="21"/>
      <c r="T13" s="21"/>
      <c r="U13" s="22"/>
      <c r="V13" s="21"/>
      <c r="W13" s="21"/>
      <c r="X13" s="21"/>
      <c r="Y13" s="21"/>
      <c r="Z13" s="22"/>
      <c r="AA13" s="21"/>
      <c r="AB13" s="21"/>
      <c r="AC13" s="21"/>
      <c r="AD13" s="21"/>
      <c r="AE13" s="22"/>
      <c r="AF13" s="21"/>
      <c r="AG13" s="21"/>
      <c r="AH13" s="21"/>
      <c r="AI13" s="21"/>
      <c r="AJ13" s="22"/>
      <c r="AK13" s="21"/>
      <c r="AL13" s="21"/>
      <c r="AM13" s="21"/>
      <c r="AN13" s="21"/>
      <c r="AO13" s="22"/>
      <c r="AP13" s="21"/>
      <c r="AQ13" s="21"/>
      <c r="AR13" s="21"/>
      <c r="AS13" s="21"/>
      <c r="AT13" s="22"/>
      <c r="AU13" s="21"/>
      <c r="AV13" s="21"/>
      <c r="AW13" s="21"/>
      <c r="AX13" s="21"/>
      <c r="AY13" s="22"/>
      <c r="AZ13" s="21"/>
      <c r="BA13" s="21"/>
      <c r="BB13" s="21"/>
      <c r="BC13" s="21"/>
      <c r="BD13" s="22"/>
      <c r="BE13" s="21"/>
      <c r="BF13" s="21"/>
      <c r="BG13" s="21"/>
      <c r="BH13" s="21"/>
      <c r="BI13" s="22"/>
      <c r="BJ13" s="112"/>
      <c r="BL13" s="112"/>
      <c r="CF13" s="112"/>
    </row>
    <row r="14" spans="1:84">
      <c r="A14" s="13" t="s">
        <v>36</v>
      </c>
      <c r="B14" s="21"/>
      <c r="C14" s="21"/>
      <c r="D14" s="21"/>
      <c r="E14" s="21"/>
      <c r="F14" s="22"/>
      <c r="G14" s="21"/>
      <c r="H14" s="21"/>
      <c r="I14" s="21"/>
      <c r="J14" s="21"/>
      <c r="K14" s="22"/>
      <c r="L14" s="21"/>
      <c r="M14" s="21"/>
      <c r="N14" s="21"/>
      <c r="O14" s="21"/>
      <c r="P14" s="22"/>
      <c r="Q14" s="21"/>
      <c r="R14" s="21"/>
      <c r="S14" s="21"/>
      <c r="T14" s="21"/>
      <c r="U14" s="22"/>
      <c r="V14" s="21"/>
      <c r="W14" s="21"/>
      <c r="X14" s="21"/>
      <c r="Y14" s="21"/>
      <c r="Z14" s="22"/>
      <c r="AA14" s="21"/>
      <c r="AB14" s="21"/>
      <c r="AC14" s="21"/>
      <c r="AD14" s="21"/>
      <c r="AE14" s="22"/>
      <c r="AF14" s="21"/>
      <c r="AG14" s="21"/>
      <c r="AH14" s="21"/>
      <c r="AI14" s="21"/>
      <c r="AJ14" s="22"/>
      <c r="AK14" s="21"/>
      <c r="AL14" s="21"/>
      <c r="AM14" s="21"/>
      <c r="AN14" s="21"/>
      <c r="AO14" s="22"/>
      <c r="AP14" s="21"/>
      <c r="AQ14" s="21"/>
      <c r="AR14" s="21"/>
      <c r="AS14" s="21"/>
      <c r="AT14" s="22"/>
      <c r="AU14" s="21"/>
      <c r="AV14" s="21"/>
      <c r="AW14" s="21"/>
      <c r="AX14" s="21"/>
      <c r="AY14" s="22"/>
      <c r="AZ14" s="21"/>
      <c r="BA14" s="21"/>
      <c r="BB14" s="21"/>
      <c r="BC14" s="21"/>
      <c r="BD14" s="22"/>
      <c r="BE14" s="21"/>
      <c r="BF14" s="21"/>
      <c r="BG14" s="21"/>
      <c r="BH14" s="21"/>
      <c r="BI14" s="22"/>
      <c r="BJ14" s="112"/>
      <c r="BL14" s="112"/>
      <c r="CF14" s="112"/>
    </row>
    <row r="15" spans="1:84">
      <c r="A15" s="1" t="s">
        <v>259</v>
      </c>
      <c r="B15" s="41"/>
      <c r="C15" s="41"/>
      <c r="D15" s="41"/>
      <c r="E15" s="21"/>
      <c r="F15" s="43"/>
      <c r="G15" s="41"/>
      <c r="H15" s="41"/>
      <c r="I15" s="41"/>
      <c r="J15" s="21"/>
      <c r="K15" s="43"/>
      <c r="L15" s="41"/>
      <c r="M15" s="41"/>
      <c r="N15" s="41"/>
      <c r="O15" s="21"/>
      <c r="P15" s="43"/>
      <c r="Q15" s="41"/>
      <c r="R15" s="41"/>
      <c r="S15" s="41"/>
      <c r="T15" s="21"/>
      <c r="U15" s="43"/>
      <c r="V15" s="41"/>
      <c r="W15" s="41"/>
      <c r="X15" s="41"/>
      <c r="Y15" s="21">
        <f t="shared" ref="Y15:Y21" si="23">+Z15</f>
        <v>3463</v>
      </c>
      <c r="Z15" s="43">
        <v>3463</v>
      </c>
      <c r="AA15" s="41">
        <v>3496</v>
      </c>
      <c r="AB15" s="41">
        <v>3363</v>
      </c>
      <c r="AC15" s="41">
        <v>3314</v>
      </c>
      <c r="AD15" s="21">
        <f t="shared" ref="AD15:AD21" si="24">+AE15</f>
        <v>3144</v>
      </c>
      <c r="AE15" s="43">
        <v>3144</v>
      </c>
      <c r="AF15" s="41">
        <v>3079</v>
      </c>
      <c r="AG15" s="41">
        <v>3063</v>
      </c>
      <c r="AH15" s="41">
        <v>2960</v>
      </c>
      <c r="AI15" s="21">
        <f t="shared" ref="AI15:AI21" si="25">+AJ15</f>
        <v>2848</v>
      </c>
      <c r="AJ15" s="43">
        <v>2848</v>
      </c>
      <c r="AK15" s="41">
        <v>2766</v>
      </c>
      <c r="AL15" s="41">
        <v>2675</v>
      </c>
      <c r="AM15" s="41">
        <v>2618</v>
      </c>
      <c r="AN15" s="21">
        <f t="shared" ref="AN15:AN21" si="26">+AO15</f>
        <v>2603</v>
      </c>
      <c r="AO15" s="43">
        <v>2603</v>
      </c>
      <c r="AP15" s="41">
        <v>2543</v>
      </c>
      <c r="AQ15" s="41">
        <v>2457</v>
      </c>
      <c r="AR15" s="41">
        <v>2452</v>
      </c>
      <c r="AS15" s="21">
        <f t="shared" ref="AS15:AS21" si="27">+AT15</f>
        <v>2392</v>
      </c>
      <c r="AT15" s="43">
        <v>2392</v>
      </c>
      <c r="AU15" s="41">
        <v>2359</v>
      </c>
      <c r="AV15" s="41">
        <v>2320</v>
      </c>
      <c r="AW15" s="41">
        <v>2306</v>
      </c>
      <c r="AX15" s="21">
        <f t="shared" ref="AX15:AX21" si="28">+AY15</f>
        <v>2246</v>
      </c>
      <c r="AY15" s="43">
        <v>2246</v>
      </c>
      <c r="AZ15" s="41">
        <v>2135</v>
      </c>
      <c r="BA15" s="41">
        <v>2104</v>
      </c>
      <c r="BB15" s="41">
        <v>2071</v>
      </c>
      <c r="BC15" s="21">
        <f t="shared" ref="BC15:BC21" si="29">+BD15</f>
        <v>2132</v>
      </c>
      <c r="BD15" s="43">
        <v>2132</v>
      </c>
      <c r="BE15" s="41">
        <v>2041</v>
      </c>
      <c r="BF15" s="41">
        <v>1902</v>
      </c>
      <c r="BG15" s="42">
        <f t="shared" ref="BG15:BG16" si="30">BF15</f>
        <v>1902</v>
      </c>
      <c r="BH15" s="42">
        <f t="shared" ref="BH15:BH16" si="31">BG15</f>
        <v>1902</v>
      </c>
      <c r="BI15" s="22">
        <f t="shared" ref="BI15:BI16" si="32">BH15</f>
        <v>1902</v>
      </c>
      <c r="BJ15" s="112"/>
      <c r="BL15" s="112"/>
      <c r="CE15" t="s">
        <v>259</v>
      </c>
      <c r="CF15" s="112">
        <f t="shared" ref="CF15:CF21" si="33">AJ15-AK15</f>
        <v>82</v>
      </c>
    </row>
    <row r="16" spans="1:84">
      <c r="A16" s="1" t="s">
        <v>260</v>
      </c>
      <c r="B16" s="41"/>
      <c r="C16" s="41"/>
      <c r="D16" s="41"/>
      <c r="E16" s="21"/>
      <c r="F16" s="43"/>
      <c r="G16" s="41"/>
      <c r="H16" s="41"/>
      <c r="I16" s="41"/>
      <c r="J16" s="21"/>
      <c r="K16" s="43"/>
      <c r="L16" s="41"/>
      <c r="M16" s="41"/>
      <c r="N16" s="41"/>
      <c r="O16" s="21"/>
      <c r="P16" s="43"/>
      <c r="Q16" s="41"/>
      <c r="R16" s="41"/>
      <c r="S16" s="41"/>
      <c r="T16" s="21"/>
      <c r="U16" s="43"/>
      <c r="V16" s="41"/>
      <c r="W16" s="41"/>
      <c r="X16" s="41"/>
      <c r="Y16" s="21">
        <f t="shared" si="23"/>
        <v>884</v>
      </c>
      <c r="Z16" s="43">
        <v>884</v>
      </c>
      <c r="AA16" s="41">
        <v>1444</v>
      </c>
      <c r="AB16" s="41">
        <v>732</v>
      </c>
      <c r="AC16" s="41">
        <v>699</v>
      </c>
      <c r="AD16" s="21">
        <f t="shared" si="24"/>
        <v>0</v>
      </c>
      <c r="AE16" s="43">
        <v>0</v>
      </c>
      <c r="AF16" s="41">
        <v>0</v>
      </c>
      <c r="AG16" s="41">
        <v>0</v>
      </c>
      <c r="AH16" s="41">
        <v>0</v>
      </c>
      <c r="AI16" s="21">
        <f t="shared" si="25"/>
        <v>0</v>
      </c>
      <c r="AJ16" s="43">
        <v>0</v>
      </c>
      <c r="AK16" s="41">
        <v>0</v>
      </c>
      <c r="AL16" s="41">
        <v>0</v>
      </c>
      <c r="AM16" s="41">
        <v>0</v>
      </c>
      <c r="AN16" s="21">
        <f t="shared" si="26"/>
        <v>0</v>
      </c>
      <c r="AO16" s="43">
        <v>0</v>
      </c>
      <c r="AP16" s="41">
        <v>0</v>
      </c>
      <c r="AQ16" s="41">
        <v>0</v>
      </c>
      <c r="AR16" s="41">
        <v>0</v>
      </c>
      <c r="AS16" s="21">
        <f t="shared" si="27"/>
        <v>0</v>
      </c>
      <c r="AT16" s="43">
        <v>0</v>
      </c>
      <c r="AU16" s="41">
        <v>0</v>
      </c>
      <c r="AV16" s="41">
        <v>0</v>
      </c>
      <c r="AW16" s="41">
        <v>0</v>
      </c>
      <c r="AX16" s="21">
        <f t="shared" si="28"/>
        <v>0</v>
      </c>
      <c r="AY16" s="43">
        <v>0</v>
      </c>
      <c r="AZ16" s="41">
        <v>0</v>
      </c>
      <c r="BA16" s="41">
        <v>0</v>
      </c>
      <c r="BB16" s="41">
        <v>0</v>
      </c>
      <c r="BC16" s="21">
        <f t="shared" si="29"/>
        <v>0</v>
      </c>
      <c r="BD16" s="43">
        <v>0</v>
      </c>
      <c r="BE16" s="41">
        <v>0</v>
      </c>
      <c r="BF16" s="41">
        <v>0</v>
      </c>
      <c r="BG16" s="42">
        <f t="shared" si="30"/>
        <v>0</v>
      </c>
      <c r="BH16" s="42">
        <f t="shared" si="31"/>
        <v>0</v>
      </c>
      <c r="BI16" s="22">
        <f t="shared" si="32"/>
        <v>0</v>
      </c>
      <c r="BJ16" s="112"/>
      <c r="BL16" s="112"/>
      <c r="CE16" t="s">
        <v>260</v>
      </c>
      <c r="CF16" s="112">
        <f t="shared" si="33"/>
        <v>0</v>
      </c>
    </row>
    <row r="17" spans="1:84">
      <c r="A17" s="1" t="s">
        <v>91</v>
      </c>
      <c r="B17" s="41"/>
      <c r="C17" s="41"/>
      <c r="D17" s="41"/>
      <c r="E17" s="21"/>
      <c r="F17" s="43"/>
      <c r="G17" s="41"/>
      <c r="H17" s="41"/>
      <c r="I17" s="41"/>
      <c r="J17" s="21"/>
      <c r="K17" s="43"/>
      <c r="L17" s="41"/>
      <c r="M17" s="41"/>
      <c r="N17" s="41"/>
      <c r="O17" s="21"/>
      <c r="P17" s="43"/>
      <c r="Q17" s="41"/>
      <c r="R17" s="41"/>
      <c r="S17" s="41"/>
      <c r="T17" s="21"/>
      <c r="U17" s="43"/>
      <c r="V17" s="41"/>
      <c r="W17" s="41"/>
      <c r="X17" s="41"/>
      <c r="Y17" s="21">
        <f t="shared" si="23"/>
        <v>10322</v>
      </c>
      <c r="Z17" s="43">
        <v>10322</v>
      </c>
      <c r="AA17" s="41">
        <v>12484</v>
      </c>
      <c r="AB17" s="41">
        <v>14805</v>
      </c>
      <c r="AC17" s="41">
        <v>14730</v>
      </c>
      <c r="AD17" s="21">
        <f t="shared" si="24"/>
        <v>14962</v>
      </c>
      <c r="AE17" s="43">
        <v>14962</v>
      </c>
      <c r="AF17" s="41">
        <v>14742</v>
      </c>
      <c r="AG17" s="41">
        <v>14665</v>
      </c>
      <c r="AH17" s="41">
        <v>14517</v>
      </c>
      <c r="AI17" s="21">
        <f t="shared" si="25"/>
        <v>14972</v>
      </c>
      <c r="AJ17" s="43">
        <v>14972</v>
      </c>
      <c r="AK17" s="41">
        <v>14837</v>
      </c>
      <c r="AL17" s="41">
        <v>14741</v>
      </c>
      <c r="AM17" s="41">
        <v>14668</v>
      </c>
      <c r="AN17" s="21">
        <f t="shared" si="26"/>
        <v>15170</v>
      </c>
      <c r="AO17" s="43">
        <v>15170</v>
      </c>
      <c r="AP17" s="41">
        <v>15149</v>
      </c>
      <c r="AQ17" s="41">
        <v>15295</v>
      </c>
      <c r="AR17" s="41">
        <v>15347</v>
      </c>
      <c r="AS17" s="21">
        <f t="shared" si="27"/>
        <v>15748</v>
      </c>
      <c r="AT17" s="43">
        <v>15748</v>
      </c>
      <c r="AU17" s="41">
        <v>15638</v>
      </c>
      <c r="AV17" s="41">
        <v>15693</v>
      </c>
      <c r="AW17" s="41">
        <v>15886</v>
      </c>
      <c r="AX17" s="21">
        <f t="shared" si="28"/>
        <v>16089</v>
      </c>
      <c r="AY17" s="43">
        <v>16089</v>
      </c>
      <c r="AZ17" s="41">
        <v>16135</v>
      </c>
      <c r="BA17" s="41">
        <v>16205</v>
      </c>
      <c r="BB17" s="41">
        <v>16325</v>
      </c>
      <c r="BC17" s="21">
        <f t="shared" si="29"/>
        <v>16868</v>
      </c>
      <c r="BD17" s="43">
        <v>16868</v>
      </c>
      <c r="BE17" s="41">
        <v>16842</v>
      </c>
      <c r="BF17" s="41">
        <v>16965</v>
      </c>
      <c r="BG17" s="42">
        <f>BF17-Cash_Flow_Qtr!BG64-Cash_Flow_Qtr!BG24</f>
        <v>17180.039662499999</v>
      </c>
      <c r="BH17" s="42">
        <f>BG17-Cash_Flow_Qtr!BH64-Cash_Flow_Qtr!BH24</f>
        <v>17788.359927500002</v>
      </c>
      <c r="BI17" s="22">
        <f>BH17</f>
        <v>17788.359927500002</v>
      </c>
      <c r="BJ17" s="112"/>
      <c r="BL17" s="112"/>
      <c r="CE17" t="s">
        <v>91</v>
      </c>
      <c r="CF17" s="112">
        <f t="shared" si="33"/>
        <v>135</v>
      </c>
    </row>
    <row r="18" spans="1:84">
      <c r="A18" s="1" t="s">
        <v>329</v>
      </c>
      <c r="B18" s="41"/>
      <c r="C18" s="41"/>
      <c r="D18" s="41"/>
      <c r="E18" s="21"/>
      <c r="F18" s="43"/>
      <c r="G18" s="41"/>
      <c r="H18" s="41"/>
      <c r="I18" s="41"/>
      <c r="J18" s="21"/>
      <c r="K18" s="43"/>
      <c r="L18" s="41"/>
      <c r="M18" s="41"/>
      <c r="N18" s="41"/>
      <c r="O18" s="21"/>
      <c r="P18" s="43"/>
      <c r="Q18" s="41"/>
      <c r="R18" s="41"/>
      <c r="S18" s="41"/>
      <c r="T18" s="21"/>
      <c r="U18" s="43"/>
      <c r="V18" s="41"/>
      <c r="W18" s="41"/>
      <c r="X18" s="41"/>
      <c r="Y18" s="21">
        <f t="shared" si="23"/>
        <v>1252</v>
      </c>
      <c r="Z18" s="43">
        <v>1252</v>
      </c>
      <c r="AA18" s="41">
        <v>2624</v>
      </c>
      <c r="AB18" s="41">
        <v>2102</v>
      </c>
      <c r="AC18" s="41">
        <v>2027</v>
      </c>
      <c r="AD18" s="21">
        <f t="shared" si="24"/>
        <v>1880</v>
      </c>
      <c r="AE18" s="43">
        <v>1880</v>
      </c>
      <c r="AF18" s="41">
        <v>1913</v>
      </c>
      <c r="AG18" s="41">
        <v>1900</v>
      </c>
      <c r="AH18" s="41">
        <v>1876</v>
      </c>
      <c r="AI18" s="21">
        <f t="shared" si="25"/>
        <v>1958</v>
      </c>
      <c r="AJ18" s="43">
        <v>1958</v>
      </c>
      <c r="AK18" s="41">
        <v>1911</v>
      </c>
      <c r="AL18" s="41">
        <v>1866</v>
      </c>
      <c r="AM18" s="41">
        <v>1802</v>
      </c>
      <c r="AN18" s="21">
        <f t="shared" si="26"/>
        <v>1829</v>
      </c>
      <c r="AO18" s="43">
        <v>1829</v>
      </c>
      <c r="AP18" s="41">
        <v>1844</v>
      </c>
      <c r="AQ18" s="41">
        <v>1812</v>
      </c>
      <c r="AR18" s="41">
        <v>1755</v>
      </c>
      <c r="AS18" s="21">
        <f t="shared" si="27"/>
        <v>1638</v>
      </c>
      <c r="AT18" s="43">
        <v>1638</v>
      </c>
      <c r="AU18" s="41">
        <v>1639</v>
      </c>
      <c r="AV18" s="41">
        <v>1664</v>
      </c>
      <c r="AW18" s="41">
        <v>1846</v>
      </c>
      <c r="AX18" s="21">
        <f t="shared" si="28"/>
        <v>1864</v>
      </c>
      <c r="AY18" s="43">
        <v>1864</v>
      </c>
      <c r="AZ18" s="41">
        <v>1899</v>
      </c>
      <c r="BA18" s="41">
        <v>1869</v>
      </c>
      <c r="BB18" s="41">
        <v>1899</v>
      </c>
      <c r="BC18" s="21">
        <f t="shared" si="29"/>
        <v>1887</v>
      </c>
      <c r="BD18" s="43">
        <v>1887</v>
      </c>
      <c r="BE18" s="41">
        <v>1773</v>
      </c>
      <c r="BF18" s="41">
        <v>1727</v>
      </c>
      <c r="BG18" s="42">
        <f t="shared" ref="BG18" si="34">BF18</f>
        <v>1727</v>
      </c>
      <c r="BH18" s="42">
        <f t="shared" ref="BH18" si="35">BG18</f>
        <v>1727</v>
      </c>
      <c r="BI18" s="22">
        <f>BH18</f>
        <v>1727</v>
      </c>
      <c r="BJ18" s="112"/>
      <c r="BL18" s="112"/>
      <c r="CE18" t="s">
        <v>329</v>
      </c>
      <c r="CF18" s="112">
        <f t="shared" si="33"/>
        <v>47</v>
      </c>
    </row>
    <row r="19" spans="1:84">
      <c r="A19" s="1" t="s">
        <v>34</v>
      </c>
      <c r="B19" s="41"/>
      <c r="C19" s="41"/>
      <c r="D19" s="41"/>
      <c r="E19" s="21"/>
      <c r="F19" s="43"/>
      <c r="G19" s="41"/>
      <c r="H19" s="41"/>
      <c r="I19" s="41"/>
      <c r="J19" s="21"/>
      <c r="K19" s="43"/>
      <c r="L19" s="41"/>
      <c r="M19" s="41"/>
      <c r="N19" s="41"/>
      <c r="O19" s="21"/>
      <c r="P19" s="43"/>
      <c r="Q19" s="41"/>
      <c r="R19" s="41"/>
      <c r="S19" s="41"/>
      <c r="T19" s="21"/>
      <c r="U19" s="43"/>
      <c r="V19" s="41"/>
      <c r="W19" s="41"/>
      <c r="X19" s="41"/>
      <c r="Y19" s="21">
        <f t="shared" si="23"/>
        <v>36609</v>
      </c>
      <c r="Z19" s="43">
        <v>36609</v>
      </c>
      <c r="AA19" s="41">
        <v>47481</v>
      </c>
      <c r="AB19" s="41">
        <v>53269</v>
      </c>
      <c r="AC19" s="41">
        <v>53524</v>
      </c>
      <c r="AD19" s="21">
        <f t="shared" si="24"/>
        <v>54285</v>
      </c>
      <c r="AE19" s="43">
        <v>54285</v>
      </c>
      <c r="AF19" s="41">
        <v>54265</v>
      </c>
      <c r="AG19" s="41">
        <v>54394</v>
      </c>
      <c r="AH19" s="41">
        <v>53789</v>
      </c>
      <c r="AI19" s="21">
        <f t="shared" si="25"/>
        <v>54436</v>
      </c>
      <c r="AJ19" s="43">
        <v>54436</v>
      </c>
      <c r="AK19" s="41">
        <v>54316</v>
      </c>
      <c r="AL19" s="41">
        <v>53806</v>
      </c>
      <c r="AM19" s="41">
        <v>53168</v>
      </c>
      <c r="AN19" s="21">
        <f t="shared" si="26"/>
        <v>53840</v>
      </c>
      <c r="AO19" s="43">
        <v>53840</v>
      </c>
      <c r="AP19" s="41">
        <v>53904</v>
      </c>
      <c r="AQ19" s="41">
        <v>54122</v>
      </c>
      <c r="AR19" s="41">
        <v>53883</v>
      </c>
      <c r="AS19" s="21">
        <f t="shared" si="27"/>
        <v>53699</v>
      </c>
      <c r="AT19" s="43">
        <v>53699</v>
      </c>
      <c r="AU19" s="41">
        <v>53644</v>
      </c>
      <c r="AV19" s="41">
        <v>53347</v>
      </c>
      <c r="AW19" s="41">
        <v>53759</v>
      </c>
      <c r="AX19" s="21">
        <f t="shared" si="28"/>
        <v>52789</v>
      </c>
      <c r="AY19" s="43">
        <v>52789</v>
      </c>
      <c r="AZ19" s="41">
        <v>53045</v>
      </c>
      <c r="BA19" s="41">
        <v>53327</v>
      </c>
      <c r="BB19" s="41">
        <v>53311</v>
      </c>
      <c r="BC19" s="21">
        <f t="shared" si="29"/>
        <v>53343</v>
      </c>
      <c r="BD19" s="43">
        <v>53343</v>
      </c>
      <c r="BE19" s="41">
        <v>53276</v>
      </c>
      <c r="BF19" s="41">
        <v>52928</v>
      </c>
      <c r="BG19" s="42">
        <f>BF19-Cash_Flow_Qtr!BG27-Cash_Flow_Qtr!BG25</f>
        <v>52928</v>
      </c>
      <c r="BH19" s="42">
        <f>BG19-Cash_Flow_Qtr!BH27-Cash_Flow_Qtr!BH25</f>
        <v>52308</v>
      </c>
      <c r="BI19" s="22">
        <f>BH19</f>
        <v>52308</v>
      </c>
      <c r="BJ19" s="112"/>
      <c r="BL19" s="112"/>
      <c r="CE19" t="s">
        <v>34</v>
      </c>
      <c r="CF19" s="112">
        <f t="shared" si="33"/>
        <v>120</v>
      </c>
    </row>
    <row r="20" spans="1:84">
      <c r="A20" s="1" t="s">
        <v>92</v>
      </c>
      <c r="B20" s="41"/>
      <c r="C20" s="41"/>
      <c r="D20" s="41"/>
      <c r="E20" s="21"/>
      <c r="F20" s="43"/>
      <c r="G20" s="41"/>
      <c r="H20" s="41"/>
      <c r="I20" s="41"/>
      <c r="J20" s="21"/>
      <c r="K20" s="43"/>
      <c r="L20" s="41"/>
      <c r="M20" s="41"/>
      <c r="N20" s="41"/>
      <c r="O20" s="21"/>
      <c r="P20" s="43"/>
      <c r="Q20" s="41"/>
      <c r="R20" s="41"/>
      <c r="S20" s="41"/>
      <c r="T20" s="21"/>
      <c r="U20" s="43"/>
      <c r="V20" s="41"/>
      <c r="W20" s="41"/>
      <c r="X20" s="41"/>
      <c r="Y20" s="21">
        <f t="shared" si="23"/>
        <v>24473</v>
      </c>
      <c r="Z20" s="43">
        <v>24473</v>
      </c>
      <c r="AA20" s="41">
        <v>25600</v>
      </c>
      <c r="AB20" s="41">
        <v>42003</v>
      </c>
      <c r="AC20" s="41">
        <v>41564</v>
      </c>
      <c r="AD20" s="21">
        <f t="shared" si="24"/>
        <v>40539</v>
      </c>
      <c r="AE20" s="43">
        <v>40539</v>
      </c>
      <c r="AF20" s="41">
        <v>39999</v>
      </c>
      <c r="AG20" s="41">
        <v>39523</v>
      </c>
      <c r="AH20" s="41">
        <v>38842</v>
      </c>
      <c r="AI20" s="21">
        <f t="shared" si="25"/>
        <v>38516</v>
      </c>
      <c r="AJ20" s="43">
        <v>38516</v>
      </c>
      <c r="AK20" s="41">
        <v>38118</v>
      </c>
      <c r="AL20" s="41">
        <v>37562</v>
      </c>
      <c r="AM20" s="41">
        <v>37046</v>
      </c>
      <c r="AN20" s="21">
        <f t="shared" si="26"/>
        <v>36823</v>
      </c>
      <c r="AO20" s="43">
        <v>36823</v>
      </c>
      <c r="AP20" s="41">
        <v>36477</v>
      </c>
      <c r="AQ20" s="41">
        <v>36234</v>
      </c>
      <c r="AR20" s="41">
        <v>35865</v>
      </c>
      <c r="AS20" s="21">
        <f t="shared" si="27"/>
        <v>35399</v>
      </c>
      <c r="AT20" s="43">
        <v>35399</v>
      </c>
      <c r="AU20" s="41">
        <v>34960</v>
      </c>
      <c r="AV20" s="41">
        <v>34503</v>
      </c>
      <c r="AW20" s="41">
        <v>34159</v>
      </c>
      <c r="AX20" s="21">
        <f t="shared" si="28"/>
        <v>33443</v>
      </c>
      <c r="AY20" s="43">
        <v>33443</v>
      </c>
      <c r="AZ20" s="41">
        <v>33116</v>
      </c>
      <c r="BA20" s="41">
        <v>32748</v>
      </c>
      <c r="BB20" s="41">
        <v>32260</v>
      </c>
      <c r="BC20" s="21">
        <f t="shared" si="29"/>
        <v>31845</v>
      </c>
      <c r="BD20" s="43">
        <v>31845</v>
      </c>
      <c r="BE20" s="41">
        <v>31482</v>
      </c>
      <c r="BF20" s="41">
        <v>31043</v>
      </c>
      <c r="BG20" s="42">
        <f>BF20-Cash_Flow_Qtr!BG29-Cash_Flow_Qtr!BG66</f>
        <v>30551.5</v>
      </c>
      <c r="BH20" s="42">
        <f>BG20-Cash_Flow_Qtr!BH29-Cash_Flow_Qtr!BH66</f>
        <v>30060</v>
      </c>
      <c r="BI20" s="22">
        <f>BH20</f>
        <v>30060</v>
      </c>
      <c r="BJ20" s="112"/>
      <c r="BL20" s="112"/>
      <c r="CE20" t="s">
        <v>92</v>
      </c>
      <c r="CF20" s="112">
        <f t="shared" si="33"/>
        <v>398</v>
      </c>
    </row>
    <row r="21" spans="1:84">
      <c r="A21" s="1" t="s">
        <v>93</v>
      </c>
      <c r="B21" s="41"/>
      <c r="C21" s="41"/>
      <c r="D21" s="41"/>
      <c r="E21" s="21"/>
      <c r="F21" s="43"/>
      <c r="G21" s="41"/>
      <c r="H21" s="41"/>
      <c r="I21" s="41"/>
      <c r="J21" s="21"/>
      <c r="K21" s="43"/>
      <c r="L21" s="41"/>
      <c r="M21" s="41"/>
      <c r="N21" s="41"/>
      <c r="O21" s="21"/>
      <c r="P21" s="43"/>
      <c r="Q21" s="41"/>
      <c r="R21" s="41"/>
      <c r="S21" s="41"/>
      <c r="T21" s="21"/>
      <c r="U21" s="43"/>
      <c r="V21" s="41"/>
      <c r="W21" s="41"/>
      <c r="X21" s="41"/>
      <c r="Y21" s="21">
        <f t="shared" si="23"/>
        <v>1035</v>
      </c>
      <c r="Z21" s="43">
        <v>1035</v>
      </c>
      <c r="AA21" s="41">
        <v>7568</v>
      </c>
      <c r="AB21" s="41">
        <v>2969</v>
      </c>
      <c r="AC21" s="41">
        <v>3030</v>
      </c>
      <c r="AD21" s="21">
        <f t="shared" si="24"/>
        <v>3967</v>
      </c>
      <c r="AE21" s="43">
        <v>3967</v>
      </c>
      <c r="AF21" s="41">
        <v>4058</v>
      </c>
      <c r="AG21" s="41">
        <v>4414</v>
      </c>
      <c r="AH21" s="41">
        <v>4796</v>
      </c>
      <c r="AI21" s="21">
        <f t="shared" si="25"/>
        <v>6624</v>
      </c>
      <c r="AJ21" s="43">
        <v>6624</v>
      </c>
      <c r="AK21" s="41">
        <v>6678</v>
      </c>
      <c r="AL21" s="41">
        <v>6905</v>
      </c>
      <c r="AM21" s="41">
        <v>7102</v>
      </c>
      <c r="AN21" s="21">
        <f t="shared" si="26"/>
        <v>6156</v>
      </c>
      <c r="AO21" s="43">
        <v>6156</v>
      </c>
      <c r="AP21" s="41">
        <v>6215</v>
      </c>
      <c r="AQ21" s="41">
        <v>6326</v>
      </c>
      <c r="AR21" s="41">
        <v>6623</v>
      </c>
      <c r="AS21" s="21">
        <f t="shared" si="27"/>
        <v>4576</v>
      </c>
      <c r="AT21" s="43">
        <v>4576</v>
      </c>
      <c r="AU21" s="41">
        <v>3924</v>
      </c>
      <c r="AV21" s="41">
        <v>4417</v>
      </c>
      <c r="AW21" s="41">
        <v>5102</v>
      </c>
      <c r="AX21" s="21">
        <f t="shared" si="28"/>
        <v>5297</v>
      </c>
      <c r="AY21" s="43">
        <v>5297</v>
      </c>
      <c r="AZ21" s="41">
        <v>5618</v>
      </c>
      <c r="BA21" s="41">
        <v>6229</v>
      </c>
      <c r="BB21" s="41">
        <v>5688</v>
      </c>
      <c r="BC21" s="21">
        <f t="shared" si="29"/>
        <v>4672</v>
      </c>
      <c r="BD21" s="43">
        <v>4672</v>
      </c>
      <c r="BE21" s="41">
        <v>5008</v>
      </c>
      <c r="BF21" s="41">
        <v>5495</v>
      </c>
      <c r="BG21" s="42">
        <f>BF21-Cash_Flow_Qtr!BG26</f>
        <v>5495</v>
      </c>
      <c r="BH21" s="42">
        <f>BG21-Cash_Flow_Qtr!BH26-Cash_Flow_Qtr!BH31</f>
        <v>5495</v>
      </c>
      <c r="BI21" s="22">
        <f>BH21</f>
        <v>5495</v>
      </c>
      <c r="BJ21" s="112"/>
      <c r="BL21" s="112"/>
      <c r="CE21" t="s">
        <v>93</v>
      </c>
      <c r="CF21" s="112">
        <f t="shared" si="33"/>
        <v>-54</v>
      </c>
    </row>
    <row r="22" spans="1:84">
      <c r="A22" s="8" t="s">
        <v>94</v>
      </c>
      <c r="B22" s="23"/>
      <c r="C22" s="23"/>
      <c r="D22" s="23"/>
      <c r="E22" s="23"/>
      <c r="F22" s="24"/>
      <c r="G22" s="23"/>
      <c r="H22" s="23"/>
      <c r="I22" s="23"/>
      <c r="J22" s="23"/>
      <c r="K22" s="24"/>
      <c r="L22" s="23"/>
      <c r="M22" s="23"/>
      <c r="N22" s="23"/>
      <c r="O22" s="23"/>
      <c r="P22" s="24"/>
      <c r="Q22" s="23"/>
      <c r="R22" s="23"/>
      <c r="S22" s="23"/>
      <c r="T22" s="23"/>
      <c r="U22" s="24"/>
      <c r="V22" s="23"/>
      <c r="W22" s="23"/>
      <c r="X22" s="23"/>
      <c r="Y22" s="23">
        <f t="shared" ref="Y22:AB22" si="36">SUM(Y15:Y21)</f>
        <v>78038</v>
      </c>
      <c r="Z22" s="24">
        <f t="shared" si="36"/>
        <v>78038</v>
      </c>
      <c r="AA22" s="23">
        <f t="shared" ref="AA22" si="37">SUM(AA15:AA21)</f>
        <v>100697</v>
      </c>
      <c r="AB22" s="23">
        <f t="shared" si="36"/>
        <v>119243</v>
      </c>
      <c r="AC22" s="23">
        <f t="shared" ref="AC22:AD22" si="38">SUM(AC15:AC21)</f>
        <v>118888</v>
      </c>
      <c r="AD22" s="23">
        <f t="shared" si="38"/>
        <v>118777</v>
      </c>
      <c r="AE22" s="24">
        <f t="shared" ref="AE22:AF22" si="39">SUM(AE15:AE21)</f>
        <v>118777</v>
      </c>
      <c r="AF22" s="23">
        <f t="shared" si="39"/>
        <v>118056</v>
      </c>
      <c r="AG22" s="23">
        <f t="shared" ref="AG22:AK22" si="40">SUM(AG15:AG21)</f>
        <v>117959</v>
      </c>
      <c r="AH22" s="23">
        <f t="shared" si="40"/>
        <v>116780</v>
      </c>
      <c r="AI22" s="23">
        <f t="shared" si="40"/>
        <v>119354</v>
      </c>
      <c r="AJ22" s="24">
        <f t="shared" si="40"/>
        <v>119354</v>
      </c>
      <c r="AK22" s="23">
        <f t="shared" si="40"/>
        <v>118626</v>
      </c>
      <c r="AL22" s="23">
        <f t="shared" ref="AL22:AP22" si="41">SUM(AL15:AL21)</f>
        <v>117555</v>
      </c>
      <c r="AM22" s="23">
        <f t="shared" si="41"/>
        <v>116404</v>
      </c>
      <c r="AN22" s="23">
        <f t="shared" si="41"/>
        <v>116421</v>
      </c>
      <c r="AO22" s="24">
        <f t="shared" si="41"/>
        <v>116421</v>
      </c>
      <c r="AP22" s="23">
        <f t="shared" si="41"/>
        <v>116132</v>
      </c>
      <c r="AQ22" s="23">
        <f t="shared" ref="AQ22:AU22" si="42">SUM(AQ15:AQ21)</f>
        <v>116246</v>
      </c>
      <c r="AR22" s="23">
        <f t="shared" si="42"/>
        <v>115925</v>
      </c>
      <c r="AS22" s="23">
        <f t="shared" si="42"/>
        <v>113452</v>
      </c>
      <c r="AT22" s="24">
        <f t="shared" si="42"/>
        <v>113452</v>
      </c>
      <c r="AU22" s="23">
        <f t="shared" si="42"/>
        <v>112164</v>
      </c>
      <c r="AV22" s="23">
        <f t="shared" ref="AV22:AZ22" si="43">SUM(AV15:AV21)</f>
        <v>111944</v>
      </c>
      <c r="AW22" s="23">
        <f t="shared" si="43"/>
        <v>113058</v>
      </c>
      <c r="AX22" s="23">
        <f t="shared" si="43"/>
        <v>111728</v>
      </c>
      <c r="AY22" s="24">
        <f t="shared" si="43"/>
        <v>111728</v>
      </c>
      <c r="AZ22" s="23">
        <f t="shared" si="43"/>
        <v>111948</v>
      </c>
      <c r="BA22" s="23">
        <f t="shared" ref="BA22:BE22" si="44">SUM(BA15:BA21)</f>
        <v>112482</v>
      </c>
      <c r="BB22" s="23">
        <f t="shared" si="44"/>
        <v>111554</v>
      </c>
      <c r="BC22" s="23">
        <f t="shared" si="44"/>
        <v>110747</v>
      </c>
      <c r="BD22" s="24">
        <f t="shared" si="44"/>
        <v>110747</v>
      </c>
      <c r="BE22" s="23">
        <f t="shared" si="44"/>
        <v>110422</v>
      </c>
      <c r="BF22" s="23">
        <f t="shared" ref="BF22:BG22" si="45">SUM(BF15:BF21)</f>
        <v>110060</v>
      </c>
      <c r="BG22" s="23">
        <f t="shared" si="45"/>
        <v>109783.5396625</v>
      </c>
      <c r="BH22" s="23">
        <f t="shared" ref="BH22:BI22" si="46">SUM(BH15:BH21)</f>
        <v>109280.3599275</v>
      </c>
      <c r="BI22" s="24">
        <f t="shared" si="46"/>
        <v>109280.3599275</v>
      </c>
      <c r="BJ22" s="112"/>
      <c r="BL22" s="112"/>
      <c r="CF22" s="112"/>
    </row>
    <row r="23" spans="1:84">
      <c r="B23" s="21"/>
      <c r="C23" s="21"/>
      <c r="D23" s="21"/>
      <c r="E23" s="21"/>
      <c r="F23" s="22"/>
      <c r="G23" s="21"/>
      <c r="H23" s="21"/>
      <c r="I23" s="21"/>
      <c r="J23" s="21"/>
      <c r="K23" s="22"/>
      <c r="L23" s="21"/>
      <c r="M23" s="21"/>
      <c r="N23" s="21"/>
      <c r="O23" s="21"/>
      <c r="P23" s="22"/>
      <c r="Q23" s="21"/>
      <c r="R23" s="21"/>
      <c r="S23" s="21"/>
      <c r="T23" s="21"/>
      <c r="U23" s="22"/>
      <c r="V23" s="21"/>
      <c r="W23" s="21"/>
      <c r="X23" s="21"/>
      <c r="Y23" s="21"/>
      <c r="Z23" s="22"/>
      <c r="AA23" s="21"/>
      <c r="AB23" s="21"/>
      <c r="AC23" s="21"/>
      <c r="AD23" s="21"/>
      <c r="AE23" s="22"/>
      <c r="AF23" s="21"/>
      <c r="AG23" s="21"/>
      <c r="AH23" s="21"/>
      <c r="AI23" s="21"/>
      <c r="AJ23" s="22"/>
      <c r="AK23" s="21"/>
      <c r="AL23" s="21"/>
      <c r="AM23" s="21"/>
      <c r="AN23" s="21"/>
      <c r="AO23" s="22"/>
      <c r="AP23" s="21"/>
      <c r="AQ23" s="21"/>
      <c r="AR23" s="21"/>
      <c r="AS23" s="21"/>
      <c r="AT23" s="22"/>
      <c r="AU23" s="21"/>
      <c r="AV23" s="21"/>
      <c r="AW23" s="21"/>
      <c r="AX23" s="21"/>
      <c r="AY23" s="22"/>
      <c r="AZ23" s="21"/>
      <c r="BA23" s="21"/>
      <c r="BB23" s="21"/>
      <c r="BC23" s="21"/>
      <c r="BD23" s="22"/>
      <c r="BE23" s="21"/>
      <c r="BF23" s="21"/>
      <c r="BG23" s="21"/>
      <c r="BH23" s="21"/>
      <c r="BI23" s="22"/>
      <c r="BJ23" s="112"/>
      <c r="BL23" s="112"/>
      <c r="CF23" s="112"/>
    </row>
    <row r="24" spans="1:84">
      <c r="A24" s="8" t="s">
        <v>95</v>
      </c>
      <c r="B24" s="23"/>
      <c r="C24" s="23"/>
      <c r="D24" s="23"/>
      <c r="E24" s="23"/>
      <c r="F24" s="24"/>
      <c r="G24" s="23"/>
      <c r="H24" s="23"/>
      <c r="I24" s="23"/>
      <c r="J24" s="23"/>
      <c r="K24" s="24"/>
      <c r="L24" s="23"/>
      <c r="M24" s="23"/>
      <c r="N24" s="23"/>
      <c r="O24" s="23"/>
      <c r="P24" s="24"/>
      <c r="Q24" s="23"/>
      <c r="R24" s="23"/>
      <c r="S24" s="23"/>
      <c r="T24" s="23"/>
      <c r="U24" s="24"/>
      <c r="V24" s="23"/>
      <c r="W24" s="23"/>
      <c r="X24" s="23"/>
      <c r="Y24" s="23">
        <f>+Z24</f>
        <v>139615</v>
      </c>
      <c r="Z24" s="24">
        <f t="shared" ref="Z24:AF24" si="47">+Z22+Z12</f>
        <v>139615</v>
      </c>
      <c r="AA24" s="23">
        <f t="shared" ref="AA24" si="48">+AA22+AA12</f>
        <v>139572</v>
      </c>
      <c r="AB24" s="23">
        <f t="shared" si="47"/>
        <v>161517</v>
      </c>
      <c r="AC24" s="23">
        <f>+AC22+AC12</f>
        <v>162399</v>
      </c>
      <c r="AD24" s="23">
        <f>+AE24</f>
        <v>162153</v>
      </c>
      <c r="AE24" s="24">
        <f t="shared" si="47"/>
        <v>162153</v>
      </c>
      <c r="AF24" s="23">
        <f t="shared" si="47"/>
        <v>160608</v>
      </c>
      <c r="AG24" s="23">
        <f t="shared" ref="AG24" si="49">+AG22+AG12</f>
        <v>158838</v>
      </c>
      <c r="AH24" s="23">
        <f>+AH22+AH12</f>
        <v>158772</v>
      </c>
      <c r="AI24" s="23">
        <f>+AJ24</f>
        <v>161404</v>
      </c>
      <c r="AJ24" s="24">
        <f t="shared" ref="AJ24:AL24" si="50">+AJ22+AJ12</f>
        <v>161404</v>
      </c>
      <c r="AK24" s="23">
        <f t="shared" si="50"/>
        <v>159366</v>
      </c>
      <c r="AL24" s="23">
        <f t="shared" si="50"/>
        <v>159017</v>
      </c>
      <c r="AM24" s="23">
        <f>+AM22+AM12</f>
        <v>158225</v>
      </c>
      <c r="AN24" s="23">
        <f>+AO24</f>
        <v>158864</v>
      </c>
      <c r="AO24" s="24">
        <f t="shared" ref="AO24:AQ24" si="51">+AO22+AO12</f>
        <v>158864</v>
      </c>
      <c r="AP24" s="23">
        <f t="shared" si="51"/>
        <v>161636</v>
      </c>
      <c r="AQ24" s="23">
        <f t="shared" si="51"/>
        <v>162161</v>
      </c>
      <c r="AR24" s="23">
        <f>+AR22+AR12</f>
        <v>162443</v>
      </c>
      <c r="AS24" s="23">
        <f>+AT24</f>
        <v>161869</v>
      </c>
      <c r="AT24" s="24">
        <f t="shared" ref="AT24:AV24" si="52">+AT22+AT12</f>
        <v>161869</v>
      </c>
      <c r="AU24" s="23">
        <f t="shared" si="52"/>
        <v>160187</v>
      </c>
      <c r="AV24" s="23">
        <f t="shared" si="52"/>
        <v>161169</v>
      </c>
      <c r="AW24" s="23">
        <f>+AW22+AW12</f>
        <v>164822</v>
      </c>
      <c r="AX24" s="23">
        <f>+AY24</f>
        <v>162861</v>
      </c>
      <c r="AY24" s="24">
        <f t="shared" ref="AY24:BA24" si="53">+AY22+AY12</f>
        <v>162861</v>
      </c>
      <c r="AZ24" s="23">
        <f t="shared" si="53"/>
        <v>164864</v>
      </c>
      <c r="BA24" s="23">
        <f t="shared" si="53"/>
        <v>167139</v>
      </c>
      <c r="BB24" s="23">
        <f>+BB22+BB12</f>
        <v>168672</v>
      </c>
      <c r="BC24" s="23">
        <f>+BD24</f>
        <v>171079</v>
      </c>
      <c r="BD24" s="24">
        <f t="shared" ref="BD24:BE24" si="54">+BD22+BD12</f>
        <v>171079</v>
      </c>
      <c r="BE24" s="23">
        <f t="shared" si="54"/>
        <v>170431</v>
      </c>
      <c r="BF24" s="23">
        <f t="shared" ref="BF24:BG24" si="55">+BF22+BF12</f>
        <v>173972</v>
      </c>
      <c r="BG24" s="23">
        <f t="shared" si="55"/>
        <v>175544.15033146547</v>
      </c>
      <c r="BH24" s="23">
        <f t="shared" ref="BH24:BI24" si="56">+BH22+BH12</f>
        <v>174380.25926716064</v>
      </c>
      <c r="BI24" s="24">
        <f t="shared" si="56"/>
        <v>174380.25926716064</v>
      </c>
      <c r="BJ24" s="112"/>
      <c r="BL24" s="112"/>
      <c r="CF24" s="112"/>
    </row>
    <row r="25" spans="1:84">
      <c r="B25" s="21"/>
      <c r="C25" s="21"/>
      <c r="D25" s="21"/>
      <c r="E25" s="21"/>
      <c r="F25" s="22"/>
      <c r="G25" s="21"/>
      <c r="H25" s="21"/>
      <c r="I25" s="21"/>
      <c r="J25" s="21"/>
      <c r="K25" s="22"/>
      <c r="L25" s="21"/>
      <c r="M25" s="21"/>
      <c r="N25" s="21"/>
      <c r="O25" s="21"/>
      <c r="P25" s="22"/>
      <c r="Q25" s="21"/>
      <c r="R25" s="21"/>
      <c r="S25" s="21"/>
      <c r="T25" s="21"/>
      <c r="U25" s="22"/>
      <c r="V25" s="21"/>
      <c r="W25" s="21"/>
      <c r="X25" s="21"/>
      <c r="Y25" s="21"/>
      <c r="Z25" s="22"/>
      <c r="AA25" s="21"/>
      <c r="AB25" s="21"/>
      <c r="AC25" s="21"/>
      <c r="AD25" s="21"/>
      <c r="AE25" s="22"/>
      <c r="AF25" s="21"/>
      <c r="AG25" s="21"/>
      <c r="AH25" s="21"/>
      <c r="AI25" s="21"/>
      <c r="AJ25" s="22"/>
      <c r="AK25" s="21"/>
      <c r="AL25" s="21"/>
      <c r="AM25" s="21"/>
      <c r="AN25" s="21"/>
      <c r="AO25" s="22"/>
      <c r="AP25" s="21"/>
      <c r="AQ25" s="21"/>
      <c r="AR25" s="21"/>
      <c r="AS25" s="21"/>
      <c r="AT25" s="22"/>
      <c r="AU25" s="21"/>
      <c r="AV25" s="21"/>
      <c r="AW25" s="21"/>
      <c r="AX25" s="21"/>
      <c r="AY25" s="22"/>
      <c r="AZ25" s="21"/>
      <c r="BA25" s="21"/>
      <c r="BB25" s="21"/>
      <c r="BC25" s="21"/>
      <c r="BD25" s="22"/>
      <c r="BE25" s="21"/>
      <c r="BF25" s="21"/>
      <c r="BG25" s="21"/>
      <c r="BH25" s="21"/>
      <c r="BI25" s="22"/>
      <c r="BJ25" s="112"/>
    </row>
    <row r="26" spans="1:84">
      <c r="A26" s="4" t="s">
        <v>35</v>
      </c>
      <c r="B26" s="21"/>
      <c r="C26" s="21"/>
      <c r="D26" s="21"/>
      <c r="E26" s="21"/>
      <c r="F26" s="22"/>
      <c r="G26" s="21"/>
      <c r="H26" s="21"/>
      <c r="I26" s="21"/>
      <c r="J26" s="21"/>
      <c r="K26" s="22"/>
      <c r="L26" s="21"/>
      <c r="M26" s="21"/>
      <c r="N26" s="21"/>
      <c r="O26" s="21"/>
      <c r="P26" s="22"/>
      <c r="Q26" s="21"/>
      <c r="R26" s="21"/>
      <c r="S26" s="21"/>
      <c r="T26" s="21"/>
      <c r="U26" s="22"/>
      <c r="V26" s="21"/>
      <c r="W26" s="21"/>
      <c r="X26" s="21"/>
      <c r="Y26" s="21"/>
      <c r="Z26" s="22"/>
      <c r="AA26" s="21"/>
      <c r="AB26" s="21"/>
      <c r="AC26" s="21"/>
      <c r="AD26" s="21"/>
      <c r="AE26" s="22"/>
      <c r="AF26" s="21"/>
      <c r="AG26" s="21"/>
      <c r="AH26" s="21"/>
      <c r="AI26" s="21"/>
      <c r="AJ26" s="22"/>
      <c r="AK26" s="21"/>
      <c r="AL26" s="21"/>
      <c r="AM26" s="21"/>
      <c r="AN26" s="21"/>
      <c r="AO26" s="22"/>
      <c r="AP26" s="21"/>
      <c r="AQ26" s="21"/>
      <c r="AR26" s="21"/>
      <c r="AS26" s="21"/>
      <c r="AT26" s="22"/>
      <c r="AU26" s="21"/>
      <c r="AV26" s="21"/>
      <c r="AW26" s="21"/>
      <c r="AX26" s="21"/>
      <c r="AY26" s="22"/>
      <c r="AZ26" s="21"/>
      <c r="BA26" s="21"/>
      <c r="BB26" s="21"/>
      <c r="BC26" s="21"/>
      <c r="BD26" s="22"/>
      <c r="BE26" s="21"/>
      <c r="BF26" s="21"/>
      <c r="BG26" s="21"/>
      <c r="BH26" s="21"/>
      <c r="BI26" s="22"/>
      <c r="BJ26" s="112"/>
    </row>
    <row r="27" spans="1:84">
      <c r="A27" t="s">
        <v>96</v>
      </c>
      <c r="B27" s="21"/>
      <c r="C27" s="21"/>
      <c r="D27" s="21"/>
      <c r="E27" s="21"/>
      <c r="F27" s="22"/>
      <c r="G27" s="21"/>
      <c r="H27" s="21"/>
      <c r="I27" s="21"/>
      <c r="J27" s="21"/>
      <c r="K27" s="22"/>
      <c r="L27" s="21"/>
      <c r="M27" s="21"/>
      <c r="N27" s="21"/>
      <c r="O27" s="21"/>
      <c r="P27" s="22"/>
      <c r="Q27" s="21"/>
      <c r="R27" s="21"/>
      <c r="S27" s="21"/>
      <c r="T27" s="21"/>
      <c r="U27" s="22"/>
      <c r="V27" s="21"/>
      <c r="W27" s="21"/>
      <c r="X27" s="21"/>
      <c r="Y27" s="21"/>
      <c r="Z27" s="22"/>
      <c r="AA27" s="21"/>
      <c r="AB27" s="21"/>
      <c r="AC27" s="21"/>
      <c r="AD27" s="21"/>
      <c r="AE27" s="22"/>
      <c r="AF27" s="21"/>
      <c r="AG27" s="21"/>
      <c r="AH27" s="21"/>
      <c r="AI27" s="21"/>
      <c r="AJ27" s="22"/>
      <c r="AK27" s="21"/>
      <c r="AL27" s="21"/>
      <c r="AM27" s="21"/>
      <c r="AN27" s="21"/>
      <c r="AO27" s="22"/>
      <c r="AP27" s="21"/>
      <c r="AQ27" s="21"/>
      <c r="AR27" s="21"/>
      <c r="AS27" s="21"/>
      <c r="AT27" s="22"/>
      <c r="AU27" s="21"/>
      <c r="AV27" s="21"/>
      <c r="AW27" s="21"/>
      <c r="AX27" s="21"/>
      <c r="AY27" s="22"/>
      <c r="AZ27" s="21"/>
      <c r="BA27" s="21"/>
      <c r="BB27" s="21"/>
      <c r="BC27" s="21"/>
      <c r="BD27" s="22"/>
      <c r="BE27" s="21"/>
      <c r="BF27" s="21"/>
      <c r="BG27" s="21"/>
      <c r="BH27" s="21"/>
      <c r="BI27" s="22"/>
      <c r="BJ27" s="112"/>
    </row>
    <row r="28" spans="1:84">
      <c r="A28" s="1" t="s">
        <v>267</v>
      </c>
      <c r="B28" s="41"/>
      <c r="C28" s="41"/>
      <c r="D28" s="41"/>
      <c r="E28" s="21"/>
      <c r="F28" s="43"/>
      <c r="G28" s="41"/>
      <c r="H28" s="41"/>
      <c r="I28" s="41"/>
      <c r="J28" s="21"/>
      <c r="K28" s="43"/>
      <c r="L28" s="41"/>
      <c r="M28" s="41"/>
      <c r="N28" s="41"/>
      <c r="O28" s="21"/>
      <c r="P28" s="43"/>
      <c r="Q28" s="41"/>
      <c r="R28" s="41"/>
      <c r="S28" s="41"/>
      <c r="T28" s="21"/>
      <c r="U28" s="43"/>
      <c r="V28" s="41"/>
      <c r="W28" s="41"/>
      <c r="X28" s="41"/>
      <c r="Y28" s="21">
        <f t="shared" ref="Y28:Y33" si="57">+Z28</f>
        <v>2293</v>
      </c>
      <c r="Z28" s="43">
        <v>2293</v>
      </c>
      <c r="AA28" s="41">
        <v>1725</v>
      </c>
      <c r="AB28" s="41">
        <v>243</v>
      </c>
      <c r="AC28" s="41">
        <v>228</v>
      </c>
      <c r="AD28" s="21">
        <f t="shared" ref="AD28:AD33" si="58">+AE28</f>
        <v>247</v>
      </c>
      <c r="AE28" s="43">
        <v>247</v>
      </c>
      <c r="AF28" s="41">
        <v>234</v>
      </c>
      <c r="AG28" s="41">
        <v>196</v>
      </c>
      <c r="AH28" s="41">
        <v>206</v>
      </c>
      <c r="AI28" s="21">
        <f t="shared" ref="AI28:AI33" si="59">+AJ28</f>
        <v>134</v>
      </c>
      <c r="AJ28" s="43">
        <v>134</v>
      </c>
      <c r="AK28" s="41">
        <v>140</v>
      </c>
      <c r="AL28" s="41">
        <v>113</v>
      </c>
      <c r="AM28" s="41">
        <v>2195</v>
      </c>
      <c r="AN28" s="21">
        <f t="shared" ref="AN28:AN33" si="60">+AO28</f>
        <v>625</v>
      </c>
      <c r="AO28" s="43">
        <v>625</v>
      </c>
      <c r="AP28" s="41">
        <v>224</v>
      </c>
      <c r="AQ28" s="41">
        <v>1076</v>
      </c>
      <c r="AR28" s="41">
        <v>1170</v>
      </c>
      <c r="AS28" s="21">
        <f t="shared" ref="AS28:AS33" si="61">+AT28</f>
        <v>189</v>
      </c>
      <c r="AT28" s="43">
        <v>189</v>
      </c>
      <c r="AU28" s="41">
        <v>166</v>
      </c>
      <c r="AV28" s="41">
        <v>231</v>
      </c>
      <c r="AW28" s="41">
        <v>220</v>
      </c>
      <c r="AX28" s="21">
        <f t="shared" ref="AX28:AX33" si="62">+AY28</f>
        <v>183</v>
      </c>
      <c r="AY28" s="43">
        <v>183</v>
      </c>
      <c r="AZ28" s="41">
        <v>212</v>
      </c>
      <c r="BA28" s="41">
        <v>1635</v>
      </c>
      <c r="BB28" s="41">
        <v>215</v>
      </c>
      <c r="BC28" s="21">
        <f t="shared" ref="BC28:BC33" si="63">+BD28</f>
        <v>204</v>
      </c>
      <c r="BD28" s="43">
        <v>204</v>
      </c>
      <c r="BE28" s="41">
        <v>226</v>
      </c>
      <c r="BF28" s="41">
        <v>229</v>
      </c>
      <c r="BG28" s="37">
        <f>Debt_Qtr!BG64</f>
        <v>229</v>
      </c>
      <c r="BH28" s="37">
        <f>Debt_Qtr!BH64</f>
        <v>229</v>
      </c>
      <c r="BI28" s="22">
        <f t="shared" ref="BI28" si="64">BH28</f>
        <v>229</v>
      </c>
      <c r="BJ28" s="112"/>
      <c r="BK28" s="368"/>
      <c r="BL28" s="112"/>
      <c r="CE28" t="s">
        <v>267</v>
      </c>
      <c r="CF28" s="112">
        <f>AK28-AJ28</f>
        <v>6</v>
      </c>
    </row>
    <row r="29" spans="1:84">
      <c r="A29" s="1" t="s">
        <v>76</v>
      </c>
      <c r="B29" s="41"/>
      <c r="C29" s="41"/>
      <c r="D29" s="41"/>
      <c r="E29" s="21"/>
      <c r="F29" s="43"/>
      <c r="G29" s="41"/>
      <c r="H29" s="41"/>
      <c r="I29" s="41"/>
      <c r="J29" s="21"/>
      <c r="K29" s="43"/>
      <c r="L29" s="41"/>
      <c r="M29" s="41"/>
      <c r="N29" s="41"/>
      <c r="O29" s="21"/>
      <c r="P29" s="43"/>
      <c r="Q29" s="41"/>
      <c r="R29" s="41"/>
      <c r="S29" s="41"/>
      <c r="T29" s="21"/>
      <c r="U29" s="43">
        <v>0</v>
      </c>
      <c r="V29" s="41"/>
      <c r="W29" s="41"/>
      <c r="X29" s="41"/>
      <c r="Y29" s="21">
        <f t="shared" si="57"/>
        <v>7816</v>
      </c>
      <c r="Z29" s="43">
        <v>7816</v>
      </c>
      <c r="AA29" s="41">
        <v>10976</v>
      </c>
      <c r="AB29" s="41">
        <v>7182</v>
      </c>
      <c r="AC29" s="41">
        <v>8143</v>
      </c>
      <c r="AD29" s="21">
        <f t="shared" si="58"/>
        <v>8639</v>
      </c>
      <c r="AE29" s="43">
        <v>8639</v>
      </c>
      <c r="AF29" s="41">
        <v>9182</v>
      </c>
      <c r="AG29" s="41">
        <v>8043</v>
      </c>
      <c r="AH29" s="41">
        <v>8667</v>
      </c>
      <c r="AI29" s="21">
        <f t="shared" si="59"/>
        <v>8751</v>
      </c>
      <c r="AJ29" s="43">
        <v>8751</v>
      </c>
      <c r="AK29" s="41">
        <v>8270</v>
      </c>
      <c r="AL29" s="41">
        <v>9732</v>
      </c>
      <c r="AM29" s="41">
        <v>9017</v>
      </c>
      <c r="AN29" s="21">
        <f t="shared" si="60"/>
        <v>9896</v>
      </c>
      <c r="AO29" s="43">
        <v>9896</v>
      </c>
      <c r="AP29" s="41">
        <v>10060</v>
      </c>
      <c r="AQ29" s="41">
        <v>10128</v>
      </c>
      <c r="AR29" s="41">
        <v>10315</v>
      </c>
      <c r="AS29" s="21">
        <f t="shared" si="61"/>
        <v>10698</v>
      </c>
      <c r="AT29" s="43">
        <v>10698</v>
      </c>
      <c r="AU29" s="41">
        <v>10522</v>
      </c>
      <c r="AV29" s="41">
        <v>10939</v>
      </c>
      <c r="AW29" s="41">
        <v>11834</v>
      </c>
      <c r="AX29" s="21">
        <f t="shared" si="62"/>
        <v>12897</v>
      </c>
      <c r="AY29" s="43">
        <v>12897</v>
      </c>
      <c r="AZ29" s="41">
        <v>13444</v>
      </c>
      <c r="BA29" s="41">
        <v>13433</v>
      </c>
      <c r="BB29" s="41">
        <v>14552</v>
      </c>
      <c r="BC29" s="21">
        <f t="shared" si="63"/>
        <v>15895</v>
      </c>
      <c r="BD29" s="43">
        <v>15895</v>
      </c>
      <c r="BE29" s="41">
        <v>15979</v>
      </c>
      <c r="BF29" s="41">
        <v>16998</v>
      </c>
      <c r="BG29" s="42">
        <f>BG66*(-ProForma_IS_Qtr!BG85/(365/4))</f>
        <v>14922.436865753425</v>
      </c>
      <c r="BH29" s="42">
        <f>BI29</f>
        <v>15411.634153972602</v>
      </c>
      <c r="BI29" s="22">
        <f>BI66*(-ProForma_IS_Qtr!BI85/(365))</f>
        <v>15411.634153972602</v>
      </c>
      <c r="BJ29" s="112"/>
      <c r="BL29" s="112"/>
      <c r="CE29" t="s">
        <v>76</v>
      </c>
      <c r="CF29" s="112">
        <f t="shared" ref="CF29:CF56" si="65">AK29-AJ29</f>
        <v>-481</v>
      </c>
    </row>
    <row r="30" spans="1:84">
      <c r="A30" s="1" t="s">
        <v>372</v>
      </c>
      <c r="B30" s="41"/>
      <c r="C30" s="41"/>
      <c r="D30" s="41"/>
      <c r="E30" s="21"/>
      <c r="F30" s="43"/>
      <c r="G30" s="41"/>
      <c r="H30" s="41"/>
      <c r="I30" s="41"/>
      <c r="J30" s="21"/>
      <c r="K30" s="43"/>
      <c r="L30" s="41"/>
      <c r="M30" s="41"/>
      <c r="N30" s="41"/>
      <c r="O30" s="21"/>
      <c r="P30" s="43"/>
      <c r="Q30" s="41"/>
      <c r="R30" s="41"/>
      <c r="S30" s="41"/>
      <c r="T30" s="21"/>
      <c r="U30" s="43"/>
      <c r="V30" s="41"/>
      <c r="W30" s="41"/>
      <c r="X30" s="41"/>
      <c r="Y30" s="21">
        <f t="shared" si="57"/>
        <v>9770</v>
      </c>
      <c r="Z30" s="43">
        <v>9770</v>
      </c>
      <c r="AA30" s="41">
        <v>11055</v>
      </c>
      <c r="AB30" s="41">
        <v>14253</v>
      </c>
      <c r="AC30" s="41">
        <v>13558</v>
      </c>
      <c r="AD30" s="21">
        <f t="shared" si="58"/>
        <v>13407</v>
      </c>
      <c r="AE30" s="43">
        <f>3006+10401</f>
        <v>13407</v>
      </c>
      <c r="AF30" s="41">
        <f>2511+10184</f>
        <v>12695</v>
      </c>
      <c r="AG30" s="41">
        <f>2233+10361</f>
        <v>12594</v>
      </c>
      <c r="AH30" s="41">
        <f>2756+9685</f>
        <v>12441</v>
      </c>
      <c r="AI30" s="21">
        <f t="shared" si="59"/>
        <v>12820</v>
      </c>
      <c r="AJ30" s="43">
        <f>2658+10162</f>
        <v>12820</v>
      </c>
      <c r="AK30" s="41">
        <f>1880+11004</f>
        <v>12884</v>
      </c>
      <c r="AL30" s="41">
        <f>2028+12459</f>
        <v>14487</v>
      </c>
      <c r="AM30" s="41">
        <f>2390+11210</f>
        <v>13600</v>
      </c>
      <c r="AN30" s="21">
        <f t="shared" si="60"/>
        <v>13400</v>
      </c>
      <c r="AO30" s="43">
        <f>2401+10999</f>
        <v>13400</v>
      </c>
      <c r="AP30" s="41">
        <f>1856+11573</f>
        <v>13429</v>
      </c>
      <c r="AQ30" s="41">
        <f>2121+11719</f>
        <v>13840</v>
      </c>
      <c r="AR30" s="41">
        <f>2597+14283</f>
        <v>16880</v>
      </c>
      <c r="AS30" s="21">
        <f t="shared" si="61"/>
        <v>17408</v>
      </c>
      <c r="AT30" s="43">
        <f>2491+14917</f>
        <v>17408</v>
      </c>
      <c r="AU30" s="41">
        <f>1862+15006</f>
        <v>16868</v>
      </c>
      <c r="AV30" s="41">
        <f>2065+17048</f>
        <v>19113</v>
      </c>
      <c r="AW30" s="41">
        <f>2673+15971</f>
        <v>18644</v>
      </c>
      <c r="AX30" s="21">
        <f t="shared" si="62"/>
        <v>17451</v>
      </c>
      <c r="AY30" s="43">
        <f>2620+14831</f>
        <v>17451</v>
      </c>
      <c r="AZ30" s="41">
        <f>15219+1867</f>
        <v>17086</v>
      </c>
      <c r="BA30" s="41">
        <f>15861+2133</f>
        <v>17994</v>
      </c>
      <c r="BB30" s="41">
        <f>2937+14835</f>
        <v>17772</v>
      </c>
      <c r="BC30" s="21">
        <f t="shared" si="63"/>
        <v>17658</v>
      </c>
      <c r="BD30" s="43">
        <f>3308+14350</f>
        <v>17658</v>
      </c>
      <c r="BE30" s="41">
        <f>2004+14217</f>
        <v>16221</v>
      </c>
      <c r="BF30" s="41">
        <f>2356+15695</f>
        <v>18051</v>
      </c>
      <c r="BG30" s="42">
        <f>BG77*(-ProForma_IS_Qtr!BG85)*4</f>
        <v>19945.623360000001</v>
      </c>
      <c r="BH30" s="42">
        <f>BI30</f>
        <v>19966.745135999998</v>
      </c>
      <c r="BI30" s="22">
        <f>BI77*(-ProForma_IS_Qtr!BI85)</f>
        <v>19966.745135999998</v>
      </c>
      <c r="BJ30" s="112"/>
      <c r="BL30" s="112"/>
      <c r="CE30" t="s">
        <v>372</v>
      </c>
      <c r="CF30" s="112">
        <f t="shared" si="65"/>
        <v>64</v>
      </c>
    </row>
    <row r="31" spans="1:84">
      <c r="A31" s="1" t="s">
        <v>77</v>
      </c>
      <c r="B31" s="41"/>
      <c r="C31" s="41"/>
      <c r="D31" s="41"/>
      <c r="E31" s="21"/>
      <c r="F31" s="43"/>
      <c r="G31" s="41"/>
      <c r="H31" s="41"/>
      <c r="I31" s="41"/>
      <c r="J31" s="21"/>
      <c r="K31" s="43"/>
      <c r="L31" s="41"/>
      <c r="M31" s="41"/>
      <c r="N31" s="41"/>
      <c r="O31" s="21"/>
      <c r="P31" s="43"/>
      <c r="Q31" s="41"/>
      <c r="R31" s="41"/>
      <c r="S31" s="41"/>
      <c r="T31" s="21"/>
      <c r="U31" s="43"/>
      <c r="V31" s="41"/>
      <c r="W31" s="41"/>
      <c r="X31" s="41"/>
      <c r="Y31" s="21">
        <f t="shared" si="57"/>
        <v>9014</v>
      </c>
      <c r="Z31" s="43">
        <v>9014</v>
      </c>
      <c r="AA31" s="41">
        <v>6384</v>
      </c>
      <c r="AB31" s="41">
        <v>11997</v>
      </c>
      <c r="AC31" s="41">
        <v>12208</v>
      </c>
      <c r="AD31" s="21">
        <f t="shared" si="58"/>
        <v>12889</v>
      </c>
      <c r="AE31" s="43">
        <v>12889</v>
      </c>
      <c r="AF31" s="41">
        <v>12879</v>
      </c>
      <c r="AG31" s="41">
        <v>12591</v>
      </c>
      <c r="AH31" s="41">
        <v>12543</v>
      </c>
      <c r="AI31" s="21">
        <f t="shared" si="59"/>
        <v>13720</v>
      </c>
      <c r="AJ31" s="43">
        <v>13720</v>
      </c>
      <c r="AK31" s="41">
        <v>13739</v>
      </c>
      <c r="AL31" s="41">
        <v>13430</v>
      </c>
      <c r="AM31" s="41">
        <v>13368</v>
      </c>
      <c r="AN31" s="21">
        <f t="shared" si="60"/>
        <v>14598</v>
      </c>
      <c r="AO31" s="43">
        <v>14598</v>
      </c>
      <c r="AP31" s="41">
        <v>14870</v>
      </c>
      <c r="AQ31" s="41">
        <v>15162</v>
      </c>
      <c r="AR31" s="41">
        <v>15248</v>
      </c>
      <c r="AS31" s="21">
        <f t="shared" si="61"/>
        <v>17183</v>
      </c>
      <c r="AT31" s="43">
        <v>17183</v>
      </c>
      <c r="AU31" s="41">
        <v>17119</v>
      </c>
      <c r="AV31" s="41">
        <v>17665</v>
      </c>
      <c r="AW31" s="41">
        <v>18436</v>
      </c>
      <c r="AX31" s="21">
        <f t="shared" si="62"/>
        <v>18616</v>
      </c>
      <c r="AY31" s="43">
        <v>18616</v>
      </c>
      <c r="AZ31" s="41">
        <v>19038</v>
      </c>
      <c r="BA31" s="41">
        <v>19186</v>
      </c>
      <c r="BB31" s="41">
        <v>20111</v>
      </c>
      <c r="BC31" s="21">
        <f t="shared" si="63"/>
        <v>21615</v>
      </c>
      <c r="BD31" s="43">
        <f>21615</f>
        <v>21615</v>
      </c>
      <c r="BE31" s="41">
        <v>21940</v>
      </c>
      <c r="BF31" s="41">
        <v>22671</v>
      </c>
      <c r="BG31" s="42">
        <f>BG$68*(ProForma_IS_Qtr!BG$9/(365/4))</f>
        <v>23250.627863013699</v>
      </c>
      <c r="BH31" s="42">
        <f>BI31</f>
        <v>23143.750947945202</v>
      </c>
      <c r="BI31" s="22">
        <f>BI$68*(ProForma_IS_Qtr!BI$9/(365))</f>
        <v>23143.750947945202</v>
      </c>
      <c r="BJ31" s="112"/>
      <c r="BL31" s="112"/>
      <c r="CE31" t="s">
        <v>77</v>
      </c>
      <c r="CF31" s="112">
        <f t="shared" si="65"/>
        <v>19</v>
      </c>
    </row>
    <row r="32" spans="1:84">
      <c r="A32" s="1" t="s">
        <v>245</v>
      </c>
      <c r="B32" s="41"/>
      <c r="C32" s="41"/>
      <c r="D32" s="41"/>
      <c r="E32" s="21"/>
      <c r="F32" s="43"/>
      <c r="G32" s="41"/>
      <c r="H32" s="41"/>
      <c r="I32" s="41"/>
      <c r="J32" s="21"/>
      <c r="K32" s="43"/>
      <c r="L32" s="41"/>
      <c r="M32" s="41"/>
      <c r="N32" s="41"/>
      <c r="O32" s="21"/>
      <c r="P32" s="43"/>
      <c r="Q32" s="41"/>
      <c r="R32" s="41"/>
      <c r="S32" s="41"/>
      <c r="T32" s="21"/>
      <c r="U32" s="43"/>
      <c r="V32" s="41"/>
      <c r="W32" s="41"/>
      <c r="X32" s="41"/>
      <c r="Y32" s="21">
        <f t="shared" si="57"/>
        <v>14443</v>
      </c>
      <c r="Z32" s="43">
        <v>14443</v>
      </c>
      <c r="AA32" s="41">
        <v>0</v>
      </c>
      <c r="AB32" s="41">
        <v>319</v>
      </c>
      <c r="AC32" s="41">
        <v>118</v>
      </c>
      <c r="AD32" s="21">
        <f t="shared" si="58"/>
        <v>116</v>
      </c>
      <c r="AE32" s="43">
        <v>116</v>
      </c>
      <c r="AF32" s="41">
        <v>0</v>
      </c>
      <c r="AG32" s="41">
        <v>0</v>
      </c>
      <c r="AH32" s="41">
        <v>0</v>
      </c>
      <c r="AI32" s="21">
        <f t="shared" si="59"/>
        <v>0</v>
      </c>
      <c r="AJ32" s="43">
        <v>0</v>
      </c>
      <c r="AK32" s="41">
        <v>0</v>
      </c>
      <c r="AL32" s="41">
        <v>0</v>
      </c>
      <c r="AM32" s="41">
        <v>0</v>
      </c>
      <c r="AN32" s="21">
        <f t="shared" si="60"/>
        <v>0</v>
      </c>
      <c r="AO32" s="43">
        <v>0</v>
      </c>
      <c r="AP32" s="41">
        <v>0</v>
      </c>
      <c r="AQ32" s="41">
        <v>0</v>
      </c>
      <c r="AR32" s="41">
        <v>0</v>
      </c>
      <c r="AS32" s="21">
        <f t="shared" si="61"/>
        <v>0</v>
      </c>
      <c r="AT32" s="43">
        <v>0</v>
      </c>
      <c r="AU32" s="41">
        <v>0</v>
      </c>
      <c r="AV32" s="41">
        <v>0</v>
      </c>
      <c r="AW32" s="41">
        <v>0</v>
      </c>
      <c r="AX32" s="21">
        <f t="shared" si="62"/>
        <v>0</v>
      </c>
      <c r="AY32" s="43">
        <v>0</v>
      </c>
      <c r="AZ32" s="41">
        <v>0</v>
      </c>
      <c r="BA32" s="41">
        <v>0</v>
      </c>
      <c r="BB32" s="41">
        <v>0</v>
      </c>
      <c r="BC32" s="21">
        <f t="shared" si="63"/>
        <v>0</v>
      </c>
      <c r="BD32" s="43">
        <v>0</v>
      </c>
      <c r="BE32" s="41">
        <v>0</v>
      </c>
      <c r="BF32" s="41">
        <v>0</v>
      </c>
      <c r="BG32" s="42">
        <f t="shared" ref="BG32" si="66">BF32</f>
        <v>0</v>
      </c>
      <c r="BH32" s="42">
        <f t="shared" ref="BH32" si="67">BG32</f>
        <v>0</v>
      </c>
      <c r="BI32" s="22">
        <f t="shared" ref="BI32:BI33" si="68">BH32</f>
        <v>0</v>
      </c>
      <c r="BJ32" s="112"/>
      <c r="BL32" s="112"/>
      <c r="CE32" t="s">
        <v>245</v>
      </c>
      <c r="CF32" s="112">
        <f t="shared" si="65"/>
        <v>0</v>
      </c>
    </row>
    <row r="33" spans="1:84">
      <c r="A33" s="1" t="s">
        <v>264</v>
      </c>
      <c r="B33" s="41"/>
      <c r="C33" s="41"/>
      <c r="D33" s="41"/>
      <c r="E33" s="21"/>
      <c r="F33" s="43"/>
      <c r="G33" s="41"/>
      <c r="H33" s="41"/>
      <c r="I33" s="41"/>
      <c r="J33" s="21"/>
      <c r="K33" s="43"/>
      <c r="L33" s="41"/>
      <c r="M33" s="41"/>
      <c r="N33" s="41"/>
      <c r="O33" s="21"/>
      <c r="P33" s="43"/>
      <c r="Q33" s="41"/>
      <c r="R33" s="41"/>
      <c r="S33" s="41"/>
      <c r="T33" s="21"/>
      <c r="U33" s="43"/>
      <c r="V33" s="41"/>
      <c r="W33" s="41"/>
      <c r="X33" s="41"/>
      <c r="Y33" s="21">
        <f t="shared" si="57"/>
        <v>3258</v>
      </c>
      <c r="Z33" s="43">
        <v>3258</v>
      </c>
      <c r="AA33" s="41">
        <v>1362</v>
      </c>
      <c r="AB33" s="41">
        <v>1297</v>
      </c>
      <c r="AC33" s="41">
        <v>1307</v>
      </c>
      <c r="AD33" s="21">
        <f t="shared" si="58"/>
        <v>550</v>
      </c>
      <c r="AE33" s="43">
        <v>550</v>
      </c>
      <c r="AF33" s="41">
        <v>1369</v>
      </c>
      <c r="AG33" s="41">
        <v>1370</v>
      </c>
      <c r="AH33" s="41">
        <v>274</v>
      </c>
      <c r="AI33" s="21">
        <f t="shared" si="59"/>
        <v>24</v>
      </c>
      <c r="AJ33" s="43">
        <v>24</v>
      </c>
      <c r="AK33" s="41">
        <v>24</v>
      </c>
      <c r="AL33" s="41">
        <v>26</v>
      </c>
      <c r="AM33" s="41">
        <v>193</v>
      </c>
      <c r="AN33" s="21">
        <f t="shared" si="60"/>
        <v>595</v>
      </c>
      <c r="AO33" s="43">
        <v>595</v>
      </c>
      <c r="AP33" s="41">
        <v>1545</v>
      </c>
      <c r="AQ33" s="41">
        <v>1554</v>
      </c>
      <c r="AR33" s="41">
        <v>1389</v>
      </c>
      <c r="AS33" s="21">
        <f t="shared" si="61"/>
        <v>1283</v>
      </c>
      <c r="AT33" s="43">
        <v>1283</v>
      </c>
      <c r="AU33" s="41">
        <v>344</v>
      </c>
      <c r="AV33" s="41">
        <v>1617</v>
      </c>
      <c r="AW33" s="41">
        <v>3113</v>
      </c>
      <c r="AX33" s="21">
        <f t="shared" si="62"/>
        <v>2352</v>
      </c>
      <c r="AY33" s="43">
        <v>2352</v>
      </c>
      <c r="AZ33" s="41">
        <v>2844</v>
      </c>
      <c r="BA33" s="41">
        <v>2084</v>
      </c>
      <c r="BB33" s="41">
        <v>584</v>
      </c>
      <c r="BC33" s="21">
        <f t="shared" si="63"/>
        <v>3412</v>
      </c>
      <c r="BD33" s="43">
        <v>3412</v>
      </c>
      <c r="BE33" s="41">
        <v>4213</v>
      </c>
      <c r="BF33" s="41">
        <v>5296</v>
      </c>
      <c r="BG33" s="37">
        <f>Debt_Qtr!BG63</f>
        <v>5296</v>
      </c>
      <c r="BH33" s="37">
        <f>Debt_Qtr!BH63</f>
        <v>5296</v>
      </c>
      <c r="BI33" s="22">
        <f t="shared" si="68"/>
        <v>5296</v>
      </c>
      <c r="BJ33" s="112"/>
      <c r="BL33" s="112"/>
      <c r="CE33" t="s">
        <v>264</v>
      </c>
      <c r="CF33" s="112">
        <f t="shared" si="65"/>
        <v>0</v>
      </c>
    </row>
    <row r="34" spans="1:84">
      <c r="A34" s="8" t="s">
        <v>97</v>
      </c>
      <c r="B34" s="23"/>
      <c r="C34" s="23"/>
      <c r="D34" s="23"/>
      <c r="E34" s="23"/>
      <c r="F34" s="24"/>
      <c r="G34" s="23"/>
      <c r="H34" s="23"/>
      <c r="I34" s="23"/>
      <c r="J34" s="23"/>
      <c r="K34" s="24"/>
      <c r="L34" s="23"/>
      <c r="M34" s="23"/>
      <c r="N34" s="23"/>
      <c r="O34" s="23"/>
      <c r="P34" s="24"/>
      <c r="Q34" s="23"/>
      <c r="R34" s="23"/>
      <c r="S34" s="23"/>
      <c r="T34" s="23"/>
      <c r="U34" s="24"/>
      <c r="V34" s="23"/>
      <c r="W34" s="23"/>
      <c r="X34" s="23"/>
      <c r="Y34" s="23">
        <f t="shared" ref="Y34:AB34" si="69">SUM(Y28:Y33)</f>
        <v>46594</v>
      </c>
      <c r="Z34" s="24">
        <f t="shared" si="69"/>
        <v>46594</v>
      </c>
      <c r="AA34" s="23">
        <f t="shared" ref="AA34" si="70">SUM(AA28:AA33)</f>
        <v>31502</v>
      </c>
      <c r="AB34" s="23">
        <f t="shared" si="69"/>
        <v>35291</v>
      </c>
      <c r="AC34" s="23">
        <f t="shared" ref="AC34:AD34" si="71">SUM(AC28:AC33)</f>
        <v>35562</v>
      </c>
      <c r="AD34" s="23">
        <f t="shared" si="71"/>
        <v>35848</v>
      </c>
      <c r="AE34" s="24">
        <f t="shared" ref="AE34:AF34" si="72">SUM(AE28:AE33)</f>
        <v>35848</v>
      </c>
      <c r="AF34" s="23">
        <f t="shared" si="72"/>
        <v>36359</v>
      </c>
      <c r="AG34" s="23">
        <f t="shared" ref="AG34:AK34" si="73">SUM(AG28:AG33)</f>
        <v>34794</v>
      </c>
      <c r="AH34" s="23">
        <f t="shared" si="73"/>
        <v>34131</v>
      </c>
      <c r="AI34" s="23">
        <f t="shared" si="73"/>
        <v>35449</v>
      </c>
      <c r="AJ34" s="24">
        <f t="shared" si="73"/>
        <v>35449</v>
      </c>
      <c r="AK34" s="23">
        <f t="shared" si="73"/>
        <v>35057</v>
      </c>
      <c r="AL34" s="23">
        <f t="shared" ref="AL34:AP34" si="74">SUM(AL28:AL33)</f>
        <v>37788</v>
      </c>
      <c r="AM34" s="23">
        <f t="shared" si="74"/>
        <v>38373</v>
      </c>
      <c r="AN34" s="23">
        <f t="shared" si="74"/>
        <v>39114</v>
      </c>
      <c r="AO34" s="24">
        <f t="shared" si="74"/>
        <v>39114</v>
      </c>
      <c r="AP34" s="23">
        <f t="shared" si="74"/>
        <v>40128</v>
      </c>
      <c r="AQ34" s="23">
        <f t="shared" ref="AQ34:AU34" si="75">SUM(AQ28:AQ33)</f>
        <v>41760</v>
      </c>
      <c r="AR34" s="23">
        <f t="shared" si="75"/>
        <v>45002</v>
      </c>
      <c r="AS34" s="23">
        <f t="shared" si="75"/>
        <v>46761</v>
      </c>
      <c r="AT34" s="24">
        <f t="shared" si="75"/>
        <v>46761</v>
      </c>
      <c r="AU34" s="23">
        <f t="shared" si="75"/>
        <v>45019</v>
      </c>
      <c r="AV34" s="23">
        <f t="shared" ref="AV34:AZ34" si="76">SUM(AV28:AV33)</f>
        <v>49565</v>
      </c>
      <c r="AW34" s="23">
        <f t="shared" si="76"/>
        <v>52247</v>
      </c>
      <c r="AX34" s="23">
        <f t="shared" si="76"/>
        <v>51499</v>
      </c>
      <c r="AY34" s="24">
        <f t="shared" si="76"/>
        <v>51499</v>
      </c>
      <c r="AZ34" s="23">
        <f t="shared" si="76"/>
        <v>52624</v>
      </c>
      <c r="BA34" s="23">
        <f t="shared" ref="BA34:BE34" si="77">SUM(BA28:BA33)</f>
        <v>54332</v>
      </c>
      <c r="BB34" s="23">
        <f t="shared" si="77"/>
        <v>53234</v>
      </c>
      <c r="BC34" s="23">
        <f t="shared" si="77"/>
        <v>58784</v>
      </c>
      <c r="BD34" s="24">
        <f t="shared" si="77"/>
        <v>58784</v>
      </c>
      <c r="BE34" s="23">
        <f t="shared" si="77"/>
        <v>58579</v>
      </c>
      <c r="BF34" s="23">
        <f t="shared" ref="BF34:BG34" si="78">SUM(BF28:BF33)</f>
        <v>63245</v>
      </c>
      <c r="BG34" s="23">
        <f t="shared" si="78"/>
        <v>63643.688088767129</v>
      </c>
      <c r="BH34" s="23">
        <f t="shared" ref="BH34:BI34" si="79">SUM(BH28:BH33)</f>
        <v>64047.130237917794</v>
      </c>
      <c r="BI34" s="24">
        <f t="shared" si="79"/>
        <v>64047.130237917794</v>
      </c>
      <c r="BJ34" s="112"/>
      <c r="BL34" s="112"/>
      <c r="CF34" s="112"/>
    </row>
    <row r="35" spans="1:84">
      <c r="B35" s="21"/>
      <c r="C35" s="21"/>
      <c r="D35" s="21"/>
      <c r="E35" s="21"/>
      <c r="F35" s="22"/>
      <c r="G35" s="21"/>
      <c r="H35" s="21"/>
      <c r="I35" s="21"/>
      <c r="J35" s="21"/>
      <c r="K35" s="22"/>
      <c r="L35" s="21"/>
      <c r="M35" s="21"/>
      <c r="N35" s="21"/>
      <c r="O35" s="21"/>
      <c r="P35" s="22"/>
      <c r="Q35" s="21"/>
      <c r="R35" s="21"/>
      <c r="S35" s="21"/>
      <c r="T35" s="21"/>
      <c r="U35" s="22"/>
      <c r="V35" s="21"/>
      <c r="W35" s="21"/>
      <c r="X35" s="21"/>
      <c r="Y35" s="21"/>
      <c r="Z35" s="22"/>
      <c r="AA35" s="21"/>
      <c r="AB35" s="21"/>
      <c r="AC35" s="21"/>
      <c r="AD35" s="21"/>
      <c r="AE35" s="22"/>
      <c r="AF35" s="21"/>
      <c r="AG35" s="21"/>
      <c r="AH35" s="21"/>
      <c r="AI35" s="21"/>
      <c r="AJ35" s="22"/>
      <c r="AK35" s="21"/>
      <c r="AL35" s="21"/>
      <c r="AM35" s="21"/>
      <c r="AN35" s="21"/>
      <c r="AO35" s="22"/>
      <c r="AP35" s="21"/>
      <c r="AQ35" s="21"/>
      <c r="AR35" s="21"/>
      <c r="AS35" s="21"/>
      <c r="AT35" s="22"/>
      <c r="AU35" s="21"/>
      <c r="AV35" s="21"/>
      <c r="AW35" s="21"/>
      <c r="AX35" s="21"/>
      <c r="AY35" s="22"/>
      <c r="AZ35" s="21"/>
      <c r="BA35" s="21"/>
      <c r="BB35" s="21"/>
      <c r="BC35" s="21"/>
      <c r="BD35" s="22"/>
      <c r="BE35" s="21"/>
      <c r="BF35" s="21"/>
      <c r="BG35" s="21"/>
      <c r="BH35" s="21"/>
      <c r="BI35" s="22"/>
      <c r="BJ35" s="112"/>
      <c r="BL35" s="112"/>
      <c r="CF35" s="112"/>
    </row>
    <row r="36" spans="1:84">
      <c r="A36" s="13" t="s">
        <v>98</v>
      </c>
      <c r="B36" s="21"/>
      <c r="C36" s="21"/>
      <c r="D36" s="21"/>
      <c r="E36" s="21"/>
      <c r="F36" s="22"/>
      <c r="G36" s="21"/>
      <c r="H36" s="21"/>
      <c r="I36" s="21"/>
      <c r="J36" s="21"/>
      <c r="K36" s="22"/>
      <c r="L36" s="21"/>
      <c r="M36" s="21"/>
      <c r="N36" s="21"/>
      <c r="O36" s="21"/>
      <c r="P36" s="22"/>
      <c r="Q36" s="21"/>
      <c r="R36" s="21"/>
      <c r="S36" s="21"/>
      <c r="T36" s="21"/>
      <c r="U36" s="22"/>
      <c r="V36" s="21"/>
      <c r="W36" s="21"/>
      <c r="X36" s="21"/>
      <c r="Y36" s="21"/>
      <c r="Z36" s="22"/>
      <c r="AA36" s="21"/>
      <c r="AB36" s="21"/>
      <c r="AC36" s="21"/>
      <c r="AD36" s="21"/>
      <c r="AE36" s="22"/>
      <c r="AF36" s="21"/>
      <c r="AG36" s="21"/>
      <c r="AH36" s="21"/>
      <c r="AI36" s="21"/>
      <c r="AJ36" s="22"/>
      <c r="AK36" s="21"/>
      <c r="AL36" s="21"/>
      <c r="AM36" s="21"/>
      <c r="AN36" s="21"/>
      <c r="AO36" s="22"/>
      <c r="AP36" s="21"/>
      <c r="AQ36" s="21"/>
      <c r="AR36" s="21"/>
      <c r="AS36" s="21"/>
      <c r="AT36" s="22"/>
      <c r="AU36" s="21"/>
      <c r="AV36" s="21"/>
      <c r="AW36" s="21"/>
      <c r="AX36" s="21"/>
      <c r="AY36" s="22"/>
      <c r="AZ36" s="21"/>
      <c r="BA36" s="21"/>
      <c r="BB36" s="21"/>
      <c r="BC36" s="21"/>
      <c r="BD36" s="22"/>
      <c r="BE36" s="21"/>
      <c r="BF36" s="21"/>
      <c r="BG36" s="21"/>
      <c r="BH36" s="21"/>
      <c r="BI36" s="22"/>
      <c r="BJ36" s="112"/>
      <c r="BL36" s="112"/>
      <c r="CF36" s="112"/>
    </row>
    <row r="37" spans="1:84">
      <c r="A37" s="1" t="s">
        <v>99</v>
      </c>
      <c r="B37" s="41"/>
      <c r="C37" s="41"/>
      <c r="D37" s="41"/>
      <c r="E37" s="21"/>
      <c r="F37" s="43"/>
      <c r="G37" s="41"/>
      <c r="H37" s="41"/>
      <c r="I37" s="41"/>
      <c r="J37" s="21"/>
      <c r="K37" s="43"/>
      <c r="L37" s="41"/>
      <c r="M37" s="41"/>
      <c r="N37" s="41"/>
      <c r="O37" s="21"/>
      <c r="P37" s="43"/>
      <c r="Q37" s="41"/>
      <c r="R37" s="41"/>
      <c r="S37" s="41"/>
      <c r="T37" s="21"/>
      <c r="U37" s="43"/>
      <c r="V37" s="41"/>
      <c r="W37" s="41"/>
      <c r="X37" s="41"/>
      <c r="Y37" s="21">
        <f>+Z37</f>
        <v>37701</v>
      </c>
      <c r="Z37" s="43">
        <v>37701</v>
      </c>
      <c r="AA37" s="41">
        <v>43232</v>
      </c>
      <c r="AB37" s="41">
        <v>31210</v>
      </c>
      <c r="AC37" s="41">
        <v>31246</v>
      </c>
      <c r="AD37" s="21">
        <f>+AE37</f>
        <v>31026</v>
      </c>
      <c r="AE37" s="43">
        <v>31026</v>
      </c>
      <c r="AF37" s="41">
        <v>29935</v>
      </c>
      <c r="AG37" s="41">
        <v>29916</v>
      </c>
      <c r="AH37" s="41">
        <v>30768</v>
      </c>
      <c r="AI37" s="21">
        <f>+AJ37</f>
        <v>31327</v>
      </c>
      <c r="AJ37" s="43">
        <v>31327</v>
      </c>
      <c r="AK37" s="41">
        <v>31308</v>
      </c>
      <c r="AL37" s="41">
        <v>31274</v>
      </c>
      <c r="AM37" s="41">
        <v>31059</v>
      </c>
      <c r="AN37" s="21">
        <f>+AO37</f>
        <v>30694</v>
      </c>
      <c r="AO37" s="43">
        <v>30694</v>
      </c>
      <c r="AP37" s="41">
        <v>32717</v>
      </c>
      <c r="AQ37" s="41">
        <v>32723</v>
      </c>
      <c r="AR37" s="41">
        <v>32701</v>
      </c>
      <c r="AS37" s="21">
        <f>+AT37</f>
        <v>42355</v>
      </c>
      <c r="AT37" s="43">
        <v>42355</v>
      </c>
      <c r="AU37" s="41">
        <v>42334</v>
      </c>
      <c r="AV37" s="41">
        <v>40303</v>
      </c>
      <c r="AW37" s="41">
        <v>38823</v>
      </c>
      <c r="AX37" s="21">
        <f>+AY37</f>
        <v>38726</v>
      </c>
      <c r="AY37" s="43">
        <v>38726</v>
      </c>
      <c r="AZ37" s="41">
        <v>38244</v>
      </c>
      <c r="BA37" s="41">
        <v>38259</v>
      </c>
      <c r="BB37" s="41">
        <v>38260</v>
      </c>
      <c r="BC37" s="21">
        <f>+BD37</f>
        <v>34288</v>
      </c>
      <c r="BD37" s="43">
        <v>34288</v>
      </c>
      <c r="BE37" s="41">
        <v>32974</v>
      </c>
      <c r="BF37" s="41">
        <v>31858</v>
      </c>
      <c r="BG37" s="37">
        <f>Debt_Qtr!BG65</f>
        <v>31858</v>
      </c>
      <c r="BH37" s="37">
        <f>Debt_Qtr!BH65</f>
        <v>28989</v>
      </c>
      <c r="BI37" s="22">
        <f>BH37</f>
        <v>28989</v>
      </c>
      <c r="BJ37" s="112"/>
      <c r="BL37" s="112"/>
      <c r="CE37" t="s">
        <v>99</v>
      </c>
      <c r="CF37" s="112">
        <f t="shared" si="65"/>
        <v>-19</v>
      </c>
    </row>
    <row r="38" spans="1:84">
      <c r="A38" s="1" t="s">
        <v>263</v>
      </c>
      <c r="B38" s="41"/>
      <c r="C38" s="41"/>
      <c r="D38" s="41"/>
      <c r="E38" s="21"/>
      <c r="F38" s="43"/>
      <c r="G38" s="41"/>
      <c r="H38" s="41"/>
      <c r="I38" s="41"/>
      <c r="J38" s="21"/>
      <c r="K38" s="43"/>
      <c r="L38" s="41"/>
      <c r="M38" s="41"/>
      <c r="N38" s="41"/>
      <c r="O38" s="21"/>
      <c r="P38" s="43"/>
      <c r="Q38" s="41"/>
      <c r="R38" s="41"/>
      <c r="S38" s="41"/>
      <c r="T38" s="21"/>
      <c r="U38" s="43"/>
      <c r="V38" s="41"/>
      <c r="W38" s="41"/>
      <c r="X38" s="41"/>
      <c r="Y38" s="21">
        <f>+Z38</f>
        <v>1093</v>
      </c>
      <c r="Z38" s="43">
        <v>1093</v>
      </c>
      <c r="AA38" s="41">
        <v>2126</v>
      </c>
      <c r="AB38" s="41">
        <v>1723</v>
      </c>
      <c r="AC38" s="41">
        <v>1651</v>
      </c>
      <c r="AD38" s="21">
        <f>+AE38</f>
        <v>1516</v>
      </c>
      <c r="AE38" s="43">
        <v>1516</v>
      </c>
      <c r="AF38" s="41">
        <v>1552</v>
      </c>
      <c r="AG38" s="41">
        <v>1563</v>
      </c>
      <c r="AH38" s="41">
        <v>1541</v>
      </c>
      <c r="AI38" s="21">
        <f>+AJ38</f>
        <v>1657</v>
      </c>
      <c r="AJ38" s="43">
        <v>1657</v>
      </c>
      <c r="AK38" s="41">
        <v>1627</v>
      </c>
      <c r="AL38" s="41">
        <v>1593</v>
      </c>
      <c r="AM38" s="41">
        <v>1539</v>
      </c>
      <c r="AN38" s="21">
        <f>+AO38</f>
        <v>1586</v>
      </c>
      <c r="AO38" s="43">
        <v>1586</v>
      </c>
      <c r="AP38" s="41">
        <v>1624</v>
      </c>
      <c r="AQ38" s="41">
        <v>1570</v>
      </c>
      <c r="AR38" s="41">
        <v>1523</v>
      </c>
      <c r="AS38" s="21">
        <f>+AT38</f>
        <v>1412</v>
      </c>
      <c r="AT38" s="43">
        <v>1412</v>
      </c>
      <c r="AU38" s="41">
        <v>1410</v>
      </c>
      <c r="AV38" s="41">
        <v>1415</v>
      </c>
      <c r="AW38" s="41">
        <v>1592</v>
      </c>
      <c r="AX38" s="21">
        <f>+AY38</f>
        <v>1632</v>
      </c>
      <c r="AY38" s="43">
        <v>1632</v>
      </c>
      <c r="AZ38" s="41">
        <v>1646</v>
      </c>
      <c r="BA38" s="41">
        <v>1617</v>
      </c>
      <c r="BB38" s="41">
        <v>1650</v>
      </c>
      <c r="BC38" s="21">
        <f>+BD38</f>
        <v>1602</v>
      </c>
      <c r="BD38" s="43">
        <v>1602</v>
      </c>
      <c r="BE38" s="41">
        <v>1522</v>
      </c>
      <c r="BF38" s="41">
        <v>1473</v>
      </c>
      <c r="BG38" s="42">
        <f t="shared" ref="BG38" si="80">BF38</f>
        <v>1473</v>
      </c>
      <c r="BH38" s="42">
        <f t="shared" ref="BH38" si="81">BG38</f>
        <v>1473</v>
      </c>
      <c r="BI38" s="22">
        <f>BH38</f>
        <v>1473</v>
      </c>
      <c r="BJ38" s="112"/>
      <c r="BL38" s="112"/>
      <c r="CE38" t="s">
        <v>263</v>
      </c>
      <c r="CF38" s="112">
        <f t="shared" si="65"/>
        <v>-30</v>
      </c>
    </row>
    <row r="39" spans="1:84">
      <c r="A39" s="1" t="s">
        <v>262</v>
      </c>
      <c r="B39" s="41"/>
      <c r="C39" s="41"/>
      <c r="D39" s="41"/>
      <c r="E39" s="21"/>
      <c r="F39" s="43"/>
      <c r="G39" s="41"/>
      <c r="H39" s="41"/>
      <c r="I39" s="41"/>
      <c r="J39" s="21"/>
      <c r="K39" s="43"/>
      <c r="L39" s="41"/>
      <c r="M39" s="41"/>
      <c r="N39" s="41"/>
      <c r="O39" s="21"/>
      <c r="P39" s="43"/>
      <c r="Q39" s="41"/>
      <c r="R39" s="41"/>
      <c r="S39" s="41"/>
      <c r="T39" s="21"/>
      <c r="U39" s="43"/>
      <c r="V39" s="41"/>
      <c r="W39" s="41"/>
      <c r="X39" s="41"/>
      <c r="Y39" s="21">
        <f>+Z39</f>
        <v>2487</v>
      </c>
      <c r="Z39" s="43">
        <v>2487</v>
      </c>
      <c r="AA39" s="41">
        <v>3225</v>
      </c>
      <c r="AB39" s="41">
        <v>14972</v>
      </c>
      <c r="AC39" s="41">
        <v>14688</v>
      </c>
      <c r="AD39" s="21">
        <f>+AE39</f>
        <v>10342</v>
      </c>
      <c r="AE39" s="43">
        <v>10342</v>
      </c>
      <c r="AF39" s="41">
        <v>9808</v>
      </c>
      <c r="AG39" s="41">
        <v>9929</v>
      </c>
      <c r="AH39" s="41">
        <v>9742</v>
      </c>
      <c r="AI39" s="21">
        <f>+AJ39</f>
        <v>7855</v>
      </c>
      <c r="AJ39" s="43">
        <v>7855</v>
      </c>
      <c r="AK39" s="41">
        <v>7709</v>
      </c>
      <c r="AL39" s="41">
        <v>7543</v>
      </c>
      <c r="AM39" s="41">
        <v>7362</v>
      </c>
      <c r="AN39" s="21">
        <f>+AO39</f>
        <v>4807</v>
      </c>
      <c r="AO39" s="43">
        <v>4807</v>
      </c>
      <c r="AP39" s="41">
        <v>4676</v>
      </c>
      <c r="AQ39" s="41">
        <v>4579</v>
      </c>
      <c r="AR39" s="41">
        <v>4457</v>
      </c>
      <c r="AS39" s="21">
        <f>+AT39</f>
        <v>2385</v>
      </c>
      <c r="AT39" s="43">
        <v>2385</v>
      </c>
      <c r="AU39" s="41">
        <v>2320</v>
      </c>
      <c r="AV39" s="41">
        <v>2264</v>
      </c>
      <c r="AW39" s="41">
        <v>2230</v>
      </c>
      <c r="AX39" s="21">
        <f>+AY39</f>
        <v>2104</v>
      </c>
      <c r="AY39" s="43">
        <v>2104</v>
      </c>
      <c r="AZ39" s="41">
        <v>2060</v>
      </c>
      <c r="BA39" s="41">
        <v>2038</v>
      </c>
      <c r="BB39" s="41">
        <v>1981</v>
      </c>
      <c r="BC39" s="21">
        <f>+BD39</f>
        <v>2067</v>
      </c>
      <c r="BD39" s="43">
        <v>2067</v>
      </c>
      <c r="BE39" s="41">
        <v>2015</v>
      </c>
      <c r="BF39" s="41">
        <v>1956</v>
      </c>
      <c r="BG39" s="42">
        <f>BF39</f>
        <v>1956</v>
      </c>
      <c r="BH39" s="42">
        <f>BG39</f>
        <v>1956</v>
      </c>
      <c r="BI39" s="22">
        <f>BH39</f>
        <v>1956</v>
      </c>
      <c r="BJ39" s="112"/>
      <c r="BL39" s="112"/>
      <c r="CE39" t="s">
        <v>262</v>
      </c>
      <c r="CF39" s="112">
        <f t="shared" si="65"/>
        <v>-146</v>
      </c>
    </row>
    <row r="40" spans="1:84">
      <c r="A40" s="1" t="s">
        <v>100</v>
      </c>
      <c r="B40" s="41"/>
      <c r="C40" s="41"/>
      <c r="D40" s="41"/>
      <c r="E40" s="21"/>
      <c r="F40" s="43"/>
      <c r="G40" s="41"/>
      <c r="H40" s="41"/>
      <c r="I40" s="41"/>
      <c r="J40" s="21"/>
      <c r="K40" s="43"/>
      <c r="L40" s="41"/>
      <c r="M40" s="41"/>
      <c r="N40" s="41"/>
      <c r="O40" s="21"/>
      <c r="P40" s="43"/>
      <c r="Q40" s="41"/>
      <c r="R40" s="41"/>
      <c r="S40" s="41"/>
      <c r="T40" s="21"/>
      <c r="U40" s="43"/>
      <c r="V40" s="41"/>
      <c r="W40" s="41"/>
      <c r="X40" s="41"/>
      <c r="Y40" s="21">
        <f>+Z40</f>
        <v>7414</v>
      </c>
      <c r="Z40" s="43">
        <v>7414</v>
      </c>
      <c r="AA40" s="41">
        <f>5554+11903</f>
        <v>17457</v>
      </c>
      <c r="AB40" s="41">
        <v>9394</v>
      </c>
      <c r="AC40" s="41">
        <v>9142</v>
      </c>
      <c r="AD40" s="21">
        <f>+AE40</f>
        <v>9537</v>
      </c>
      <c r="AE40" s="43">
        <v>9537</v>
      </c>
      <c r="AF40" s="41">
        <v>9612</v>
      </c>
      <c r="AG40" s="41">
        <v>9885</v>
      </c>
      <c r="AH40" s="41">
        <v>9621</v>
      </c>
      <c r="AI40" s="21">
        <f>+AJ40</f>
        <v>10417</v>
      </c>
      <c r="AJ40" s="43">
        <v>10417</v>
      </c>
      <c r="AK40" s="41">
        <v>9643</v>
      </c>
      <c r="AL40" s="41">
        <v>8791</v>
      </c>
      <c r="AM40" s="41">
        <v>8124</v>
      </c>
      <c r="AN40" s="21">
        <f>+AO40</f>
        <v>8449</v>
      </c>
      <c r="AO40" s="43">
        <v>8449</v>
      </c>
      <c r="AP40" s="41">
        <v>8106</v>
      </c>
      <c r="AQ40" s="41">
        <v>7442</v>
      </c>
      <c r="AR40" s="41">
        <v>7514</v>
      </c>
      <c r="AS40" s="21">
        <f>+AT40</f>
        <v>7511</v>
      </c>
      <c r="AT40" s="43">
        <v>7511</v>
      </c>
      <c r="AU40" s="41">
        <v>6967</v>
      </c>
      <c r="AV40" s="41">
        <v>6941</v>
      </c>
      <c r="AW40" s="41">
        <v>7071</v>
      </c>
      <c r="AX40" s="21">
        <f>+AY40</f>
        <v>6942</v>
      </c>
      <c r="AY40" s="43">
        <v>6942</v>
      </c>
      <c r="AZ40" s="41">
        <v>6946</v>
      </c>
      <c r="BA40" s="41">
        <v>6646</v>
      </c>
      <c r="BB40" s="41">
        <v>7154</v>
      </c>
      <c r="BC40" s="21">
        <f>+BD40</f>
        <v>7200</v>
      </c>
      <c r="BD40" s="43">
        <v>7200</v>
      </c>
      <c r="BE40" s="41">
        <v>7307</v>
      </c>
      <c r="BF40" s="41">
        <v>7296</v>
      </c>
      <c r="BG40" s="42">
        <f>BF40+Cash_Flow_Qtr!BG19+Cash_Flow_Qtr!BG9+Cash_Flow_Qtr!BG6+Cash_Flow_Qtr!BG30+Cash_Flow_Qtr!BG50+Cash_Flow_Qtr!BG8+Cash_Flow_Qtr!BG18</f>
        <v>7129</v>
      </c>
      <c r="BH40" s="42">
        <f>BG40+Cash_Flow_Qtr!BH19+Cash_Flow_Qtr!BH9+Cash_Flow_Qtr!BH6+Cash_Flow_Qtr!BH30+Cash_Flow_Qtr!BH50+Cash_Flow_Qtr!BH8+Cash_Flow_Qtr!BH18</f>
        <v>7092</v>
      </c>
      <c r="BI40" s="22">
        <f>BH40</f>
        <v>7092</v>
      </c>
      <c r="BJ40" s="112"/>
      <c r="BL40" s="112"/>
      <c r="CE40" t="s">
        <v>100</v>
      </c>
      <c r="CF40" s="112">
        <f t="shared" si="65"/>
        <v>-774</v>
      </c>
    </row>
    <row r="41" spans="1:84">
      <c r="A41" s="8" t="s">
        <v>101</v>
      </c>
      <c r="B41" s="23"/>
      <c r="C41" s="23"/>
      <c r="D41" s="23"/>
      <c r="E41" s="23"/>
      <c r="F41" s="24"/>
      <c r="G41" s="23"/>
      <c r="H41" s="23"/>
      <c r="I41" s="23"/>
      <c r="J41" s="23"/>
      <c r="K41" s="24"/>
      <c r="L41" s="23"/>
      <c r="M41" s="23"/>
      <c r="N41" s="23"/>
      <c r="O41" s="23"/>
      <c r="P41" s="24"/>
      <c r="Q41" s="23"/>
      <c r="R41" s="23"/>
      <c r="S41" s="23"/>
      <c r="T41" s="23"/>
      <c r="U41" s="24"/>
      <c r="V41" s="23"/>
      <c r="W41" s="23"/>
      <c r="X41" s="23"/>
      <c r="Y41" s="23">
        <f>+Z41</f>
        <v>48695</v>
      </c>
      <c r="Z41" s="24">
        <f>SUM(Z37:Z40)</f>
        <v>48695</v>
      </c>
      <c r="AA41" s="23">
        <f>SUM(AA37:AA40)</f>
        <v>66040</v>
      </c>
      <c r="AB41" s="23">
        <f>SUM(AB37:AB40)</f>
        <v>57299</v>
      </c>
      <c r="AC41" s="23">
        <f>SUM(AC37:AC40)</f>
        <v>56727</v>
      </c>
      <c r="AD41" s="23">
        <f>+AE41</f>
        <v>52421</v>
      </c>
      <c r="AE41" s="24">
        <f t="shared" ref="AE41:AH41" si="82">SUM(AE37:AE40)</f>
        <v>52421</v>
      </c>
      <c r="AF41" s="23">
        <f t="shared" si="82"/>
        <v>50907</v>
      </c>
      <c r="AG41" s="23">
        <f t="shared" si="82"/>
        <v>51293</v>
      </c>
      <c r="AH41" s="23">
        <f t="shared" si="82"/>
        <v>51672</v>
      </c>
      <c r="AI41" s="23">
        <f>+AJ41</f>
        <v>51256</v>
      </c>
      <c r="AJ41" s="24">
        <f t="shared" ref="AJ41:AM41" si="83">SUM(AJ37:AJ40)</f>
        <v>51256</v>
      </c>
      <c r="AK41" s="23">
        <f t="shared" si="83"/>
        <v>50287</v>
      </c>
      <c r="AL41" s="23">
        <f t="shared" si="83"/>
        <v>49201</v>
      </c>
      <c r="AM41" s="23">
        <f t="shared" si="83"/>
        <v>48084</v>
      </c>
      <c r="AN41" s="23">
        <f>+AO41</f>
        <v>45536</v>
      </c>
      <c r="AO41" s="24">
        <f t="shared" ref="AO41:AR41" si="84">SUM(AO37:AO40)</f>
        <v>45536</v>
      </c>
      <c r="AP41" s="23">
        <f t="shared" si="84"/>
        <v>47123</v>
      </c>
      <c r="AQ41" s="23">
        <f t="shared" si="84"/>
        <v>46314</v>
      </c>
      <c r="AR41" s="23">
        <f t="shared" si="84"/>
        <v>46195</v>
      </c>
      <c r="AS41" s="23">
        <f>+AT41</f>
        <v>53663</v>
      </c>
      <c r="AT41" s="24">
        <f t="shared" ref="AT41:AW41" si="85">SUM(AT37:AT40)</f>
        <v>53663</v>
      </c>
      <c r="AU41" s="23">
        <f t="shared" si="85"/>
        <v>53031</v>
      </c>
      <c r="AV41" s="23">
        <f t="shared" si="85"/>
        <v>50923</v>
      </c>
      <c r="AW41" s="23">
        <f t="shared" si="85"/>
        <v>49716</v>
      </c>
      <c r="AX41" s="23">
        <f>+AY41</f>
        <v>49404</v>
      </c>
      <c r="AY41" s="24">
        <f t="shared" ref="AY41:BB41" si="86">SUM(AY37:AY40)</f>
        <v>49404</v>
      </c>
      <c r="AZ41" s="23">
        <f t="shared" si="86"/>
        <v>48896</v>
      </c>
      <c r="BA41" s="23">
        <f t="shared" si="86"/>
        <v>48560</v>
      </c>
      <c r="BB41" s="23">
        <f t="shared" si="86"/>
        <v>49045</v>
      </c>
      <c r="BC41" s="23">
        <f>+BD41</f>
        <v>45157</v>
      </c>
      <c r="BD41" s="24">
        <f t="shared" ref="BD41:BE41" si="87">SUM(BD37:BD40)</f>
        <v>45157</v>
      </c>
      <c r="BE41" s="23">
        <f t="shared" si="87"/>
        <v>43818</v>
      </c>
      <c r="BF41" s="23">
        <f t="shared" ref="BF41:BG41" si="88">SUM(BF37:BF40)</f>
        <v>42583</v>
      </c>
      <c r="BG41" s="23">
        <f t="shared" si="88"/>
        <v>42416</v>
      </c>
      <c r="BH41" s="23">
        <f t="shared" ref="BH41" si="89">SUM(BH37:BH40)</f>
        <v>39510</v>
      </c>
      <c r="BI41" s="24">
        <f>SUM(BI37:BI40)</f>
        <v>39510</v>
      </c>
      <c r="BJ41" s="112"/>
      <c r="BL41" s="112"/>
      <c r="CF41" s="112"/>
    </row>
    <row r="42" spans="1:84">
      <c r="B42" s="21"/>
      <c r="C42" s="21"/>
      <c r="D42" s="21"/>
      <c r="E42" s="21"/>
      <c r="F42" s="22"/>
      <c r="G42" s="21"/>
      <c r="H42" s="21"/>
      <c r="I42" s="21"/>
      <c r="J42" s="21"/>
      <c r="K42" s="22"/>
      <c r="L42" s="21"/>
      <c r="M42" s="21"/>
      <c r="N42" s="21"/>
      <c r="O42" s="21"/>
      <c r="P42" s="22"/>
      <c r="Q42" s="21"/>
      <c r="R42" s="21"/>
      <c r="S42" s="21"/>
      <c r="T42" s="21"/>
      <c r="U42" s="22"/>
      <c r="V42" s="21"/>
      <c r="W42" s="21"/>
      <c r="X42" s="21"/>
      <c r="Y42" s="21"/>
      <c r="Z42" s="22"/>
      <c r="AA42" s="21"/>
      <c r="AB42" s="21"/>
      <c r="AC42" s="21"/>
      <c r="AD42" s="21"/>
      <c r="AE42" s="22"/>
      <c r="AF42" s="21"/>
      <c r="AG42" s="21"/>
      <c r="AH42" s="21"/>
      <c r="AI42" s="21"/>
      <c r="AJ42" s="22"/>
      <c r="AK42" s="21"/>
      <c r="AL42" s="21"/>
      <c r="AM42" s="21"/>
      <c r="AN42" s="21"/>
      <c r="AO42" s="22"/>
      <c r="AP42" s="21"/>
      <c r="AQ42" s="21"/>
      <c r="AR42" s="21"/>
      <c r="AS42" s="21"/>
      <c r="AT42" s="22"/>
      <c r="AU42" s="21"/>
      <c r="AV42" s="21"/>
      <c r="AW42" s="21"/>
      <c r="AX42" s="21"/>
      <c r="AY42" s="22"/>
      <c r="AZ42" s="21"/>
      <c r="BA42" s="21"/>
      <c r="BB42" s="21"/>
      <c r="BC42" s="21"/>
      <c r="BD42" s="22"/>
      <c r="BE42" s="21"/>
      <c r="BF42" s="21"/>
      <c r="BG42" s="21"/>
      <c r="BH42" s="21"/>
      <c r="BI42" s="22"/>
      <c r="BJ42" s="112"/>
      <c r="BL42" s="112"/>
      <c r="CF42" s="112"/>
    </row>
    <row r="43" spans="1:84">
      <c r="A43" s="8" t="s">
        <v>102</v>
      </c>
      <c r="B43" s="23"/>
      <c r="C43" s="23"/>
      <c r="D43" s="23"/>
      <c r="E43" s="23"/>
      <c r="F43" s="24"/>
      <c r="G43" s="23"/>
      <c r="H43" s="23"/>
      <c r="I43" s="23"/>
      <c r="J43" s="23"/>
      <c r="K43" s="24"/>
      <c r="L43" s="23"/>
      <c r="M43" s="23"/>
      <c r="N43" s="23"/>
      <c r="O43" s="23"/>
      <c r="P43" s="24"/>
      <c r="Q43" s="23"/>
      <c r="R43" s="23"/>
      <c r="S43" s="23"/>
      <c r="T43" s="23"/>
      <c r="U43" s="24"/>
      <c r="V43" s="23"/>
      <c r="W43" s="23"/>
      <c r="X43" s="23"/>
      <c r="Y43" s="23">
        <f>+Z43</f>
        <v>95289</v>
      </c>
      <c r="Z43" s="24">
        <f>+Z41+Z34</f>
        <v>95289</v>
      </c>
      <c r="AA43" s="23">
        <f>+AA41+AA34</f>
        <v>97542</v>
      </c>
      <c r="AB43" s="23">
        <f>+AB41+AB34</f>
        <v>92590</v>
      </c>
      <c r="AC43" s="23">
        <f>+AC41+AC34</f>
        <v>92289</v>
      </c>
      <c r="AD43" s="23">
        <f>+AE43</f>
        <v>88269</v>
      </c>
      <c r="AE43" s="24">
        <f t="shared" ref="AE43:AH43" si="90">+AE41+AE34</f>
        <v>88269</v>
      </c>
      <c r="AF43" s="23">
        <f t="shared" si="90"/>
        <v>87266</v>
      </c>
      <c r="AG43" s="23">
        <f t="shared" si="90"/>
        <v>86087</v>
      </c>
      <c r="AH43" s="23">
        <f t="shared" si="90"/>
        <v>85803</v>
      </c>
      <c r="AI43" s="23">
        <f>+AJ43</f>
        <v>86705</v>
      </c>
      <c r="AJ43" s="24">
        <f t="shared" ref="AJ43:AM43" si="91">+AJ41+AJ34</f>
        <v>86705</v>
      </c>
      <c r="AK43" s="23">
        <f t="shared" si="91"/>
        <v>85344</v>
      </c>
      <c r="AL43" s="23">
        <f t="shared" si="91"/>
        <v>86989</v>
      </c>
      <c r="AM43" s="23">
        <f t="shared" si="91"/>
        <v>86457</v>
      </c>
      <c r="AN43" s="23">
        <f>+AO43</f>
        <v>84650</v>
      </c>
      <c r="AO43" s="24">
        <f t="shared" ref="AO43:AR43" si="92">+AO41+AO34</f>
        <v>84650</v>
      </c>
      <c r="AP43" s="23">
        <f t="shared" si="92"/>
        <v>87251</v>
      </c>
      <c r="AQ43" s="23">
        <f t="shared" si="92"/>
        <v>88074</v>
      </c>
      <c r="AR43" s="23">
        <f t="shared" si="92"/>
        <v>91197</v>
      </c>
      <c r="AS43" s="23">
        <f>+AT43</f>
        <v>100424</v>
      </c>
      <c r="AT43" s="24">
        <f t="shared" ref="AT43:AW43" si="93">+AT41+AT34</f>
        <v>100424</v>
      </c>
      <c r="AU43" s="23">
        <f t="shared" si="93"/>
        <v>98050</v>
      </c>
      <c r="AV43" s="23">
        <f t="shared" si="93"/>
        <v>100488</v>
      </c>
      <c r="AW43" s="23">
        <f t="shared" si="93"/>
        <v>101963</v>
      </c>
      <c r="AX43" s="23">
        <f>+AY43</f>
        <v>100903</v>
      </c>
      <c r="AY43" s="24">
        <f t="shared" ref="AY43:BB43" si="94">+AY41+AY34</f>
        <v>100903</v>
      </c>
      <c r="AZ43" s="23">
        <f t="shared" si="94"/>
        <v>101520</v>
      </c>
      <c r="BA43" s="23">
        <f t="shared" si="94"/>
        <v>102892</v>
      </c>
      <c r="BB43" s="23">
        <f t="shared" si="94"/>
        <v>102279</v>
      </c>
      <c r="BC43" s="23">
        <f>+BD43</f>
        <v>103941</v>
      </c>
      <c r="BD43" s="24">
        <f t="shared" ref="BD43:BE43" si="95">+BD41+BD34</f>
        <v>103941</v>
      </c>
      <c r="BE43" s="23">
        <f t="shared" si="95"/>
        <v>102397</v>
      </c>
      <c r="BF43" s="23">
        <f t="shared" ref="BF43:BG43" si="96">+BF41+BF34</f>
        <v>105828</v>
      </c>
      <c r="BG43" s="23">
        <f t="shared" si="96"/>
        <v>106059.68808876713</v>
      </c>
      <c r="BH43" s="23">
        <f t="shared" ref="BH43:BI43" si="97">+BH41+BH34</f>
        <v>103557.13023791779</v>
      </c>
      <c r="BI43" s="24">
        <f t="shared" si="97"/>
        <v>103557.13023791779</v>
      </c>
      <c r="BJ43" s="112"/>
      <c r="BL43" s="112"/>
      <c r="CF43" s="112"/>
    </row>
    <row r="44" spans="1:84">
      <c r="B44" s="21"/>
      <c r="C44" s="21"/>
      <c r="D44" s="21"/>
      <c r="E44" s="21"/>
      <c r="F44" s="22"/>
      <c r="G44" s="21"/>
      <c r="H44" s="21"/>
      <c r="I44" s="21"/>
      <c r="J44" s="21"/>
      <c r="K44" s="22"/>
      <c r="L44" s="21"/>
      <c r="M44" s="21"/>
      <c r="N44" s="21"/>
      <c r="O44" s="21"/>
      <c r="P44" s="22"/>
      <c r="Q44" s="21"/>
      <c r="R44" s="21"/>
      <c r="S44" s="21"/>
      <c r="T44" s="21"/>
      <c r="U44" s="22"/>
      <c r="V44" s="21"/>
      <c r="W44" s="21"/>
      <c r="X44" s="21"/>
      <c r="Y44" s="21"/>
      <c r="Z44" s="22"/>
      <c r="AA44" s="21"/>
      <c r="AB44" s="21"/>
      <c r="AC44" s="21"/>
      <c r="AD44" s="21"/>
      <c r="AE44" s="22"/>
      <c r="AF44" s="21"/>
      <c r="AG44" s="21"/>
      <c r="AH44" s="21"/>
      <c r="AI44" s="21"/>
      <c r="AJ44" s="22"/>
      <c r="AK44" s="21"/>
      <c r="AL44" s="21"/>
      <c r="AM44" s="21"/>
      <c r="AN44" s="21"/>
      <c r="AO44" s="22"/>
      <c r="AP44" s="21"/>
      <c r="AQ44" s="21"/>
      <c r="AR44" s="21"/>
      <c r="AS44" s="21"/>
      <c r="AT44" s="22"/>
      <c r="AU44" s="21"/>
      <c r="AV44" s="21"/>
      <c r="AW44" s="21"/>
      <c r="AX44" s="21"/>
      <c r="AY44" s="22"/>
      <c r="AZ44" s="21"/>
      <c r="BA44" s="21"/>
      <c r="BB44" s="21"/>
      <c r="BC44" s="21"/>
      <c r="BD44" s="22"/>
      <c r="BE44" s="21"/>
      <c r="BF44" s="21"/>
      <c r="BG44" s="21"/>
      <c r="BH44" s="21"/>
      <c r="BI44" s="22"/>
      <c r="BJ44" s="112"/>
      <c r="BL44" s="112"/>
      <c r="CF44" s="112"/>
    </row>
    <row r="45" spans="1:84">
      <c r="A45" s="1" t="s">
        <v>268</v>
      </c>
      <c r="B45" s="41"/>
      <c r="C45" s="41"/>
      <c r="D45" s="41"/>
      <c r="E45" s="21"/>
      <c r="F45" s="43"/>
      <c r="G45" s="41"/>
      <c r="H45" s="41"/>
      <c r="I45" s="41"/>
      <c r="J45" s="21"/>
      <c r="K45" s="43"/>
      <c r="L45" s="41"/>
      <c r="M45" s="41"/>
      <c r="N45" s="41"/>
      <c r="O45" s="21"/>
      <c r="P45" s="43"/>
      <c r="Q45" s="41"/>
      <c r="R45" s="41"/>
      <c r="S45" s="41"/>
      <c r="T45" s="21"/>
      <c r="U45" s="43"/>
      <c r="V45" s="41"/>
      <c r="W45" s="41"/>
      <c r="X45" s="41"/>
      <c r="Y45" s="21">
        <f>+Z45</f>
        <v>95</v>
      </c>
      <c r="Z45" s="43">
        <v>95</v>
      </c>
      <c r="AA45" s="41">
        <v>95</v>
      </c>
      <c r="AB45" s="41">
        <v>35</v>
      </c>
      <c r="AC45" s="41">
        <v>30</v>
      </c>
      <c r="AD45" s="21">
        <f>+AE45</f>
        <v>32</v>
      </c>
      <c r="AE45" s="43">
        <v>32</v>
      </c>
      <c r="AF45" s="41">
        <v>34</v>
      </c>
      <c r="AG45" s="41">
        <v>30</v>
      </c>
      <c r="AH45" s="41">
        <v>32</v>
      </c>
      <c r="AI45" s="21">
        <f>+AJ45</f>
        <v>35</v>
      </c>
      <c r="AJ45" s="43">
        <v>35</v>
      </c>
      <c r="AK45" s="41">
        <v>36</v>
      </c>
      <c r="AL45" s="41">
        <v>38</v>
      </c>
      <c r="AM45" s="41">
        <v>33</v>
      </c>
      <c r="AN45" s="21">
        <f>+AO45</f>
        <v>36</v>
      </c>
      <c r="AO45" s="43">
        <v>36</v>
      </c>
      <c r="AP45" s="41">
        <v>38</v>
      </c>
      <c r="AQ45" s="41">
        <v>31</v>
      </c>
      <c r="AR45" s="41">
        <v>33</v>
      </c>
      <c r="AS45" s="21">
        <f>+AT45</f>
        <v>35</v>
      </c>
      <c r="AT45" s="43">
        <v>35</v>
      </c>
      <c r="AU45" s="41">
        <v>37</v>
      </c>
      <c r="AV45" s="41">
        <v>31</v>
      </c>
      <c r="AW45" s="41">
        <v>33</v>
      </c>
      <c r="AX45" s="21">
        <f>+AY45</f>
        <v>35</v>
      </c>
      <c r="AY45" s="43">
        <v>35</v>
      </c>
      <c r="AZ45" s="41">
        <v>37</v>
      </c>
      <c r="BA45" s="41">
        <v>41</v>
      </c>
      <c r="BB45" s="41">
        <v>34</v>
      </c>
      <c r="BC45" s="21">
        <f>+BD45</f>
        <v>36</v>
      </c>
      <c r="BD45" s="43">
        <v>36</v>
      </c>
      <c r="BE45" s="41">
        <v>37</v>
      </c>
      <c r="BF45" s="41">
        <v>28</v>
      </c>
      <c r="BG45" s="41">
        <f t="shared" ref="BG45" si="98">BF45</f>
        <v>28</v>
      </c>
      <c r="BH45" s="41">
        <f t="shared" ref="BH45" si="99">BG45</f>
        <v>28</v>
      </c>
      <c r="BI45" s="22">
        <f t="shared" ref="BI45" si="100">BH45</f>
        <v>28</v>
      </c>
      <c r="BJ45" s="112"/>
      <c r="BK45" s="554"/>
      <c r="BL45" s="112"/>
      <c r="CE45" t="s">
        <v>268</v>
      </c>
      <c r="CF45" s="112">
        <f t="shared" si="65"/>
        <v>1</v>
      </c>
    </row>
    <row r="46" spans="1:84">
      <c r="B46" s="21"/>
      <c r="C46" s="21"/>
      <c r="D46" s="21"/>
      <c r="E46" s="21"/>
      <c r="F46" s="22"/>
      <c r="G46" s="21"/>
      <c r="H46" s="21"/>
      <c r="I46" s="21"/>
      <c r="J46" s="21"/>
      <c r="K46" s="22"/>
      <c r="L46" s="21"/>
      <c r="M46" s="21"/>
      <c r="N46" s="21"/>
      <c r="O46" s="21"/>
      <c r="P46" s="22"/>
      <c r="Q46" s="21"/>
      <c r="R46" s="21"/>
      <c r="S46" s="21"/>
      <c r="T46" s="21"/>
      <c r="U46" s="22"/>
      <c r="V46" s="21"/>
      <c r="W46" s="21"/>
      <c r="X46" s="21"/>
      <c r="Y46" s="21"/>
      <c r="Z46" s="22"/>
      <c r="AA46" s="21"/>
      <c r="AB46" s="21"/>
      <c r="AC46" s="21"/>
      <c r="AD46" s="21"/>
      <c r="AE46" s="22"/>
      <c r="AF46" s="21"/>
      <c r="AG46" s="21"/>
      <c r="AH46" s="21"/>
      <c r="AI46" s="21"/>
      <c r="AJ46" s="22"/>
      <c r="AK46" s="21"/>
      <c r="AL46" s="21"/>
      <c r="AM46" s="21"/>
      <c r="AN46" s="21"/>
      <c r="AO46" s="22"/>
      <c r="AP46" s="21"/>
      <c r="AQ46" s="21"/>
      <c r="AR46" s="21"/>
      <c r="AS46" s="21"/>
      <c r="AT46" s="22"/>
      <c r="AU46" s="21"/>
      <c r="AV46" s="21"/>
      <c r="AW46" s="21"/>
      <c r="AX46" s="21"/>
      <c r="AY46" s="22"/>
      <c r="AZ46" s="21"/>
      <c r="BA46" s="21"/>
      <c r="BB46" s="21"/>
      <c r="BC46" s="21"/>
      <c r="BD46" s="22"/>
      <c r="BE46" s="21"/>
      <c r="BF46" s="21"/>
      <c r="BG46" s="21"/>
      <c r="BH46" s="21"/>
      <c r="BI46" s="22"/>
      <c r="BJ46" s="112"/>
      <c r="BL46" s="112"/>
      <c r="CF46" s="112"/>
    </row>
    <row r="47" spans="1:84">
      <c r="A47" s="4" t="s">
        <v>37</v>
      </c>
      <c r="B47" s="21"/>
      <c r="C47" s="21"/>
      <c r="D47" s="21"/>
      <c r="E47" s="21"/>
      <c r="F47" s="22"/>
      <c r="G47" s="21"/>
      <c r="H47" s="21"/>
      <c r="I47" s="21"/>
      <c r="J47" s="21"/>
      <c r="K47" s="22"/>
      <c r="L47" s="21"/>
      <c r="M47" s="21"/>
      <c r="N47" s="21"/>
      <c r="O47" s="21"/>
      <c r="P47" s="22"/>
      <c r="Q47" s="21"/>
      <c r="R47" s="21"/>
      <c r="S47" s="21"/>
      <c r="T47" s="21"/>
      <c r="U47" s="22"/>
      <c r="V47" s="21"/>
      <c r="W47" s="21"/>
      <c r="X47" s="21"/>
      <c r="Y47" s="21"/>
      <c r="Z47" s="22"/>
      <c r="AA47" s="21"/>
      <c r="AB47" s="21"/>
      <c r="AC47" s="21"/>
      <c r="AD47" s="21"/>
      <c r="AE47" s="22"/>
      <c r="AF47" s="21"/>
      <c r="AG47" s="21"/>
      <c r="AH47" s="21"/>
      <c r="AI47" s="21"/>
      <c r="AJ47" s="22"/>
      <c r="AK47" s="21"/>
      <c r="AL47" s="21"/>
      <c r="AM47" s="21"/>
      <c r="AN47" s="21"/>
      <c r="AO47" s="22"/>
      <c r="AP47" s="21"/>
      <c r="AQ47" s="21"/>
      <c r="AR47" s="21"/>
      <c r="AS47" s="21"/>
      <c r="AT47" s="22"/>
      <c r="AU47" s="21"/>
      <c r="AV47" s="21"/>
      <c r="AW47" s="21"/>
      <c r="AX47" s="21"/>
      <c r="AY47" s="22"/>
      <c r="AZ47" s="21"/>
      <c r="BA47" s="21"/>
      <c r="BB47" s="21"/>
      <c r="BC47" s="21"/>
      <c r="BD47" s="22"/>
      <c r="BE47" s="21"/>
      <c r="BF47" s="21"/>
      <c r="BG47" s="21"/>
      <c r="BH47" s="21"/>
      <c r="BI47" s="22"/>
      <c r="BJ47" s="112"/>
      <c r="BL47" s="112"/>
      <c r="CF47" s="112"/>
    </row>
    <row r="48" spans="1:84">
      <c r="A48" s="1" t="s">
        <v>103</v>
      </c>
      <c r="B48" s="21"/>
      <c r="C48" s="21"/>
      <c r="D48" s="21"/>
      <c r="E48" s="21"/>
      <c r="F48" s="22"/>
      <c r="G48" s="21"/>
      <c r="H48" s="21"/>
      <c r="I48" s="21"/>
      <c r="J48" s="21"/>
      <c r="K48" s="22"/>
      <c r="L48" s="21"/>
      <c r="M48" s="21"/>
      <c r="N48" s="21"/>
      <c r="O48" s="21"/>
      <c r="P48" s="22"/>
      <c r="Q48" s="21"/>
      <c r="R48" s="21"/>
      <c r="S48" s="21"/>
      <c r="T48" s="21"/>
      <c r="U48" s="22"/>
      <c r="V48" s="21"/>
      <c r="W48" s="21"/>
      <c r="X48" s="21"/>
      <c r="Y48" s="21"/>
      <c r="Z48" s="22"/>
      <c r="AA48" s="21"/>
      <c r="AB48" s="21"/>
      <c r="AC48" s="21"/>
      <c r="AD48" s="21"/>
      <c r="AE48" s="22"/>
      <c r="AF48" s="21"/>
      <c r="AG48" s="21"/>
      <c r="AH48" s="21"/>
      <c r="AI48" s="21"/>
      <c r="AJ48" s="22"/>
      <c r="AK48" s="21"/>
      <c r="AL48" s="21"/>
      <c r="AM48" s="21"/>
      <c r="AN48" s="21"/>
      <c r="AO48" s="22"/>
      <c r="AP48" s="21"/>
      <c r="AQ48" s="21"/>
      <c r="AR48" s="21"/>
      <c r="AS48" s="21"/>
      <c r="AT48" s="22"/>
      <c r="AU48" s="21"/>
      <c r="AV48" s="21"/>
      <c r="AW48" s="21"/>
      <c r="AX48" s="21"/>
      <c r="AY48" s="22"/>
      <c r="AZ48" s="21"/>
      <c r="BA48" s="21"/>
      <c r="BB48" s="21"/>
      <c r="BC48" s="21"/>
      <c r="BD48" s="22"/>
      <c r="BE48" s="21"/>
      <c r="BF48" s="21"/>
      <c r="BG48" s="21"/>
      <c r="BH48" s="21"/>
      <c r="BI48" s="22"/>
      <c r="BJ48" s="112"/>
      <c r="BL48" s="112"/>
      <c r="CF48" s="112"/>
    </row>
    <row r="49" spans="1:84">
      <c r="A49" s="1" t="s">
        <v>265</v>
      </c>
      <c r="B49" s="41"/>
      <c r="C49" s="41"/>
      <c r="D49" s="41"/>
      <c r="E49" s="21"/>
      <c r="F49" s="43"/>
      <c r="G49" s="41"/>
      <c r="H49" s="41"/>
      <c r="I49" s="41"/>
      <c r="J49" s="21"/>
      <c r="K49" s="43"/>
      <c r="L49" s="41"/>
      <c r="M49" s="41"/>
      <c r="N49" s="41"/>
      <c r="O49" s="21"/>
      <c r="P49" s="43"/>
      <c r="Q49" s="41"/>
      <c r="R49" s="41"/>
      <c r="S49" s="41"/>
      <c r="T49" s="21"/>
      <c r="U49" s="75">
        <f>Z49</f>
        <v>23019</v>
      </c>
      <c r="V49" s="41"/>
      <c r="W49" s="41"/>
      <c r="X49" s="41"/>
      <c r="Y49" s="21">
        <f t="shared" ref="Y49:Y54" si="101">+Z49</f>
        <v>23019</v>
      </c>
      <c r="Z49" s="43">
        <v>23019</v>
      </c>
      <c r="AA49" s="41">
        <v>23099</v>
      </c>
      <c r="AB49" s="41">
        <v>36735</v>
      </c>
      <c r="AC49" s="41">
        <v>36781</v>
      </c>
      <c r="AD49" s="21">
        <f t="shared" ref="AD49:AD54" si="102">+AE49</f>
        <v>36930</v>
      </c>
      <c r="AE49" s="43">
        <v>36930</v>
      </c>
      <c r="AF49" s="41">
        <v>36951</v>
      </c>
      <c r="AG49" s="41">
        <v>37140</v>
      </c>
      <c r="AH49" s="41">
        <v>37302</v>
      </c>
      <c r="AI49" s="21">
        <f t="shared" ref="AI49:AI54" si="103">+AJ49</f>
        <v>37483</v>
      </c>
      <c r="AJ49" s="43">
        <v>37483</v>
      </c>
      <c r="AK49" s="41">
        <v>37468</v>
      </c>
      <c r="AL49" s="41">
        <v>37640</v>
      </c>
      <c r="AM49" s="41">
        <v>37798</v>
      </c>
      <c r="AN49" s="21">
        <f t="shared" ref="AN49:AN54" si="104">+AO49</f>
        <v>37911</v>
      </c>
      <c r="AO49" s="43">
        <v>37911</v>
      </c>
      <c r="AP49" s="41">
        <v>38005</v>
      </c>
      <c r="AQ49" s="41">
        <v>38206</v>
      </c>
      <c r="AR49" s="41">
        <v>38369</v>
      </c>
      <c r="AS49" s="21">
        <f t="shared" ref="AS49:AS54" si="105">+AT49</f>
        <v>37040</v>
      </c>
      <c r="AT49" s="43">
        <v>37040</v>
      </c>
      <c r="AU49" s="41">
        <v>37097</v>
      </c>
      <c r="AV49" s="41">
        <v>37295</v>
      </c>
      <c r="AW49" s="41">
        <v>37276</v>
      </c>
      <c r="AX49" s="21">
        <f t="shared" ref="AX49:AX51" si="106">+AY49</f>
        <v>37434</v>
      </c>
      <c r="AY49" s="43">
        <v>37434</v>
      </c>
      <c r="AZ49" s="41">
        <v>37515</v>
      </c>
      <c r="BA49" s="41">
        <v>37680</v>
      </c>
      <c r="BB49" s="41">
        <v>37869</v>
      </c>
      <c r="BC49" s="21">
        <f t="shared" ref="BC49:BC51" si="107">+BD49</f>
        <v>38126</v>
      </c>
      <c r="BD49" s="43">
        <v>38126</v>
      </c>
      <c r="BE49" s="41">
        <v>38178</v>
      </c>
      <c r="BF49" s="41">
        <v>38424</v>
      </c>
      <c r="BG49" s="42">
        <f t="shared" ref="BG49" si="108">BF49</f>
        <v>38424</v>
      </c>
      <c r="BH49" s="42">
        <f>BG49</f>
        <v>38424</v>
      </c>
      <c r="BI49" s="22">
        <f t="shared" ref="BI49" si="109">BH49</f>
        <v>38424</v>
      </c>
      <c r="BJ49" s="112"/>
      <c r="BL49" s="112"/>
      <c r="CE49" t="s">
        <v>265</v>
      </c>
      <c r="CF49" s="112">
        <f t="shared" si="65"/>
        <v>-15</v>
      </c>
    </row>
    <row r="50" spans="1:84">
      <c r="A50" s="1" t="s">
        <v>266</v>
      </c>
      <c r="B50" s="41"/>
      <c r="C50" s="41"/>
      <c r="D50" s="41"/>
      <c r="E50" s="21"/>
      <c r="F50" s="43"/>
      <c r="G50" s="41"/>
      <c r="H50" s="41"/>
      <c r="I50" s="41"/>
      <c r="J50" s="21"/>
      <c r="K50" s="43"/>
      <c r="L50" s="41"/>
      <c r="M50" s="41"/>
      <c r="N50" s="41"/>
      <c r="O50" s="21"/>
      <c r="P50" s="43"/>
      <c r="Q50" s="41"/>
      <c r="R50" s="41"/>
      <c r="S50" s="41"/>
      <c r="T50" s="21"/>
      <c r="U50" s="43"/>
      <c r="V50" s="41"/>
      <c r="W50" s="41"/>
      <c r="X50" s="41"/>
      <c r="Y50" s="21">
        <f t="shared" si="101"/>
        <v>-32626</v>
      </c>
      <c r="Z50" s="43">
        <v>-32626</v>
      </c>
      <c r="AA50" s="41">
        <v>-32665</v>
      </c>
      <c r="AB50" s="41">
        <v>-10398</v>
      </c>
      <c r="AC50" s="41">
        <v>-10407</v>
      </c>
      <c r="AD50" s="21">
        <f t="shared" si="102"/>
        <v>-10407</v>
      </c>
      <c r="AE50" s="43">
        <v>-10407</v>
      </c>
      <c r="AF50" s="41">
        <v>-10780</v>
      </c>
      <c r="AG50" s="41">
        <v>-11424</v>
      </c>
      <c r="AH50" s="41">
        <v>-12398</v>
      </c>
      <c r="AI50" s="21">
        <f t="shared" si="103"/>
        <v>-12727</v>
      </c>
      <c r="AJ50" s="43">
        <v>-12727</v>
      </c>
      <c r="AK50" s="41">
        <v>-13483</v>
      </c>
      <c r="AL50" s="41">
        <v>-14539</v>
      </c>
      <c r="AM50" s="41">
        <v>-15141</v>
      </c>
      <c r="AN50" s="21">
        <f t="shared" si="104"/>
        <v>-15530</v>
      </c>
      <c r="AO50" s="43">
        <v>-15530</v>
      </c>
      <c r="AP50" s="41">
        <v>-16112</v>
      </c>
      <c r="AQ50" s="41">
        <v>-16713</v>
      </c>
      <c r="AR50" s="41">
        <v>-18170</v>
      </c>
      <c r="AS50" s="21">
        <f t="shared" si="105"/>
        <v>-26977</v>
      </c>
      <c r="AT50" s="43">
        <v>-26977</v>
      </c>
      <c r="AU50" s="41">
        <v>-27029</v>
      </c>
      <c r="AV50" s="41">
        <v>-27080</v>
      </c>
      <c r="AW50" s="41">
        <v>-27141</v>
      </c>
      <c r="AX50" s="21">
        <f t="shared" si="106"/>
        <v>-27112</v>
      </c>
      <c r="AY50" s="43">
        <v>-27112</v>
      </c>
      <c r="AZ50" s="41">
        <v>-27069</v>
      </c>
      <c r="BA50" s="41">
        <v>-26995</v>
      </c>
      <c r="BB50" s="41">
        <v>-26937</v>
      </c>
      <c r="BC50" s="21">
        <f t="shared" si="107"/>
        <v>-26881</v>
      </c>
      <c r="BD50" s="43">
        <v>-26881</v>
      </c>
      <c r="BE50" s="41">
        <v>-26814</v>
      </c>
      <c r="BF50" s="41">
        <v>-26758</v>
      </c>
      <c r="BG50" s="42">
        <f>BF50+Cash_Flow_Qtr!BG41</f>
        <v>-26758</v>
      </c>
      <c r="BH50" s="42">
        <f>BG50+Cash_Flow_Qtr!BH41</f>
        <v>-26758</v>
      </c>
      <c r="BI50" s="22">
        <f>BH50</f>
        <v>-26758</v>
      </c>
      <c r="BJ50" s="112"/>
      <c r="BL50" s="112"/>
      <c r="CE50" t="s">
        <v>266</v>
      </c>
      <c r="CF50" s="112">
        <f t="shared" si="65"/>
        <v>-756</v>
      </c>
    </row>
    <row r="51" spans="1:84">
      <c r="A51" s="1" t="s">
        <v>105</v>
      </c>
      <c r="B51" s="41"/>
      <c r="C51" s="41"/>
      <c r="D51" s="41"/>
      <c r="E51" s="21"/>
      <c r="F51" s="43"/>
      <c r="G51" s="41"/>
      <c r="H51" s="41"/>
      <c r="I51" s="41"/>
      <c r="J51" s="21"/>
      <c r="K51" s="43"/>
      <c r="L51" s="41"/>
      <c r="M51" s="41"/>
      <c r="N51" s="41"/>
      <c r="O51" s="21"/>
      <c r="P51" s="43"/>
      <c r="Q51" s="41"/>
      <c r="R51" s="41"/>
      <c r="S51" s="41"/>
      <c r="T51" s="21"/>
      <c r="U51" s="75">
        <f>Z51</f>
        <v>61594</v>
      </c>
      <c r="V51" s="41"/>
      <c r="W51" s="41"/>
      <c r="X51" s="41"/>
      <c r="Y51" s="21">
        <f t="shared" si="101"/>
        <v>61594</v>
      </c>
      <c r="Z51" s="43">
        <v>61594</v>
      </c>
      <c r="AA51" s="41">
        <v>60826</v>
      </c>
      <c r="AB51" s="41">
        <v>49744</v>
      </c>
      <c r="AC51" s="41">
        <v>50017</v>
      </c>
      <c r="AD51" s="21">
        <f t="shared" si="102"/>
        <v>49423</v>
      </c>
      <c r="AE51" s="43">
        <v>49423</v>
      </c>
      <c r="AF51" s="41">
        <v>49460</v>
      </c>
      <c r="AG51" s="41">
        <v>48954</v>
      </c>
      <c r="AH51" s="41">
        <v>50343</v>
      </c>
      <c r="AI51" s="21">
        <f t="shared" si="103"/>
        <v>50265</v>
      </c>
      <c r="AJ51" s="43">
        <v>50265</v>
      </c>
      <c r="AK51" s="41">
        <v>50592</v>
      </c>
      <c r="AL51" s="41">
        <v>50271</v>
      </c>
      <c r="AM51" s="41">
        <v>51652</v>
      </c>
      <c r="AN51" s="21">
        <f t="shared" si="104"/>
        <v>52269</v>
      </c>
      <c r="AO51" s="43">
        <v>52269</v>
      </c>
      <c r="AP51" s="41">
        <v>52891</v>
      </c>
      <c r="AQ51" s="41">
        <v>52489</v>
      </c>
      <c r="AR51" s="41">
        <v>51513</v>
      </c>
      <c r="AS51" s="21">
        <f t="shared" si="105"/>
        <v>52154</v>
      </c>
      <c r="AT51" s="43">
        <v>52154</v>
      </c>
      <c r="AU51" s="41">
        <v>53052</v>
      </c>
      <c r="AV51" s="41">
        <v>51488</v>
      </c>
      <c r="AW51" s="41">
        <v>52948</v>
      </c>
      <c r="AX51" s="21">
        <f t="shared" si="106"/>
        <v>53589</v>
      </c>
      <c r="AY51" s="43">
        <v>53589</v>
      </c>
      <c r="AZ51" s="41">
        <v>54277</v>
      </c>
      <c r="BA51" s="41">
        <v>54104</v>
      </c>
      <c r="BB51" s="41">
        <v>56014</v>
      </c>
      <c r="BC51" s="21">
        <f t="shared" si="107"/>
        <v>56718</v>
      </c>
      <c r="BD51" s="43">
        <v>56718</v>
      </c>
      <c r="BE51" s="41">
        <v>57861</v>
      </c>
      <c r="BF51" s="41">
        <v>58020</v>
      </c>
      <c r="BG51" s="42">
        <f>BF51+ProForma_IS_Qtr!BG49+Cash_Flow_Qtr!BG40+Cash_Flow_Qtr!BG36</f>
        <v>59100.937242698339</v>
      </c>
      <c r="BH51" s="42">
        <f>BG51+ProForma_IS_Qtr!BH49+Cash_Flow_Qtr!BH40+Cash_Flow_Qtr!BH36</f>
        <v>60165.02902924284</v>
      </c>
      <c r="BI51" s="22">
        <f>BH51</f>
        <v>60165.02902924284</v>
      </c>
      <c r="BJ51" s="112"/>
      <c r="BL51" s="112"/>
      <c r="CE51" t="s">
        <v>105</v>
      </c>
      <c r="CF51" s="112">
        <f t="shared" si="65"/>
        <v>327</v>
      </c>
    </row>
    <row r="52" spans="1:84">
      <c r="A52" s="1" t="s">
        <v>319</v>
      </c>
      <c r="B52" s="41"/>
      <c r="C52" s="41"/>
      <c r="D52" s="41"/>
      <c r="E52" s="21"/>
      <c r="F52" s="43"/>
      <c r="G52" s="41"/>
      <c r="H52" s="41"/>
      <c r="I52" s="41"/>
      <c r="J52" s="21"/>
      <c r="K52" s="43"/>
      <c r="L52" s="41"/>
      <c r="M52" s="41"/>
      <c r="N52" s="41"/>
      <c r="O52" s="21"/>
      <c r="P52" s="43"/>
      <c r="Q52" s="41"/>
      <c r="R52" s="41"/>
      <c r="S52" s="41"/>
      <c r="T52" s="21"/>
      <c r="U52" s="43"/>
      <c r="V52" s="41"/>
      <c r="W52" s="41"/>
      <c r="X52" s="41"/>
      <c r="Y52" s="21">
        <f t="shared" si="101"/>
        <v>-64</v>
      </c>
      <c r="Z52" s="43">
        <v>-64</v>
      </c>
      <c r="AA52" s="41">
        <v>-61</v>
      </c>
      <c r="AB52" s="41">
        <v>-56</v>
      </c>
      <c r="AC52" s="41">
        <v>0</v>
      </c>
      <c r="AD52" s="21">
        <f t="shared" si="102"/>
        <v>-49</v>
      </c>
      <c r="AE52" s="43">
        <v>-49</v>
      </c>
      <c r="AF52" s="41">
        <v>0</v>
      </c>
      <c r="AG52" s="41">
        <v>0</v>
      </c>
      <c r="AH52" s="41">
        <v>0</v>
      </c>
      <c r="AI52" s="21">
        <f t="shared" si="103"/>
        <v>-38</v>
      </c>
      <c r="AJ52" s="43">
        <v>-38</v>
      </c>
      <c r="AK52" s="41">
        <v>0</v>
      </c>
      <c r="AL52" s="41">
        <v>0</v>
      </c>
      <c r="AM52" s="41">
        <v>0</v>
      </c>
      <c r="AN52" s="21">
        <f t="shared" si="104"/>
        <v>0</v>
      </c>
      <c r="AO52" s="43">
        <v>0</v>
      </c>
      <c r="AP52" s="41">
        <v>0</v>
      </c>
      <c r="AQ52" s="41">
        <v>0</v>
      </c>
      <c r="AR52" s="41">
        <v>0</v>
      </c>
      <c r="AS52" s="21">
        <f>+AT52</f>
        <v>0</v>
      </c>
      <c r="AT52" s="43">
        <v>0</v>
      </c>
      <c r="AU52" s="41">
        <v>0</v>
      </c>
      <c r="AV52" s="41">
        <v>0</v>
      </c>
      <c r="AW52" s="41">
        <v>0</v>
      </c>
      <c r="AX52" s="21">
        <f>+AY52</f>
        <v>0</v>
      </c>
      <c r="AY52" s="43">
        <v>0</v>
      </c>
      <c r="AZ52" s="41">
        <v>0</v>
      </c>
      <c r="BA52" s="41">
        <v>0</v>
      </c>
      <c r="BB52" s="41">
        <v>0</v>
      </c>
      <c r="BC52" s="21">
        <f>+BD52</f>
        <v>0</v>
      </c>
      <c r="BD52" s="43">
        <v>0</v>
      </c>
      <c r="BE52" s="41">
        <v>0</v>
      </c>
      <c r="BF52" s="41">
        <v>0</v>
      </c>
      <c r="BG52" s="42">
        <f>BF52+Cash_Flow_Qtr!BG39+Cash_Flow_Qtr!BG7</f>
        <v>150</v>
      </c>
      <c r="BH52" s="42">
        <f>BG52+Cash_Flow_Qtr!BH39+Cash_Flow_Qtr!BH7</f>
        <v>304</v>
      </c>
      <c r="BI52" s="22">
        <f>BH52</f>
        <v>304</v>
      </c>
      <c r="BJ52" s="112"/>
      <c r="BL52" s="112"/>
      <c r="CE52" t="s">
        <v>319</v>
      </c>
      <c r="CF52" s="112">
        <f t="shared" si="65"/>
        <v>38</v>
      </c>
    </row>
    <row r="53" spans="1:84">
      <c r="A53" s="1" t="s">
        <v>104</v>
      </c>
      <c r="B53" s="41"/>
      <c r="C53" s="41"/>
      <c r="D53" s="41"/>
      <c r="E53" s="21"/>
      <c r="F53" s="43"/>
      <c r="G53" s="41"/>
      <c r="H53" s="41"/>
      <c r="I53" s="41"/>
      <c r="J53" s="21"/>
      <c r="K53" s="43"/>
      <c r="L53" s="41"/>
      <c r="M53" s="41"/>
      <c r="N53" s="41"/>
      <c r="O53" s="21"/>
      <c r="P53" s="43"/>
      <c r="Q53" s="41"/>
      <c r="R53" s="41"/>
      <c r="S53" s="41"/>
      <c r="T53" s="21"/>
      <c r="U53" s="43"/>
      <c r="V53" s="41"/>
      <c r="W53" s="41"/>
      <c r="X53" s="41"/>
      <c r="Y53" s="21">
        <f t="shared" si="101"/>
        <v>-10149</v>
      </c>
      <c r="Z53" s="43">
        <v>-10149</v>
      </c>
      <c r="AA53" s="41">
        <v>-11788</v>
      </c>
      <c r="AB53" s="41">
        <v>-8800</v>
      </c>
      <c r="AC53" s="41">
        <v>-8012</v>
      </c>
      <c r="AD53" s="21">
        <f t="shared" si="102"/>
        <v>-3734</v>
      </c>
      <c r="AE53" s="43">
        <v>-3734</v>
      </c>
      <c r="AF53" s="41">
        <v>-3921</v>
      </c>
      <c r="AG53" s="41">
        <v>-3555</v>
      </c>
      <c r="AH53" s="41">
        <v>-3939</v>
      </c>
      <c r="AI53" s="21">
        <f t="shared" si="103"/>
        <v>-1915</v>
      </c>
      <c r="AJ53" s="43">
        <v>-1915</v>
      </c>
      <c r="AK53" s="41">
        <v>-2115</v>
      </c>
      <c r="AL53" s="41">
        <v>-2931</v>
      </c>
      <c r="AM53" s="41">
        <v>-4122</v>
      </c>
      <c r="AN53" s="21">
        <f t="shared" si="104"/>
        <v>-2018</v>
      </c>
      <c r="AO53" s="43">
        <v>-2018</v>
      </c>
      <c r="AP53" s="41">
        <v>-1989</v>
      </c>
      <c r="AQ53" s="41">
        <v>-1502</v>
      </c>
      <c r="AR53" s="41">
        <v>-2116</v>
      </c>
      <c r="AS53" s="21">
        <f>+AT53</f>
        <v>-2419</v>
      </c>
      <c r="AT53" s="43">
        <v>-2419</v>
      </c>
      <c r="AU53" s="41">
        <v>-2635</v>
      </c>
      <c r="AV53" s="41">
        <v>-2718</v>
      </c>
      <c r="AW53" s="41">
        <v>-1969</v>
      </c>
      <c r="AX53" s="21">
        <f>+AY53</f>
        <v>-3755</v>
      </c>
      <c r="AY53" s="43">
        <v>-3755</v>
      </c>
      <c r="AZ53" s="41">
        <v>-3207</v>
      </c>
      <c r="BA53" s="41">
        <v>-2391</v>
      </c>
      <c r="BB53" s="41">
        <v>-2432</v>
      </c>
      <c r="BC53" s="21">
        <f>+BD53</f>
        <v>-2718</v>
      </c>
      <c r="BD53" s="43">
        <v>-2718</v>
      </c>
      <c r="BE53" s="41">
        <v>-2945</v>
      </c>
      <c r="BF53" s="41">
        <v>-3309</v>
      </c>
      <c r="BG53" s="42">
        <f>BF53+Cash_Flow_Qtr!BG52+Cash_Flow_Qtr!BG53+Cash_Flow_Qtr!BG35</f>
        <v>-3309</v>
      </c>
      <c r="BH53" s="42">
        <f>BG53+Cash_Flow_Qtr!BH52+Cash_Flow_Qtr!BH53</f>
        <v>-3309</v>
      </c>
      <c r="BI53" s="22">
        <f>BH53</f>
        <v>-3309</v>
      </c>
      <c r="BJ53" s="112"/>
      <c r="BL53" s="112"/>
      <c r="CE53" t="s">
        <v>104</v>
      </c>
      <c r="CF53" s="112">
        <f t="shared" si="65"/>
        <v>-200</v>
      </c>
    </row>
    <row r="54" spans="1:84">
      <c r="A54" s="8" t="s">
        <v>106</v>
      </c>
      <c r="B54" s="23"/>
      <c r="C54" s="23"/>
      <c r="D54" s="23"/>
      <c r="E54" s="23"/>
      <c r="F54" s="24"/>
      <c r="G54" s="23"/>
      <c r="H54" s="23"/>
      <c r="I54" s="23"/>
      <c r="J54" s="23"/>
      <c r="K54" s="24"/>
      <c r="L54" s="23"/>
      <c r="M54" s="23"/>
      <c r="N54" s="23"/>
      <c r="O54" s="23"/>
      <c r="P54" s="24"/>
      <c r="Q54" s="23"/>
      <c r="R54" s="23"/>
      <c r="S54" s="23"/>
      <c r="T54" s="23"/>
      <c r="U54" s="24"/>
      <c r="V54" s="23"/>
      <c r="W54" s="23"/>
      <c r="X54" s="23"/>
      <c r="Y54" s="23">
        <f t="shared" si="101"/>
        <v>41774</v>
      </c>
      <c r="Z54" s="24">
        <f t="shared" ref="Z54:AB54" si="110">SUM(Z48:Z53)</f>
        <v>41774</v>
      </c>
      <c r="AA54" s="23">
        <f t="shared" si="110"/>
        <v>39411</v>
      </c>
      <c r="AB54" s="23">
        <f t="shared" si="110"/>
        <v>67225</v>
      </c>
      <c r="AC54" s="23">
        <f t="shared" ref="AC54" si="111">SUM(AC48:AC53)</f>
        <v>68379</v>
      </c>
      <c r="AD54" s="23">
        <f t="shared" si="102"/>
        <v>72163</v>
      </c>
      <c r="AE54" s="24">
        <f t="shared" ref="AE54" si="112">SUM(AE48:AE53)</f>
        <v>72163</v>
      </c>
      <c r="AF54" s="23">
        <f t="shared" ref="AF54" si="113">SUM(AF48:AF53)</f>
        <v>71710</v>
      </c>
      <c r="AG54" s="23">
        <f t="shared" ref="AG54:AH54" si="114">SUM(AG48:AG53)</f>
        <v>71115</v>
      </c>
      <c r="AH54" s="23">
        <f t="shared" si="114"/>
        <v>71308</v>
      </c>
      <c r="AI54" s="23">
        <f t="shared" si="103"/>
        <v>73068</v>
      </c>
      <c r="AJ54" s="24">
        <f t="shared" ref="AJ54:AM54" si="115">SUM(AJ48:AJ53)</f>
        <v>73068</v>
      </c>
      <c r="AK54" s="23">
        <f t="shared" si="115"/>
        <v>72462</v>
      </c>
      <c r="AL54" s="23">
        <f t="shared" si="115"/>
        <v>70441</v>
      </c>
      <c r="AM54" s="23">
        <f t="shared" si="115"/>
        <v>70187</v>
      </c>
      <c r="AN54" s="23">
        <f t="shared" si="104"/>
        <v>72632</v>
      </c>
      <c r="AO54" s="24">
        <f t="shared" ref="AO54:AR54" si="116">SUM(AO48:AO53)</f>
        <v>72632</v>
      </c>
      <c r="AP54" s="23">
        <f t="shared" si="116"/>
        <v>72795</v>
      </c>
      <c r="AQ54" s="23">
        <f t="shared" si="116"/>
        <v>72480</v>
      </c>
      <c r="AR54" s="23">
        <f t="shared" si="116"/>
        <v>69596</v>
      </c>
      <c r="AS54" s="23">
        <f t="shared" si="105"/>
        <v>59798</v>
      </c>
      <c r="AT54" s="24">
        <f>SUM(AT48:AT53)</f>
        <v>59798</v>
      </c>
      <c r="AU54" s="23">
        <f t="shared" ref="AU54:AW54" si="117">SUM(AU48:AU53)</f>
        <v>60485</v>
      </c>
      <c r="AV54" s="23">
        <f t="shared" si="117"/>
        <v>58985</v>
      </c>
      <c r="AW54" s="23">
        <f t="shared" si="117"/>
        <v>61114</v>
      </c>
      <c r="AX54" s="23">
        <f t="shared" ref="AX54" si="118">+AY54</f>
        <v>60156</v>
      </c>
      <c r="AY54" s="24">
        <f>SUM(AY48:AY53)</f>
        <v>60156</v>
      </c>
      <c r="AZ54" s="23">
        <f t="shared" ref="AZ54:BB54" si="119">SUM(AZ48:AZ53)</f>
        <v>61516</v>
      </c>
      <c r="BA54" s="23">
        <f t="shared" si="119"/>
        <v>62398</v>
      </c>
      <c r="BB54" s="23">
        <f t="shared" si="119"/>
        <v>64514</v>
      </c>
      <c r="BC54" s="23">
        <f t="shared" ref="BC54" si="120">+BD54</f>
        <v>65245</v>
      </c>
      <c r="BD54" s="24">
        <f>SUM(BD48:BD53)</f>
        <v>65245</v>
      </c>
      <c r="BE54" s="23">
        <f t="shared" ref="BE54" si="121">SUM(BE48:BE53)</f>
        <v>66280</v>
      </c>
      <c r="BF54" s="23">
        <f t="shared" ref="BF54:BG54" si="122">SUM(BF48:BF53)</f>
        <v>66377</v>
      </c>
      <c r="BG54" s="23">
        <f t="shared" si="122"/>
        <v>67607.937242698332</v>
      </c>
      <c r="BH54" s="23">
        <f t="shared" ref="BH54:BI54" si="123">SUM(BH48:BH53)</f>
        <v>68826.02902924284</v>
      </c>
      <c r="BI54" s="24">
        <f t="shared" si="123"/>
        <v>68826.02902924284</v>
      </c>
      <c r="BJ54" s="112"/>
      <c r="BL54" s="112"/>
      <c r="CF54" s="112"/>
    </row>
    <row r="55" spans="1:84">
      <c r="B55" s="21"/>
      <c r="C55" s="21"/>
      <c r="D55" s="21"/>
      <c r="E55" s="21"/>
      <c r="F55" s="22"/>
      <c r="G55" s="21"/>
      <c r="H55" s="21"/>
      <c r="I55" s="21"/>
      <c r="J55" s="21"/>
      <c r="K55" s="22"/>
      <c r="L55" s="21"/>
      <c r="M55" s="21"/>
      <c r="N55" s="21"/>
      <c r="O55" s="21"/>
      <c r="P55" s="22"/>
      <c r="Q55" s="21"/>
      <c r="R55" s="21"/>
      <c r="S55" s="21"/>
      <c r="T55" s="21"/>
      <c r="U55" s="22"/>
      <c r="V55" s="21"/>
      <c r="W55" s="21"/>
      <c r="X55" s="21"/>
      <c r="Y55" s="21"/>
      <c r="Z55" s="22"/>
      <c r="AA55" s="21"/>
      <c r="AB55" s="21"/>
      <c r="AC55" s="21"/>
      <c r="AD55" s="21"/>
      <c r="AE55" s="22"/>
      <c r="AF55" s="21"/>
      <c r="AG55" s="21"/>
      <c r="AH55" s="21"/>
      <c r="AI55" s="21"/>
      <c r="AJ55" s="22"/>
      <c r="AK55" s="21"/>
      <c r="AL55" s="21"/>
      <c r="AM55" s="21"/>
      <c r="AN55" s="21"/>
      <c r="AO55" s="22"/>
      <c r="AP55" s="21"/>
      <c r="AQ55" s="21"/>
      <c r="AR55" s="21"/>
      <c r="AS55" s="21"/>
      <c r="AT55" s="22"/>
      <c r="AU55" s="21"/>
      <c r="AV55" s="21"/>
      <c r="AW55" s="21"/>
      <c r="AX55" s="21"/>
      <c r="AY55" s="22"/>
      <c r="AZ55" s="21"/>
      <c r="BA55" s="21"/>
      <c r="BB55" s="21"/>
      <c r="BC55" s="21"/>
      <c r="BD55" s="22"/>
      <c r="BE55" s="21"/>
      <c r="BF55" s="21"/>
      <c r="BG55" s="21"/>
      <c r="BH55" s="21"/>
      <c r="BI55" s="22"/>
      <c r="BJ55" s="112"/>
      <c r="BL55" s="464"/>
      <c r="CF55" s="112"/>
    </row>
    <row r="56" spans="1:84" s="4" customFormat="1">
      <c r="A56" s="4" t="s">
        <v>107</v>
      </c>
      <c r="B56" s="84"/>
      <c r="C56" s="84"/>
      <c r="D56" s="84"/>
      <c r="E56" s="39"/>
      <c r="F56" s="85"/>
      <c r="G56" s="84"/>
      <c r="H56" s="84"/>
      <c r="I56" s="84"/>
      <c r="J56" s="39"/>
      <c r="K56" s="85"/>
      <c r="L56" s="84"/>
      <c r="M56" s="84"/>
      <c r="N56" s="84"/>
      <c r="O56" s="39"/>
      <c r="P56" s="85"/>
      <c r="Q56" s="84"/>
      <c r="R56" s="84"/>
      <c r="S56" s="84"/>
      <c r="T56" s="39"/>
      <c r="U56" s="85"/>
      <c r="V56" s="84"/>
      <c r="W56" s="84"/>
      <c r="X56" s="84"/>
      <c r="Y56" s="39">
        <f>+Z56</f>
        <v>2457</v>
      </c>
      <c r="Z56" s="85">
        <v>2457</v>
      </c>
      <c r="AA56" s="84">
        <v>2524</v>
      </c>
      <c r="AB56" s="84">
        <v>1667</v>
      </c>
      <c r="AC56" s="84">
        <v>1701</v>
      </c>
      <c r="AD56" s="39">
        <f>+AE56</f>
        <v>1689</v>
      </c>
      <c r="AE56" s="85">
        <v>1689</v>
      </c>
      <c r="AF56" s="84">
        <v>1598</v>
      </c>
      <c r="AG56" s="84">
        <v>1606</v>
      </c>
      <c r="AH56" s="84">
        <v>1629</v>
      </c>
      <c r="AI56" s="39">
        <f>+AJ56</f>
        <v>1596</v>
      </c>
      <c r="AJ56" s="85">
        <v>1596</v>
      </c>
      <c r="AK56" s="84">
        <v>1524</v>
      </c>
      <c r="AL56" s="84">
        <v>1549</v>
      </c>
      <c r="AM56" s="84">
        <v>1548</v>
      </c>
      <c r="AN56" s="39">
        <f>+AO56</f>
        <v>1546</v>
      </c>
      <c r="AO56" s="85">
        <v>1546</v>
      </c>
      <c r="AP56" s="84">
        <v>1552</v>
      </c>
      <c r="AQ56" s="84">
        <v>1576</v>
      </c>
      <c r="AR56" s="84">
        <v>1617</v>
      </c>
      <c r="AS56" s="39">
        <f>+AT56</f>
        <v>1612</v>
      </c>
      <c r="AT56" s="85">
        <v>1612</v>
      </c>
      <c r="AU56" s="84">
        <v>1615</v>
      </c>
      <c r="AV56" s="84">
        <v>1665</v>
      </c>
      <c r="AW56" s="84">
        <v>1712</v>
      </c>
      <c r="AX56" s="39">
        <f>+AY56</f>
        <v>1767</v>
      </c>
      <c r="AY56" s="85">
        <v>1767</v>
      </c>
      <c r="AZ56" s="84">
        <v>1791</v>
      </c>
      <c r="BA56" s="84">
        <v>1808</v>
      </c>
      <c r="BB56" s="84">
        <v>1845</v>
      </c>
      <c r="BC56" s="39">
        <f>+BD56</f>
        <v>1857</v>
      </c>
      <c r="BD56" s="85">
        <v>1857</v>
      </c>
      <c r="BE56" s="84">
        <v>1717</v>
      </c>
      <c r="BF56" s="84">
        <v>1739</v>
      </c>
      <c r="BG56" s="107">
        <f>BF56-ProForma_IS_Qtr!BG43</f>
        <v>1848.5250000000001</v>
      </c>
      <c r="BH56" s="107">
        <f>BG56-ProForma_IS_Qtr!BH43</f>
        <v>1969.1000000000001</v>
      </c>
      <c r="BI56" s="40">
        <f>BH56</f>
        <v>1969.1000000000001</v>
      </c>
      <c r="BJ56" s="112"/>
      <c r="BL56" s="465"/>
      <c r="BN56"/>
      <c r="BR56"/>
      <c r="BS56"/>
      <c r="BT56"/>
      <c r="BU56"/>
      <c r="BV56"/>
      <c r="BW56"/>
      <c r="CE56" t="s">
        <v>107</v>
      </c>
      <c r="CF56" s="112">
        <f t="shared" si="65"/>
        <v>-72</v>
      </c>
    </row>
    <row r="57" spans="1:84">
      <c r="B57" s="21"/>
      <c r="C57" s="21"/>
      <c r="D57" s="21"/>
      <c r="E57" s="21"/>
      <c r="F57" s="22"/>
      <c r="G57" s="21"/>
      <c r="H57" s="21"/>
      <c r="I57" s="21"/>
      <c r="J57" s="21"/>
      <c r="K57" s="22"/>
      <c r="L57" s="21"/>
      <c r="M57" s="21"/>
      <c r="N57" s="21"/>
      <c r="O57" s="21"/>
      <c r="P57" s="22"/>
      <c r="Q57" s="21"/>
      <c r="R57" s="21"/>
      <c r="S57" s="21"/>
      <c r="T57" s="21"/>
      <c r="U57" s="22"/>
      <c r="V57" s="21"/>
      <c r="W57" s="21"/>
      <c r="X57" s="21"/>
      <c r="Y57" s="21"/>
      <c r="Z57" s="22"/>
      <c r="AA57" s="21"/>
      <c r="AB57" s="21"/>
      <c r="AC57" s="21"/>
      <c r="AD57" s="21"/>
      <c r="AE57" s="22"/>
      <c r="AF57" s="21"/>
      <c r="AG57" s="21"/>
      <c r="AH57" s="21"/>
      <c r="AI57" s="21"/>
      <c r="AJ57" s="22"/>
      <c r="AK57" s="21"/>
      <c r="AL57" s="21"/>
      <c r="AM57" s="21"/>
      <c r="AN57" s="21"/>
      <c r="AO57" s="22"/>
      <c r="AP57" s="21"/>
      <c r="AQ57" s="21"/>
      <c r="AR57" s="21"/>
      <c r="AS57" s="21"/>
      <c r="AT57" s="22"/>
      <c r="AU57" s="21"/>
      <c r="AV57" s="21"/>
      <c r="AW57" s="21"/>
      <c r="AX57" s="21"/>
      <c r="AY57" s="22"/>
      <c r="AZ57" s="21"/>
      <c r="BA57" s="21"/>
      <c r="BB57" s="21"/>
      <c r="BC57" s="21"/>
      <c r="BD57" s="22"/>
      <c r="BE57" s="21"/>
      <c r="BF57" s="21"/>
      <c r="BG57" s="21"/>
      <c r="BH57" s="21"/>
      <c r="BI57" s="22"/>
      <c r="BJ57" s="112"/>
      <c r="BK57" s="112"/>
      <c r="BL57" s="462"/>
      <c r="BM57" s="112"/>
      <c r="BO57" s="112"/>
      <c r="CF57" s="112"/>
    </row>
    <row r="58" spans="1:84">
      <c r="A58" s="8" t="s">
        <v>108</v>
      </c>
      <c r="B58" s="23"/>
      <c r="C58" s="23"/>
      <c r="D58" s="23"/>
      <c r="E58" s="23"/>
      <c r="F58" s="24"/>
      <c r="G58" s="23"/>
      <c r="H58" s="23"/>
      <c r="I58" s="23"/>
      <c r="J58" s="23"/>
      <c r="K58" s="24"/>
      <c r="L58" s="23"/>
      <c r="M58" s="23"/>
      <c r="N58" s="23"/>
      <c r="O58" s="23"/>
      <c r="P58" s="24"/>
      <c r="Q58" s="23"/>
      <c r="R58" s="23"/>
      <c r="S58" s="23"/>
      <c r="T58" s="23"/>
      <c r="U58" s="24"/>
      <c r="V58" s="23"/>
      <c r="W58" s="23"/>
      <c r="X58" s="23"/>
      <c r="Y58" s="23">
        <f>+Z58</f>
        <v>44231</v>
      </c>
      <c r="Z58" s="24">
        <f t="shared" ref="Z58:AE58" si="124">+Z54+Z56</f>
        <v>44231</v>
      </c>
      <c r="AA58" s="23">
        <f>+AA54+AA56</f>
        <v>41935</v>
      </c>
      <c r="AB58" s="23">
        <f>+AB54+AB56</f>
        <v>68892</v>
      </c>
      <c r="AC58" s="23">
        <f>+AC54+AC56</f>
        <v>70080</v>
      </c>
      <c r="AD58" s="23">
        <f>+AE58</f>
        <v>73852</v>
      </c>
      <c r="AE58" s="24">
        <f t="shared" si="124"/>
        <v>73852</v>
      </c>
      <c r="AF58" s="23">
        <f>+AF54+AF56</f>
        <v>73308</v>
      </c>
      <c r="AG58" s="23">
        <f>+AG54+AG56</f>
        <v>72721</v>
      </c>
      <c r="AH58" s="23">
        <f>+AH54+AH56</f>
        <v>72937</v>
      </c>
      <c r="AI58" s="23">
        <f>+AJ58</f>
        <v>74664</v>
      </c>
      <c r="AJ58" s="24">
        <f t="shared" ref="AJ58" si="125">+AJ54+AJ56</f>
        <v>74664</v>
      </c>
      <c r="AK58" s="23">
        <f>+AK54+AK56</f>
        <v>73986</v>
      </c>
      <c r="AL58" s="23">
        <f>+AL54+AL56</f>
        <v>71990</v>
      </c>
      <c r="AM58" s="23">
        <f>+AM54+AM56</f>
        <v>71735</v>
      </c>
      <c r="AN58" s="23">
        <f>+AO58</f>
        <v>74178</v>
      </c>
      <c r="AO58" s="24">
        <f t="shared" ref="AO58" si="126">+AO54+AO56</f>
        <v>74178</v>
      </c>
      <c r="AP58" s="23">
        <f>+AP54+AP56</f>
        <v>74347</v>
      </c>
      <c r="AQ58" s="23">
        <f>+AQ54+AQ56</f>
        <v>74056</v>
      </c>
      <c r="AR58" s="23">
        <f>+AR54+AR56</f>
        <v>71213</v>
      </c>
      <c r="AS58" s="23">
        <f>+AT58</f>
        <v>61410</v>
      </c>
      <c r="AT58" s="24">
        <f t="shared" ref="AT58" si="127">+AT54+AT56</f>
        <v>61410</v>
      </c>
      <c r="AU58" s="23">
        <f>+AU54+AU56</f>
        <v>62100</v>
      </c>
      <c r="AV58" s="23">
        <f>+AV54+AV56</f>
        <v>60650</v>
      </c>
      <c r="AW58" s="23">
        <f>+AW54+AW56</f>
        <v>62826</v>
      </c>
      <c r="AX58" s="23">
        <f>+AY58</f>
        <v>61923</v>
      </c>
      <c r="AY58" s="24">
        <f t="shared" ref="AY58" si="128">+AY54+AY56</f>
        <v>61923</v>
      </c>
      <c r="AZ58" s="23">
        <f>+AZ54+AZ56</f>
        <v>63307</v>
      </c>
      <c r="BA58" s="23">
        <f>+BA54+BA56</f>
        <v>64206</v>
      </c>
      <c r="BB58" s="23">
        <f>+BB54+BB56</f>
        <v>66359</v>
      </c>
      <c r="BC58" s="23">
        <f>+BD58</f>
        <v>67102</v>
      </c>
      <c r="BD58" s="24">
        <f t="shared" ref="BD58" si="129">+BD54+BD56</f>
        <v>67102</v>
      </c>
      <c r="BE58" s="23">
        <f>+BE54+BE56</f>
        <v>67997</v>
      </c>
      <c r="BF58" s="23">
        <f t="shared" ref="BF58:BG58" si="130">+BF54+BF56</f>
        <v>68116</v>
      </c>
      <c r="BG58" s="23">
        <f t="shared" si="130"/>
        <v>69456.462242698326</v>
      </c>
      <c r="BH58" s="23">
        <f t="shared" ref="BH58" si="131">+BH54+BH56</f>
        <v>70795.129029242846</v>
      </c>
      <c r="BI58" s="24">
        <f>+BI54+BI56</f>
        <v>70795.129029242846</v>
      </c>
      <c r="BJ58" s="112"/>
      <c r="BL58" s="464"/>
      <c r="CF58" s="112"/>
    </row>
    <row r="59" spans="1:84">
      <c r="B59" s="21"/>
      <c r="C59" s="21"/>
      <c r="D59" s="21"/>
      <c r="E59" s="21"/>
      <c r="F59" s="22"/>
      <c r="G59" s="21"/>
      <c r="H59" s="21"/>
      <c r="I59" s="21"/>
      <c r="J59" s="21"/>
      <c r="K59" s="22"/>
      <c r="L59" s="21"/>
      <c r="M59" s="21"/>
      <c r="N59" s="21"/>
      <c r="O59" s="21"/>
      <c r="P59" s="22"/>
      <c r="Q59" s="21"/>
      <c r="R59" s="21"/>
      <c r="S59" s="21"/>
      <c r="T59" s="21"/>
      <c r="U59" s="22"/>
      <c r="V59" s="21"/>
      <c r="W59" s="21"/>
      <c r="X59" s="21"/>
      <c r="Y59" s="21"/>
      <c r="Z59" s="22"/>
      <c r="AA59" s="21"/>
      <c r="AB59" s="21"/>
      <c r="AC59" s="21"/>
      <c r="AD59" s="21"/>
      <c r="AE59" s="22"/>
      <c r="AF59" s="21"/>
      <c r="AG59" s="21"/>
      <c r="AH59" s="21"/>
      <c r="AI59" s="21"/>
      <c r="AJ59" s="22"/>
      <c r="AK59" s="21"/>
      <c r="AL59" s="21"/>
      <c r="AM59" s="21"/>
      <c r="AN59" s="21"/>
      <c r="AO59" s="22"/>
      <c r="AP59" s="21"/>
      <c r="AQ59" s="21"/>
      <c r="AR59" s="21"/>
      <c r="AS59" s="21"/>
      <c r="AT59" s="22"/>
      <c r="AU59" s="21"/>
      <c r="AV59" s="21"/>
      <c r="AW59" s="21"/>
      <c r="AX59" s="21"/>
      <c r="AY59" s="22"/>
      <c r="AZ59" s="21"/>
      <c r="BA59" s="21"/>
      <c r="BB59" s="21"/>
      <c r="BC59" s="21"/>
      <c r="BD59" s="22"/>
      <c r="BE59" s="21"/>
      <c r="BF59" s="21"/>
      <c r="BG59" s="21"/>
      <c r="BH59" s="21"/>
      <c r="BI59" s="22"/>
      <c r="BJ59" s="112"/>
      <c r="CF59" s="112"/>
    </row>
    <row r="60" spans="1:84">
      <c r="A60" s="8" t="s">
        <v>109</v>
      </c>
      <c r="B60" s="23"/>
      <c r="C60" s="23"/>
      <c r="D60" s="23"/>
      <c r="E60" s="23"/>
      <c r="F60" s="24"/>
      <c r="G60" s="23"/>
      <c r="H60" s="23"/>
      <c r="I60" s="23"/>
      <c r="J60" s="23"/>
      <c r="K60" s="24"/>
      <c r="L60" s="23"/>
      <c r="M60" s="23"/>
      <c r="N60" s="23"/>
      <c r="O60" s="23"/>
      <c r="P60" s="24"/>
      <c r="Q60" s="23"/>
      <c r="R60" s="23"/>
      <c r="S60" s="23"/>
      <c r="T60" s="23"/>
      <c r="U60" s="24"/>
      <c r="V60" s="23"/>
      <c r="W60" s="23"/>
      <c r="X60" s="23"/>
      <c r="Y60" s="23">
        <f t="shared" ref="Y60:AF60" si="132">+Y58+Y43+Y45</f>
        <v>139615</v>
      </c>
      <c r="Z60" s="24">
        <f t="shared" si="132"/>
        <v>139615</v>
      </c>
      <c r="AA60" s="23">
        <f t="shared" ref="AA60" si="133">+AA58+AA43+AA45</f>
        <v>139572</v>
      </c>
      <c r="AB60" s="23">
        <f t="shared" si="132"/>
        <v>161517</v>
      </c>
      <c r="AC60" s="23">
        <f t="shared" ref="AC60:AD60" si="134">+AC58+AC43+AC45</f>
        <v>162399</v>
      </c>
      <c r="AD60" s="23">
        <f t="shared" si="134"/>
        <v>162153</v>
      </c>
      <c r="AE60" s="24">
        <f t="shared" si="132"/>
        <v>162153</v>
      </c>
      <c r="AF60" s="23">
        <f t="shared" si="132"/>
        <v>160608</v>
      </c>
      <c r="AG60" s="23">
        <f t="shared" ref="AG60:AK60" si="135">+AG58+AG43+AG45</f>
        <v>158838</v>
      </c>
      <c r="AH60" s="23">
        <f t="shared" si="135"/>
        <v>158772</v>
      </c>
      <c r="AI60" s="23">
        <f t="shared" si="135"/>
        <v>161404</v>
      </c>
      <c r="AJ60" s="24">
        <f t="shared" si="135"/>
        <v>161404</v>
      </c>
      <c r="AK60" s="23">
        <f t="shared" si="135"/>
        <v>159366</v>
      </c>
      <c r="AL60" s="23">
        <f t="shared" ref="AL60:AP60" si="136">+AL58+AL43+AL45</f>
        <v>159017</v>
      </c>
      <c r="AM60" s="23">
        <f t="shared" si="136"/>
        <v>158225</v>
      </c>
      <c r="AN60" s="23">
        <f t="shared" si="136"/>
        <v>158864</v>
      </c>
      <c r="AO60" s="24">
        <f t="shared" si="136"/>
        <v>158864</v>
      </c>
      <c r="AP60" s="23">
        <f t="shared" si="136"/>
        <v>161636</v>
      </c>
      <c r="AQ60" s="23">
        <f t="shared" ref="AQ60:AU60" si="137">+AQ58+AQ43+AQ45</f>
        <v>162161</v>
      </c>
      <c r="AR60" s="23">
        <f t="shared" si="137"/>
        <v>162443</v>
      </c>
      <c r="AS60" s="23">
        <f t="shared" si="137"/>
        <v>161869</v>
      </c>
      <c r="AT60" s="24">
        <f t="shared" si="137"/>
        <v>161869</v>
      </c>
      <c r="AU60" s="23">
        <f t="shared" si="137"/>
        <v>160187</v>
      </c>
      <c r="AV60" s="23">
        <f t="shared" ref="AV60:AZ60" si="138">+AV58+AV43+AV45</f>
        <v>161169</v>
      </c>
      <c r="AW60" s="23">
        <f t="shared" si="138"/>
        <v>164822</v>
      </c>
      <c r="AX60" s="23">
        <f t="shared" si="138"/>
        <v>162861</v>
      </c>
      <c r="AY60" s="24">
        <f t="shared" si="138"/>
        <v>162861</v>
      </c>
      <c r="AZ60" s="23">
        <f t="shared" si="138"/>
        <v>164864</v>
      </c>
      <c r="BA60" s="23">
        <f t="shared" ref="BA60:BE60" si="139">+BA58+BA43+BA45</f>
        <v>167139</v>
      </c>
      <c r="BB60" s="23">
        <f t="shared" si="139"/>
        <v>168672</v>
      </c>
      <c r="BC60" s="23">
        <f t="shared" si="139"/>
        <v>171079</v>
      </c>
      <c r="BD60" s="24">
        <f t="shared" si="139"/>
        <v>171079</v>
      </c>
      <c r="BE60" s="23">
        <f t="shared" si="139"/>
        <v>170431</v>
      </c>
      <c r="BF60" s="23">
        <f t="shared" ref="BF60:BG60" si="140">+BF58+BF43+BF45</f>
        <v>173972</v>
      </c>
      <c r="BG60" s="23">
        <f t="shared" si="140"/>
        <v>175544.15033146547</v>
      </c>
      <c r="BH60" s="23">
        <f t="shared" ref="BH60:BI60" si="141">+BH58+BH43+BH45</f>
        <v>174380.25926716064</v>
      </c>
      <c r="BI60" s="24">
        <f t="shared" si="141"/>
        <v>174380.25926716064</v>
      </c>
      <c r="BJ60" s="112"/>
      <c r="BK60" s="348"/>
      <c r="CF60" s="112"/>
    </row>
    <row r="61" spans="1:84">
      <c r="A61" s="17" t="s">
        <v>38</v>
      </c>
      <c r="B61" s="86"/>
      <c r="C61" s="86"/>
      <c r="D61" s="86"/>
      <c r="E61" s="86"/>
      <c r="F61" s="87"/>
      <c r="G61" s="86"/>
      <c r="H61" s="86"/>
      <c r="I61" s="86"/>
      <c r="J61" s="86"/>
      <c r="K61" s="87"/>
      <c r="L61" s="86"/>
      <c r="M61" s="86"/>
      <c r="N61" s="86"/>
      <c r="O61" s="86"/>
      <c r="P61" s="87"/>
      <c r="Q61" s="86"/>
      <c r="R61" s="86"/>
      <c r="S61" s="86"/>
      <c r="T61" s="86"/>
      <c r="U61" s="87"/>
      <c r="V61" s="86"/>
      <c r="W61" s="86"/>
      <c r="X61" s="86"/>
      <c r="Y61" s="86" t="b">
        <f>+Y60=Y24</f>
        <v>1</v>
      </c>
      <c r="Z61" s="87" t="b">
        <f>+Z60=Z24</f>
        <v>1</v>
      </c>
      <c r="AA61" s="86" t="b">
        <f t="shared" ref="AA61" si="142">+AA60=AA24</f>
        <v>1</v>
      </c>
      <c r="AB61" s="86" t="b">
        <f t="shared" ref="AB61" si="143">+AB60=AB24</f>
        <v>1</v>
      </c>
      <c r="AC61" s="86" t="b">
        <f>+AC60=AC24</f>
        <v>1</v>
      </c>
      <c r="AD61" s="86" t="b">
        <f t="shared" ref="AD61" si="144">+AD60=AD24</f>
        <v>1</v>
      </c>
      <c r="AE61" s="87" t="b">
        <f>+AE60=AE24</f>
        <v>1</v>
      </c>
      <c r="AF61" s="86" t="b">
        <f t="shared" ref="AF61:AG61" si="145">+AF60=AF24</f>
        <v>1</v>
      </c>
      <c r="AG61" s="86" t="b">
        <f t="shared" si="145"/>
        <v>1</v>
      </c>
      <c r="AH61" s="86" t="b">
        <f>+AH60=AH24</f>
        <v>1</v>
      </c>
      <c r="AI61" s="86" t="b">
        <f t="shared" ref="AI61" si="146">+AI60=AI24</f>
        <v>1</v>
      </c>
      <c r="AJ61" s="87" t="b">
        <f>+AJ60=AJ24</f>
        <v>1</v>
      </c>
      <c r="AK61" s="86" t="b">
        <f t="shared" ref="AK61:AL61" si="147">+AK60=AK24</f>
        <v>1</v>
      </c>
      <c r="AL61" s="86" t="b">
        <f t="shared" si="147"/>
        <v>1</v>
      </c>
      <c r="AM61" s="86" t="b">
        <f>+AM60=AM24</f>
        <v>1</v>
      </c>
      <c r="AN61" s="86" t="b">
        <f t="shared" ref="AN61" si="148">+AN60=AN24</f>
        <v>1</v>
      </c>
      <c r="AO61" s="87" t="b">
        <f>+AO60=AO24</f>
        <v>1</v>
      </c>
      <c r="AP61" s="86" t="b">
        <f t="shared" ref="AP61:AQ61" si="149">+AP60=AP24</f>
        <v>1</v>
      </c>
      <c r="AQ61" s="86" t="b">
        <f t="shared" si="149"/>
        <v>1</v>
      </c>
      <c r="AR61" s="86" t="b">
        <f>+AR60=AR24</f>
        <v>1</v>
      </c>
      <c r="AS61" s="86" t="b">
        <f t="shared" ref="AS61" si="150">+AS60=AS24</f>
        <v>1</v>
      </c>
      <c r="AT61" s="87" t="b">
        <f>+AT60=AT24</f>
        <v>1</v>
      </c>
      <c r="AU61" s="86" t="b">
        <f t="shared" ref="AU61:AV61" si="151">+AU60=AU24</f>
        <v>1</v>
      </c>
      <c r="AV61" s="86" t="b">
        <f t="shared" si="151"/>
        <v>1</v>
      </c>
      <c r="AW61" s="86" t="b">
        <f>+AW60=AW24</f>
        <v>1</v>
      </c>
      <c r="AX61" s="86" t="b">
        <f t="shared" ref="AX61" si="152">+AX60=AX24</f>
        <v>1</v>
      </c>
      <c r="AY61" s="87" t="b">
        <f>+AY60=AY24</f>
        <v>1</v>
      </c>
      <c r="AZ61" s="86" t="b">
        <f t="shared" ref="AZ61:BA61" si="153">+AZ60=AZ24</f>
        <v>1</v>
      </c>
      <c r="BA61" s="86" t="b">
        <f t="shared" si="153"/>
        <v>1</v>
      </c>
      <c r="BB61" s="86" t="b">
        <f>+BB60=BB24</f>
        <v>1</v>
      </c>
      <c r="BC61" s="86" t="b">
        <f t="shared" ref="BC61" si="154">+BC60=BC24</f>
        <v>1</v>
      </c>
      <c r="BD61" s="87" t="b">
        <f>+BD60=BD24</f>
        <v>1</v>
      </c>
      <c r="BE61" s="86" t="b">
        <f t="shared" ref="BE61" si="155">+BE60=BE24</f>
        <v>1</v>
      </c>
      <c r="BF61" s="86" t="b">
        <f t="shared" ref="BF61:BG61" si="156">+ROUND(BF60,8)=ROUND(BF24,8)</f>
        <v>1</v>
      </c>
      <c r="BG61" s="86" t="b">
        <f t="shared" si="156"/>
        <v>1</v>
      </c>
      <c r="BH61" s="86" t="b">
        <f>+ROUND(BH60,8)=ROUND(BH24,8)</f>
        <v>1</v>
      </c>
      <c r="BI61" s="87" t="b">
        <f>+ROUND(BI60,8)=ROUND(BI24,8)</f>
        <v>1</v>
      </c>
      <c r="BJ61" s="112"/>
    </row>
    <row r="62" spans="1:84">
      <c r="F62" s="26"/>
      <c r="K62" s="26"/>
      <c r="P62" s="26"/>
      <c r="U62" s="26"/>
      <c r="Z62" s="26"/>
      <c r="AB62" s="77"/>
      <c r="AC62" s="77"/>
      <c r="AD62" s="77"/>
      <c r="AE62" s="26"/>
      <c r="AG62" s="77"/>
      <c r="AH62" s="77"/>
      <c r="AI62" s="77"/>
      <c r="AJ62" s="26"/>
      <c r="AL62" s="77"/>
      <c r="AM62" s="77"/>
      <c r="AN62" s="77"/>
      <c r="AO62" s="26"/>
      <c r="AQ62" s="77"/>
      <c r="AR62" s="77"/>
      <c r="AS62" s="77"/>
      <c r="AT62" s="26"/>
      <c r="AU62" s="511">
        <f t="shared" ref="AU62" si="157">AU60-AU24</f>
        <v>0</v>
      </c>
      <c r="AV62" s="77"/>
      <c r="AW62" s="77"/>
      <c r="AX62" s="77"/>
      <c r="AY62" s="26"/>
      <c r="AZ62" s="511">
        <f t="shared" ref="AZ62" si="158">AZ60-AZ24</f>
        <v>0</v>
      </c>
      <c r="BA62" s="77"/>
      <c r="BB62" s="77"/>
      <c r="BC62" s="77"/>
      <c r="BD62" s="26"/>
      <c r="BE62" s="511">
        <f t="shared" ref="BE62" si="159">BE60-BE24</f>
        <v>0</v>
      </c>
      <c r="BF62" s="511">
        <f t="shared" ref="BF62:BG62" si="160">BF60-BF24</f>
        <v>0</v>
      </c>
      <c r="BG62" s="511">
        <f t="shared" si="160"/>
        <v>0</v>
      </c>
      <c r="BH62" s="511">
        <f>BH60-BH24</f>
        <v>0</v>
      </c>
      <c r="BI62" s="530">
        <f>BI60-BI24</f>
        <v>0</v>
      </c>
      <c r="BJ62" s="112"/>
      <c r="CF62" s="348"/>
    </row>
    <row r="63" spans="1:84">
      <c r="A63" s="116" t="s">
        <v>18</v>
      </c>
      <c r="B63" s="71"/>
      <c r="C63" s="71"/>
      <c r="D63" s="71"/>
      <c r="E63" s="71"/>
      <c r="F63" s="117"/>
      <c r="G63" s="71"/>
      <c r="H63" s="71"/>
      <c r="I63" s="71"/>
      <c r="J63" s="71"/>
      <c r="K63" s="117"/>
      <c r="L63" s="71"/>
      <c r="M63" s="71"/>
      <c r="N63" s="71"/>
      <c r="O63" s="71"/>
      <c r="P63" s="117"/>
      <c r="Q63" s="71"/>
      <c r="R63" s="71"/>
      <c r="S63" s="71"/>
      <c r="T63" s="71"/>
      <c r="U63" s="117"/>
      <c r="V63" s="71"/>
      <c r="W63" s="71"/>
      <c r="X63" s="71"/>
      <c r="Y63" s="71"/>
      <c r="Z63" s="117"/>
      <c r="AA63" s="71"/>
      <c r="AB63" s="71"/>
      <c r="AC63" s="71"/>
      <c r="AD63" s="71"/>
      <c r="AE63" s="117"/>
      <c r="AF63" s="71"/>
      <c r="AG63" s="71"/>
      <c r="AH63" s="71"/>
      <c r="AI63" s="71"/>
      <c r="AJ63" s="117"/>
      <c r="AK63" s="71"/>
      <c r="AL63" s="71"/>
      <c r="AM63" s="71"/>
      <c r="AN63" s="71"/>
      <c r="AO63" s="117"/>
      <c r="AP63" s="71"/>
      <c r="AQ63" s="71"/>
      <c r="AR63" s="71"/>
      <c r="AS63" s="71"/>
      <c r="AT63" s="117"/>
      <c r="AU63" s="71"/>
      <c r="AV63" s="71"/>
      <c r="AW63" s="71"/>
      <c r="AX63" s="71"/>
      <c r="AY63" s="117"/>
      <c r="AZ63" s="71"/>
      <c r="BA63" s="71"/>
      <c r="BB63" s="71"/>
      <c r="BC63" s="71"/>
      <c r="BD63" s="117"/>
      <c r="BE63" s="71"/>
      <c r="BF63" s="71"/>
      <c r="BG63" s="71"/>
      <c r="BH63" s="71"/>
      <c r="BI63" s="117"/>
      <c r="BJ63" s="112"/>
      <c r="BL63" s="376" t="s">
        <v>483</v>
      </c>
      <c r="BM63" s="376" t="s">
        <v>484</v>
      </c>
      <c r="BN63" s="376" t="s">
        <v>485</v>
      </c>
      <c r="BO63" s="456" t="s">
        <v>482</v>
      </c>
      <c r="BP63" s="376" t="s">
        <v>221</v>
      </c>
      <c r="BQ63" s="376"/>
    </row>
    <row r="64" spans="1:84">
      <c r="A64" s="1" t="s">
        <v>110</v>
      </c>
      <c r="B64" s="21"/>
      <c r="C64" s="21"/>
      <c r="D64" s="21"/>
      <c r="E64" s="21"/>
      <c r="F64" s="22"/>
      <c r="G64" s="21"/>
      <c r="H64" s="21"/>
      <c r="I64" s="21"/>
      <c r="J64" s="21"/>
      <c r="K64" s="22"/>
      <c r="L64" s="21"/>
      <c r="M64" s="21"/>
      <c r="N64" s="21"/>
      <c r="O64" s="21"/>
      <c r="P64" s="22"/>
      <c r="Q64" s="21"/>
      <c r="R64" s="21"/>
      <c r="S64" s="21"/>
      <c r="T64" s="21"/>
      <c r="U64" s="22"/>
      <c r="V64" s="21"/>
      <c r="W64" s="21"/>
      <c r="X64" s="21"/>
      <c r="Y64" s="21">
        <f>+(Y7)/ProForma_IS_Qtr!Y9*365/4</f>
        <v>41.024258240345553</v>
      </c>
      <c r="Z64" s="22">
        <f>+(Z7)/ProForma_IS_Qtr!Z9*365</f>
        <v>42.9865835095707</v>
      </c>
      <c r="AA64" s="21">
        <f>+(AA7)/ProForma_IS_Qtr!AA9*365/4</f>
        <v>64.975275770254839</v>
      </c>
      <c r="AB64" s="21">
        <f>+(AB7)/ProForma_IS_Qtr!AB9*365/4</f>
        <v>59.220202296336794</v>
      </c>
      <c r="AC64" s="21">
        <f>+(AC7)/ProForma_IS_Qtr!AC9*365/4</f>
        <v>61.340715757293815</v>
      </c>
      <c r="AD64" s="21">
        <f>+(AD7)/ProForma_IS_Qtr!AD9*365/4</f>
        <v>50.921274799493453</v>
      </c>
      <c r="AE64" s="22">
        <f>+(AE7)/ProForma_IS_Qtr!AE9*365</f>
        <v>52.233975102451097</v>
      </c>
      <c r="AF64" s="21">
        <f>+(AF7)/ProForma_IS_Qtr!AF9*365/4</f>
        <v>60.053521080584879</v>
      </c>
      <c r="AG64" s="21">
        <f>+(AG7)/ProForma_IS_Qtr!AG9*365/4</f>
        <v>51.210327455919391</v>
      </c>
      <c r="AH64" s="21">
        <f>+(AH7)/ProForma_IS_Qtr!AH9*365/4</f>
        <v>53.681767717263924</v>
      </c>
      <c r="AI64" s="21">
        <f>+(AI7)/ProForma_IS_Qtr!AI9*365/4</f>
        <v>51.722967026519598</v>
      </c>
      <c r="AJ64" s="22">
        <f>+(AJ7)/ProForma_IS_Qtr!AJ9*365</f>
        <v>54.765872522830335</v>
      </c>
      <c r="AK64" s="21">
        <f>+(AK7)/ProForma_IS_Qtr!AK9*365/4</f>
        <v>52.696933061847794</v>
      </c>
      <c r="AL64" s="21">
        <f>+(AL7)/ProForma_IS_Qtr!AL9*365/4</f>
        <v>58.137336030403333</v>
      </c>
      <c r="AM64" s="21">
        <f>+(AM7)/ProForma_IS_Qtr!AM9*365/4</f>
        <v>49.702746150669576</v>
      </c>
      <c r="AN64" s="21">
        <f>+(AN7)/ProForma_IS_Qtr!AN9*365/4</f>
        <v>45.93516829713149</v>
      </c>
      <c r="AO64" s="22">
        <f>+(AO7)/ProForma_IS_Qtr!AO9*365</f>
        <v>49.563467215314432</v>
      </c>
      <c r="AP64" s="21">
        <f>+(AP7)/ProForma_IS_Qtr!AP9*365/4</f>
        <v>53.374941907749502</v>
      </c>
      <c r="AQ64" s="21">
        <f>+(AQ7)/ProForma_IS_Qtr!AQ9*365/4</f>
        <v>49.339271089271087</v>
      </c>
      <c r="AR64" s="21">
        <f>+(AR7)/ProForma_IS_Qtr!AR9*365/4</f>
        <v>48.427210848459261</v>
      </c>
      <c r="AS64" s="21">
        <f>+(AS7)/ProForma_IS_Qtr!AS9*365/4</f>
        <v>49.887383979015333</v>
      </c>
      <c r="AT64" s="22">
        <f>+(AT7)/ProForma_IS_Qtr!AT9*365</f>
        <v>53.23827467868918</v>
      </c>
      <c r="AU64" s="21">
        <f>+(AU7)/ProForma_IS_Qtr!AU9*365/4</f>
        <v>48.591038591038597</v>
      </c>
      <c r="AV64" s="21">
        <f>+(AV7)/ProForma_IS_Qtr!AV9*365/4</f>
        <v>47.268707998585221</v>
      </c>
      <c r="AW64" s="21">
        <f>+(AW7)/ProForma_IS_Qtr!AW9*365/4</f>
        <v>45.863470058240821</v>
      </c>
      <c r="AX64" s="21">
        <f>+(AX7)/ProForma_IS_Qtr!AX9*365/4</f>
        <v>46.319197151181619</v>
      </c>
      <c r="AY64" s="22">
        <f>+(AY7)/ProForma_IS_Qtr!AY9*365</f>
        <v>49.577269577269576</v>
      </c>
      <c r="AZ64" s="21">
        <f>+(AZ7)/ProForma_IS_Qtr!AZ9*365/4</f>
        <v>51.345538264552346</v>
      </c>
      <c r="BA64" s="21">
        <f>+(BA7)/ProForma_IS_Qtr!BA9*365/4</f>
        <v>52.366954728696534</v>
      </c>
      <c r="BB64" s="21">
        <f>+(BB7)/ProForma_IS_Qtr!BB9*365/4</f>
        <v>52.112120740279387</v>
      </c>
      <c r="BC64" s="21">
        <f>+(BC7)/ProForma_IS_Qtr!BC9*365/4</f>
        <v>55.345583381467122</v>
      </c>
      <c r="BD64" s="22">
        <f>+(BD7)/ProForma_IS_Qtr!BD9*365</f>
        <v>60.560759793686444</v>
      </c>
      <c r="BE64" s="21">
        <f>+(BE7)/ProForma_IS_Qtr!BE9*365/4</f>
        <v>53.507485504620405</v>
      </c>
      <c r="BF64" s="21">
        <f>+(BF7)/ProForma_IS_Qtr!BF9*365/4</f>
        <v>51.506376518218623</v>
      </c>
      <c r="BG64" s="41">
        <v>58</v>
      </c>
      <c r="BH64" s="21">
        <f>+(BH7)/ProForma_IS_Qtr!BH9*365/4</f>
        <v>57.037725339912718</v>
      </c>
      <c r="BI64" s="258">
        <v>60</v>
      </c>
      <c r="BJ64" s="112"/>
      <c r="BK64" s="77" t="s">
        <v>74</v>
      </c>
      <c r="BL64" s="77">
        <f>Cash_Flow_Qtr!BE11</f>
        <v>1823</v>
      </c>
      <c r="BM64" s="77">
        <f>Cash_Flow_Qtr!BF11</f>
        <v>-729</v>
      </c>
      <c r="BN64" s="77">
        <f>Cash_Flow_Qtr!BG11</f>
        <v>-1295.6996164383545</v>
      </c>
      <c r="BO64" s="77">
        <f>Cash_Flow_Qtr!BH11</f>
        <v>-542.130575342464</v>
      </c>
      <c r="BP64" s="77">
        <f>Cash_Flow_Qtr!BI11</f>
        <v>-743.8301917808185</v>
      </c>
      <c r="BQ64" s="77"/>
      <c r="BY64" t="str">
        <f>Cash_Flow_Annual!A11</f>
        <v>Receivables, Net</v>
      </c>
      <c r="BZ64" s="374"/>
      <c r="CA64" s="374"/>
      <c r="CB64" s="374"/>
      <c r="CC64" s="374"/>
      <c r="CD64" s="374"/>
      <c r="CE64" s="374"/>
    </row>
    <row r="65" spans="1:83">
      <c r="A65" s="1" t="s">
        <v>236</v>
      </c>
      <c r="B65" s="21"/>
      <c r="C65" s="21"/>
      <c r="D65" s="21"/>
      <c r="E65" s="21"/>
      <c r="F65" s="22"/>
      <c r="G65" s="21"/>
      <c r="H65" s="21"/>
      <c r="I65" s="21"/>
      <c r="J65" s="21"/>
      <c r="K65" s="22"/>
      <c r="L65" s="21"/>
      <c r="M65" s="21"/>
      <c r="N65" s="21"/>
      <c r="O65" s="21"/>
      <c r="P65" s="22"/>
      <c r="Q65" s="21"/>
      <c r="R65" s="21"/>
      <c r="S65" s="21"/>
      <c r="T65" s="21"/>
      <c r="U65" s="22"/>
      <c r="V65" s="21"/>
      <c r="W65" s="21"/>
      <c r="X65" s="21"/>
      <c r="Y65" s="21">
        <f>+(Y8)/ProForma_IS_Qtr!Y9*365/4</f>
        <v>20.936776880752817</v>
      </c>
      <c r="Z65" s="22">
        <f>+(Z8)/ProForma_IS_Qtr!Z9*365</f>
        <v>21.938251815132617</v>
      </c>
      <c r="AA65" s="21">
        <f>+(AA8)/ProForma_IS_Qtr!AA9*365/4</f>
        <v>22.555901211758954</v>
      </c>
      <c r="AB65" s="21">
        <f>+(AB8)/ProForma_IS_Qtr!AB9*365/4</f>
        <v>62.007842400218692</v>
      </c>
      <c r="AC65" s="21">
        <f>+(AC8)/ProForma_IS_Qtr!AC9*365/4</f>
        <v>58.320678540572864</v>
      </c>
      <c r="AD65" s="21">
        <f>+(AD8)/ProForma_IS_Qtr!AD9*365/4</f>
        <v>54.646550684435866</v>
      </c>
      <c r="AE65" s="22">
        <f>+(AE8)/ProForma_IS_Qtr!AE9*365</f>
        <v>56.055284930023973</v>
      </c>
      <c r="AF65" s="21">
        <f>+(AF8)/ProForma_IS_Qtr!AF9*365/4</f>
        <v>61.256147137892597</v>
      </c>
      <c r="AG65" s="21">
        <f>+(AG8)/ProForma_IS_Qtr!AG9*365/4</f>
        <v>60.24913413098237</v>
      </c>
      <c r="AH65" s="21">
        <f>+(AH8)/ProForma_IS_Qtr!AH9*365/4</f>
        <v>61.341747363227036</v>
      </c>
      <c r="AI65" s="21">
        <f>+(AI8)/ProForma_IS_Qtr!AI9*365/4</f>
        <v>60.824410349683177</v>
      </c>
      <c r="AJ65" s="22">
        <f>+(AJ8)/ProForma_IS_Qtr!AJ9*365</f>
        <v>64.402761384108842</v>
      </c>
      <c r="AK65" s="21">
        <f>+(AK8)/ProForma_IS_Qtr!AK9*365/4</f>
        <v>67.154333163654883</v>
      </c>
      <c r="AL65" s="21">
        <f>+(AL8)/ProForma_IS_Qtr!AL9*365/4</f>
        <v>66.202954517592246</v>
      </c>
      <c r="AM65" s="21">
        <f>+(AM8)/ProForma_IS_Qtr!AM9*365/4</f>
        <v>66.196758303344936</v>
      </c>
      <c r="AN65" s="21">
        <f>+(AN8)/ProForma_IS_Qtr!AN9*365/4</f>
        <v>58.170425026253241</v>
      </c>
      <c r="AO65" s="22">
        <f>+(AO8)/ProForma_IS_Qtr!AO9*365</f>
        <v>62.765154903539369</v>
      </c>
      <c r="AP65" s="21">
        <f>+(AP8)/ProForma_IS_Qtr!AP9*365/4</f>
        <v>67.475383408853261</v>
      </c>
      <c r="AQ65" s="21">
        <f>+(AQ8)/ProForma_IS_Qtr!AQ9*365/4</f>
        <v>64.619847119847122</v>
      </c>
      <c r="AR65" s="21">
        <f>+(AR8)/ProForma_IS_Qtr!AR9*365/4</f>
        <v>61.128640776699029</v>
      </c>
      <c r="AS65" s="21">
        <f>+(AS8)/ProForma_IS_Qtr!AS9*365/4</f>
        <v>55.875895379338175</v>
      </c>
      <c r="AT65" s="22">
        <f>+(AT8)/ProForma_IS_Qtr!AT9*365</f>
        <v>59.629029002086</v>
      </c>
      <c r="AU65" s="21">
        <f>+(AU8)/ProForma_IS_Qtr!AU9*365/4</f>
        <v>61.939393939393945</v>
      </c>
      <c r="AV65" s="21">
        <f>+(AV8)/ProForma_IS_Qtr!AV9*365/4</f>
        <v>62.617667121418826</v>
      </c>
      <c r="AW65" s="21">
        <f>+(AW8)/ProForma_IS_Qtr!AW9*365/4</f>
        <v>66.698939718253769</v>
      </c>
      <c r="AX65" s="21">
        <f>+(AX8)/ProForma_IS_Qtr!AX9*365/4</f>
        <v>61.486033390371361</v>
      </c>
      <c r="AY65" s="22">
        <f>+(AY8)/ProForma_IS_Qtr!AY9*365</f>
        <v>65.810934560934555</v>
      </c>
      <c r="AZ65" s="21">
        <f>+(AZ8)/ProForma_IS_Qtr!AZ9*365/4</f>
        <v>68.489178075445679</v>
      </c>
      <c r="BA65" s="21">
        <f>+(BA8)/ProForma_IS_Qtr!BA9*365/4</f>
        <v>66.32442889578796</v>
      </c>
      <c r="BB65" s="21">
        <f>+(BB8)/ProForma_IS_Qtr!BB9*365/4</f>
        <v>67.404350920900441</v>
      </c>
      <c r="BC65" s="21">
        <f>+(BC8)/ProForma_IS_Qtr!BC9*365/4</f>
        <v>64.347099595676212</v>
      </c>
      <c r="BD65" s="22">
        <f>+(BD8)/ProForma_IS_Qtr!BD9*365</f>
        <v>70.410482715032217</v>
      </c>
      <c r="BE65" s="21">
        <f>+(BE8)/ProForma_IS_Qtr!BE9*365/4</f>
        <v>74.691406957782206</v>
      </c>
      <c r="BF65" s="21">
        <f>+(BF8)/ProForma_IS_Qtr!BF9*365/4</f>
        <v>70.118421052631575</v>
      </c>
      <c r="BG65" s="41">
        <v>70</v>
      </c>
      <c r="BH65" s="21">
        <f>+(BH8)/ProForma_IS_Qtr!BH9*365/4</f>
        <v>64.642755385234409</v>
      </c>
      <c r="BI65" s="258">
        <v>68</v>
      </c>
      <c r="BJ65" s="112"/>
      <c r="BK65" s="77" t="s">
        <v>75</v>
      </c>
      <c r="BL65" s="77">
        <f>Cash_Flow_Qtr!BE12</f>
        <v>-979</v>
      </c>
      <c r="BM65" s="77">
        <f>Cash_Flow_Qtr!BF12</f>
        <v>-963</v>
      </c>
      <c r="BN65" s="77">
        <f>Cash_Flow_Qtr!BG12</f>
        <v>589.67287671233134</v>
      </c>
      <c r="BO65" s="77">
        <f>Cash_Flow_Qtr!BH12</f>
        <v>506.51957260274139</v>
      </c>
      <c r="BP65" s="77">
        <f>Cash_Flow_Qtr!BI12</f>
        <v>-845.80755068492726</v>
      </c>
      <c r="BQ65" s="324"/>
      <c r="BY65" t="str">
        <f>Cash_Flow_Annual!A12</f>
        <v>Contract Assets</v>
      </c>
      <c r="BZ65" s="374"/>
      <c r="CA65" s="374"/>
      <c r="CB65" s="374"/>
      <c r="CC65" s="374"/>
      <c r="CD65" s="374"/>
      <c r="CE65" s="374"/>
    </row>
    <row r="66" spans="1:83">
      <c r="A66" s="1" t="s">
        <v>111</v>
      </c>
      <c r="B66" s="21"/>
      <c r="C66" s="21"/>
      <c r="D66" s="21"/>
      <c r="E66" s="21"/>
      <c r="F66" s="22"/>
      <c r="G66" s="21"/>
      <c r="H66" s="21"/>
      <c r="I66" s="21"/>
      <c r="J66" s="21"/>
      <c r="K66" s="22"/>
      <c r="L66" s="21"/>
      <c r="M66" s="21"/>
      <c r="N66" s="21"/>
      <c r="O66" s="21"/>
      <c r="P66" s="22"/>
      <c r="Q66" s="21"/>
      <c r="R66" s="21"/>
      <c r="S66" s="21"/>
      <c r="T66" s="21"/>
      <c r="U66" s="22"/>
      <c r="V66" s="21"/>
      <c r="W66" s="21"/>
      <c r="X66" s="21"/>
      <c r="Y66" s="21" t="str">
        <f>+IFERROR(Y29/-ProForma_IS_Qtr!Y85*365/4,"NM")</f>
        <v>NM</v>
      </c>
      <c r="Z66" s="22" t="str">
        <f>IFERROR(+Z29/-ProForma_IS_Qtr!Z85*365,"NM")</f>
        <v>NM</v>
      </c>
      <c r="AA66" s="21">
        <f>+AA29/-ProForma_IS_Qtr!AA85*365/4</f>
        <v>72.487515379604829</v>
      </c>
      <c r="AB66" s="21">
        <f>+AB29/-ProForma_IS_Qtr!AB85*365/4</f>
        <v>53.656255117078757</v>
      </c>
      <c r="AC66" s="21">
        <f>+AC29/-ProForma_IS_Qtr!AC85*365/4</f>
        <v>57.140014610888961</v>
      </c>
      <c r="AD66" s="21">
        <f>+AD29/-ProForma_IS_Qtr!AD85*365/4</f>
        <v>55.257868358334498</v>
      </c>
      <c r="AE66" s="22">
        <f>+AE29/-ProForma_IS_Qtr!AE85*365</f>
        <v>59.159021406727824</v>
      </c>
      <c r="AF66" s="21">
        <f>+AF29/-ProForma_IS_Qtr!AF85*365/4</f>
        <v>66.830780888569834</v>
      </c>
      <c r="AG66" s="21">
        <f>+AG29/-ProForma_IS_Qtr!AG85*365/4</f>
        <v>57.994764915053338</v>
      </c>
      <c r="AH66" s="21">
        <f>+AH29/-ProForma_IS_Qtr!AH85*365/4</f>
        <v>60.422014668805872</v>
      </c>
      <c r="AI66" s="21">
        <f>+AI29/-ProForma_IS_Qtr!AI85*365/4</f>
        <v>58.6463535546416</v>
      </c>
      <c r="AJ66" s="22">
        <f>+AJ29/-ProForma_IS_Qtr!AJ85*365</f>
        <v>61.54719926007283</v>
      </c>
      <c r="AK66" s="21">
        <f>+AK29/-ProForma_IS_Qtr!AK85*365/4</f>
        <v>60.082603503184721</v>
      </c>
      <c r="AL66" s="21">
        <f>+AL29/-ProForma_IS_Qtr!AL85*365/4</f>
        <v>69.076306782825142</v>
      </c>
      <c r="AM66" s="21">
        <f>+AM29/-ProForma_IS_Qtr!AM85*365/4</f>
        <v>61.111203951277481</v>
      </c>
      <c r="AN66" s="21">
        <f>+AN29/-ProForma_IS_Qtr!AN85*365/4</f>
        <v>62.165083298912293</v>
      </c>
      <c r="AO66" s="22">
        <f>+AO29/-ProForma_IS_Qtr!AO85*365</f>
        <v>67.633599221061303</v>
      </c>
      <c r="AP66" s="21">
        <f>+AP29/-ProForma_IS_Qtr!AP85*365/4</f>
        <v>67.275558812751925</v>
      </c>
      <c r="AQ66" s="21">
        <f>+AQ29/-ProForma_IS_Qtr!AQ85*365/4</f>
        <v>63.657528585204581</v>
      </c>
      <c r="AR66" s="21">
        <f>+AR29/-ProForma_IS_Qtr!AR85*365/4</f>
        <v>73.823039215686265</v>
      </c>
      <c r="AS66" s="21">
        <f>+AS29/-ProForma_IS_Qtr!AS85*365/4</f>
        <v>61.326328684508098</v>
      </c>
      <c r="AT66" s="22">
        <f>+AT29/-ProForma_IS_Qtr!AT85*365</f>
        <v>68.708451373370167</v>
      </c>
      <c r="AU66" s="21">
        <f>+AU29/-ProForma_IS_Qtr!AU85*365/4</f>
        <v>60.98402566056911</v>
      </c>
      <c r="AV66" s="21">
        <f>+AV29/-ProForma_IS_Qtr!AV85*365/4</f>
        <v>61.841506102471961</v>
      </c>
      <c r="AW66" s="21">
        <f>+AW29/-ProForma_IS_Qtr!AW85*365/4</f>
        <v>67.259576455932731</v>
      </c>
      <c r="AX66" s="21">
        <f>+AX29/-ProForma_IS_Qtr!AX85*365/4</f>
        <v>67.681806418219452</v>
      </c>
      <c r="AY66" s="22">
        <f>+AY29/-ProForma_IS_Qtr!AY85*365</f>
        <v>72.05799963262308</v>
      </c>
      <c r="AZ66" s="21">
        <f>+AZ29/-ProForma_IS_Qtr!AZ85*365/4</f>
        <v>75.773008029647926</v>
      </c>
      <c r="BA66" s="21">
        <f>+BA29/-ProForma_IS_Qtr!BA85*365/4</f>
        <v>71.244478349317063</v>
      </c>
      <c r="BB66" s="21">
        <f>+BB29/-ProForma_IS_Qtr!BB85*365/4</f>
        <v>74.190971058218793</v>
      </c>
      <c r="BC66" s="21">
        <f>+BC29/-ProForma_IS_Qtr!BC85*365/4</f>
        <v>74.300432867168695</v>
      </c>
      <c r="BD66" s="22">
        <f>+BD29/-ProForma_IS_Qtr!BD85*365</f>
        <v>81.92836162340781</v>
      </c>
      <c r="BE66" s="21">
        <f>+BE29/-ProForma_IS_Qtr!BE85*365/4</f>
        <v>83.404859283834796</v>
      </c>
      <c r="BF66" s="21">
        <f>+BF29/-ProForma_IS_Qtr!BF85*365/4</f>
        <v>79.237164750957845</v>
      </c>
      <c r="BG66" s="41">
        <v>71</v>
      </c>
      <c r="BH66" s="21">
        <f>+BH29/-ProForma_IS_Qtr!BH85*365/4</f>
        <v>68.401403129646468</v>
      </c>
      <c r="BI66" s="258">
        <v>73.25</v>
      </c>
      <c r="BJ66" s="112"/>
      <c r="BK66" s="77" t="s">
        <v>22</v>
      </c>
      <c r="BL66" s="77">
        <f>Cash_Flow_Qtr!BE13</f>
        <v>-813</v>
      </c>
      <c r="BM66" s="77">
        <f>Cash_Flow_Qtr!BF13</f>
        <v>-330</v>
      </c>
      <c r="BN66" s="77">
        <f>Cash_Flow_Qtr!BG13</f>
        <v>-93.086531506849497</v>
      </c>
      <c r="BO66" s="77">
        <f>Cash_Flow_Qtr!BH13</f>
        <v>-25.877131726027073</v>
      </c>
      <c r="BP66" s="77">
        <f>Cash_Flow_Qtr!BI13</f>
        <v>-1261.9636632328766</v>
      </c>
      <c r="BQ66" s="324"/>
      <c r="BY66" t="str">
        <f>Cash_Flow_Annual!A13</f>
        <v>Inventories</v>
      </c>
      <c r="BZ66" s="374"/>
      <c r="CA66" s="374"/>
      <c r="CB66" s="374"/>
      <c r="CC66" s="374"/>
      <c r="CD66" s="374"/>
      <c r="CE66" s="374"/>
    </row>
    <row r="67" spans="1:83">
      <c r="A67" s="1" t="s">
        <v>112</v>
      </c>
      <c r="B67" s="21"/>
      <c r="C67" s="21"/>
      <c r="D67" s="21"/>
      <c r="E67" s="21"/>
      <c r="F67" s="22"/>
      <c r="G67" s="21"/>
      <c r="H67" s="21"/>
      <c r="I67" s="21"/>
      <c r="J67" s="21"/>
      <c r="K67" s="22"/>
      <c r="L67" s="21"/>
      <c r="M67" s="21"/>
      <c r="N67" s="21"/>
      <c r="O67" s="21"/>
      <c r="P67" s="22"/>
      <c r="Q67" s="21"/>
      <c r="R67" s="21"/>
      <c r="S67" s="21"/>
      <c r="T67" s="21"/>
      <c r="U67" s="22"/>
      <c r="V67" s="21"/>
      <c r="W67" s="21"/>
      <c r="X67" s="21"/>
      <c r="Y67" s="21" t="str">
        <f>+IFERROR(Y9/-ProForma_IS_Qtr!Y85*365/4,"NM")</f>
        <v>NM</v>
      </c>
      <c r="Z67" s="22" t="str">
        <f>IFERROR(+Z9/-ProForma_IS_Qtr!Z85*365,"NM")</f>
        <v>NM</v>
      </c>
      <c r="AA67" s="21">
        <f>+AA9/-ProForma_IS_Qtr!AA85*365/4</f>
        <v>75.987732503437798</v>
      </c>
      <c r="AB67" s="21">
        <f>+AB9/-ProForma_IS_Qtr!AB85*365/4</f>
        <v>76.621909284427701</v>
      </c>
      <c r="AC67" s="21">
        <f>+AC9/-ProForma_IS_Qtr!AC85*365/4</f>
        <v>69.069036450322983</v>
      </c>
      <c r="AD67" s="21">
        <f>+AD9/-ProForma_IS_Qtr!AD85*365/4</f>
        <v>60.195832749193883</v>
      </c>
      <c r="AE67" s="22">
        <f>+AE9/-ProForma_IS_Qtr!AE85*365</f>
        <v>64.445601395846225</v>
      </c>
      <c r="AF67" s="21">
        <f>+AF9/-ProForma_IS_Qtr!AF85*365/4</f>
        <v>69.13077291217995</v>
      </c>
      <c r="AG67" s="21">
        <f>+AG9/-ProForma_IS_Qtr!AG85*365/4</f>
        <v>68.846700908731719</v>
      </c>
      <c r="AH67" s="21">
        <f>+AH9/-ProForma_IS_Qtr!AH85*365/4</f>
        <v>65.713385285354107</v>
      </c>
      <c r="AI67" s="21">
        <f>+AI9/-ProForma_IS_Qtr!AI85*365/4</f>
        <v>61.507968566392478</v>
      </c>
      <c r="AJ67" s="22">
        <f>+AJ9/-ProForma_IS_Qtr!AJ85*365</f>
        <v>64.550359365666608</v>
      </c>
      <c r="AK67" s="21">
        <f>+AK9/-ProForma_IS_Qtr!AK85*365/4</f>
        <v>70.827726910828019</v>
      </c>
      <c r="AL67" s="21">
        <f>+AL9/-ProForma_IS_Qtr!AL85*365/4</f>
        <v>71.986426571250774</v>
      </c>
      <c r="AM67" s="21">
        <f>+AM9/-ProForma_IS_Qtr!AM85*365/4</f>
        <v>70.77567959001783</v>
      </c>
      <c r="AN67" s="21">
        <f>+AN9/-ProForma_IS_Qtr!AN85*365/4</f>
        <v>66.694289549772833</v>
      </c>
      <c r="AO67" s="22">
        <f>+AO9/-ProForma_IS_Qtr!AO85*365</f>
        <v>72.561229075384787</v>
      </c>
      <c r="AP67" s="21">
        <f>+AP9/-ProForma_IS_Qtr!AP85*365/4</f>
        <v>75.748534261634305</v>
      </c>
      <c r="AQ67" s="21">
        <f>+AQ9/-ProForma_IS_Qtr!AQ85*365/4</f>
        <v>75.404756164760983</v>
      </c>
      <c r="AR67" s="21">
        <f>+AR9/-ProForma_IS_Qtr!AR85*365/4</f>
        <v>86.240196078431367</v>
      </c>
      <c r="AS67" s="21">
        <f>+AS9/-ProForma_IS_Qtr!AS85*365/4</f>
        <v>67.511700590526445</v>
      </c>
      <c r="AT67" s="22">
        <f>+AT9/-ProForma_IS_Qtr!AT85*365</f>
        <v>75.638383980573977</v>
      </c>
      <c r="AU67" s="21">
        <f>+AU9/-ProForma_IS_Qtr!AU85*365/4</f>
        <v>71.787506351626021</v>
      </c>
      <c r="AV67" s="21">
        <f>+AV9/-ProForma_IS_Qtr!AV85*365/4</f>
        <v>73.758673564215357</v>
      </c>
      <c r="AW67" s="21">
        <f>+AW9/-ProForma_IS_Qtr!AW85*365/4</f>
        <v>76.529507941451257</v>
      </c>
      <c r="AX67" s="21">
        <f>+AX9/-ProForma_IS_Qtr!AX85*365/4</f>
        <v>67.004830917874401</v>
      </c>
      <c r="AY67" s="22">
        <f>+AY9/-ProForma_IS_Qtr!AY85*365</f>
        <v>71.337252020573118</v>
      </c>
      <c r="AZ67" s="21">
        <f>+AZ9/-ProForma_IS_Qtr!AZ85*365/4</f>
        <v>76.753705991352689</v>
      </c>
      <c r="BA67" s="21">
        <f>+BA9/-ProForma_IS_Qtr!BA85*365/4</f>
        <v>74.315315315315317</v>
      </c>
      <c r="BB67" s="21">
        <f>+BB9/-ProForma_IS_Qtr!BB85*365/4</f>
        <v>70.387613141133087</v>
      </c>
      <c r="BC67" s="21">
        <f>+BC9/-ProForma_IS_Qtr!BC85*365/4</f>
        <v>62.469391936888478</v>
      </c>
      <c r="BD67" s="22">
        <f>+BD9/-ProForma_IS_Qtr!BD85*365</f>
        <v>68.882706809387969</v>
      </c>
      <c r="BE67" s="21">
        <f>+BE9/-ProForma_IS_Qtr!BE85*365/4</f>
        <v>73.873770163596845</v>
      </c>
      <c r="BF67" s="21">
        <f>+BF9/-ProForma_IS_Qtr!BF85*365/4</f>
        <v>67.168390804597706</v>
      </c>
      <c r="BG67" s="41">
        <v>69</v>
      </c>
      <c r="BH67" s="510">
        <f>+BH9/-ProForma_IS_Qtr!BH85*365/4</f>
        <v>64.479411414362986</v>
      </c>
      <c r="BI67" s="258">
        <v>69.05</v>
      </c>
      <c r="BJ67" s="112"/>
      <c r="BK67" s="77" t="s">
        <v>90</v>
      </c>
      <c r="BL67" s="77">
        <f>Cash_Flow_Qtr!BE14</f>
        <v>-469</v>
      </c>
      <c r="BM67" s="77">
        <f>Cash_Flow_Qtr!BF14</f>
        <v>47</v>
      </c>
      <c r="BN67" s="77">
        <f>Cash_Flow_Qtr!BG14</f>
        <v>-19.391152000000147</v>
      </c>
      <c r="BO67" s="77">
        <f>Cash_Flow_Qtr!BH14</f>
        <v>-8.6924231999983022</v>
      </c>
      <c r="BP67" s="77">
        <f>Cash_Flow_Qtr!BI14</f>
        <v>-450.08357519999845</v>
      </c>
      <c r="BQ67" s="324"/>
      <c r="BY67" t="str">
        <f>Cash_Flow_Annual!A14</f>
        <v>Other Current Assets</v>
      </c>
      <c r="BZ67" s="374"/>
      <c r="CA67" s="374"/>
      <c r="CB67" s="374"/>
      <c r="CC67" s="374"/>
      <c r="CD67" s="374"/>
      <c r="CE67" s="374"/>
    </row>
    <row r="68" spans="1:83">
      <c r="A68" s="1" t="s">
        <v>113</v>
      </c>
      <c r="B68" s="21"/>
      <c r="C68" s="21"/>
      <c r="D68" s="21"/>
      <c r="E68" s="21"/>
      <c r="F68" s="22"/>
      <c r="G68" s="21"/>
      <c r="H68" s="21"/>
      <c r="I68" s="21"/>
      <c r="J68" s="21"/>
      <c r="K68" s="22"/>
      <c r="L68" s="21"/>
      <c r="M68" s="21"/>
      <c r="N68" s="21"/>
      <c r="O68" s="21"/>
      <c r="P68" s="22"/>
      <c r="Q68" s="21"/>
      <c r="R68" s="21"/>
      <c r="S68" s="21"/>
      <c r="T68" s="21"/>
      <c r="U68" s="22"/>
      <c r="V68" s="21"/>
      <c r="W68" s="21"/>
      <c r="X68" s="21"/>
      <c r="Y68" s="21">
        <f>+Y31/ProForma_IS_Qtr!Y9*365/4</f>
        <v>42.295855401861473</v>
      </c>
      <c r="Z68" s="22">
        <f>+Z31/ProForma_IS_Qtr!Z9*365</f>
        <v>44.319005347737651</v>
      </c>
      <c r="AA68" s="21">
        <f>+AA31/ProForma_IS_Qtr!AA9*365/4</f>
        <v>31.65462152909852</v>
      </c>
      <c r="AB68" s="21">
        <f>+AB31/ProForma_IS_Qtr!AB9*365/4</f>
        <v>74.81726694915254</v>
      </c>
      <c r="AC68" s="21">
        <f>+AC31/ProForma_IS_Qtr!AC9*365/4</f>
        <v>74.033362131986436</v>
      </c>
      <c r="AD68" s="21">
        <f>+AD31/ProForma_IS_Qtr!AD9*365/4</f>
        <v>70.923310016281732</v>
      </c>
      <c r="AE68" s="22">
        <f>+AE31/ProForma_IS_Qtr!AE9*365</f>
        <v>72.751643083584625</v>
      </c>
      <c r="AF68" s="21">
        <f>+AF31/ProForma_IS_Qtr!AF9*365/4</f>
        <v>77.057815880925844</v>
      </c>
      <c r="AG68" s="21">
        <f>+AG31/ProForma_IS_Qtr!AG9*365/4</f>
        <v>72.350676952141058</v>
      </c>
      <c r="AH68" s="21">
        <f>+AH31/ProForma_IS_Qtr!AH9*365/4</f>
        <v>70.594507493986313</v>
      </c>
      <c r="AI68" s="21">
        <f>+AI31/ProForma_IS_Qtr!AI9*365/4</f>
        <v>73.454001408120163</v>
      </c>
      <c r="AJ68" s="22">
        <f>+AJ31/ProForma_IS_Qtr!AJ9*365</f>
        <v>77.775361868671183</v>
      </c>
      <c r="AK68" s="21">
        <f>+AK31/ProForma_IS_Qtr!AK9*365/4</f>
        <v>79.771172690251973</v>
      </c>
      <c r="AL68" s="21">
        <f>+AL31/ProForma_IS_Qtr!AL9*365/4</f>
        <v>75.118763025622158</v>
      </c>
      <c r="AM68" s="21">
        <f>+AM31/ProForma_IS_Qtr!AM9*365/4</f>
        <v>71.962126128252024</v>
      </c>
      <c r="AN68" s="21">
        <f>+AN31/ProForma_IS_Qtr!AN9*365/4</f>
        <v>73.623362626430108</v>
      </c>
      <c r="AO68" s="22">
        <f>+AO31/ProForma_IS_Qtr!AO9*365</f>
        <v>79.438679667233203</v>
      </c>
      <c r="AP68" s="21">
        <f>+AP31/ProForma_IS_Qtr!AP9*365/4</f>
        <v>78.824648541884514</v>
      </c>
      <c r="AQ68" s="21">
        <f>+AQ31/ProForma_IS_Qtr!AQ9*365/4</f>
        <v>75.540950040950051</v>
      </c>
      <c r="AR68" s="21">
        <f>+AR31/ProForma_IS_Qtr!AR9*365/4</f>
        <v>73.41599831152385</v>
      </c>
      <c r="AS68" s="21">
        <f>+AS31/ProForma_IS_Qtr!AS9*365/4</f>
        <v>79.093459947538335</v>
      </c>
      <c r="AT68" s="22">
        <f>+AT31/ProForma_IS_Qtr!AT9*365</f>
        <v>84.406096494179394</v>
      </c>
      <c r="AU68" s="21">
        <f>+AU31/ProForma_IS_Qtr!AU9*365/4</f>
        <v>80.917314167314174</v>
      </c>
      <c r="AV68" s="21">
        <f>+AV31/ProForma_IS_Qtr!AV9*365/4</f>
        <v>81.447690869587191</v>
      </c>
      <c r="AW68" s="21">
        <f>+AW31/ProForma_IS_Qtr!AW9*365/4</f>
        <v>83.741599880531638</v>
      </c>
      <c r="AX68" s="21">
        <f>+AX31/ProForma_IS_Qtr!AX9*365/4</f>
        <v>78.560329279008457</v>
      </c>
      <c r="AY68" s="22">
        <f>+AY31/ProForma_IS_Qtr!AY9*365</f>
        <v>84.086229086229082</v>
      </c>
      <c r="AZ68" s="21">
        <f>+AZ31/ProForma_IS_Qtr!AZ9*365/4</f>
        <v>85.551930463902295</v>
      </c>
      <c r="BA68" s="21">
        <f>+BA31/ProForma_IS_Qtr!BA9*365/4</f>
        <v>81.123326073861264</v>
      </c>
      <c r="BB68" s="21">
        <f>+BB31/ProForma_IS_Qtr!BB9*365/4</f>
        <v>81.641104635643742</v>
      </c>
      <c r="BC68" s="21">
        <f>+BC31/ProForma_IS_Qtr!BC9*365/4</f>
        <v>81.375061886294247</v>
      </c>
      <c r="BD68" s="22">
        <f>+BD31/ProForma_IS_Qtr!BD9*365</f>
        <v>89.042978228728145</v>
      </c>
      <c r="BE68" s="21">
        <f>+BE31/ProForma_IS_Qtr!BE9*365/4</f>
        <v>90.687851059974633</v>
      </c>
      <c r="BF68" s="21">
        <f>+BF31/ProForma_IS_Qtr!BF9*365/4</f>
        <v>83.75420040485831</v>
      </c>
      <c r="BG68" s="41">
        <v>88.5</v>
      </c>
      <c r="BH68" s="21">
        <f>+BH31/ProForma_IS_Qtr!BH9*365/4</f>
        <v>83.65533049853866</v>
      </c>
      <c r="BI68" s="258">
        <v>88</v>
      </c>
      <c r="BJ68" s="112"/>
      <c r="BK68" s="77" t="s">
        <v>271</v>
      </c>
      <c r="BL68" s="77">
        <f>Cash_Flow_Qtr!BE15</f>
        <v>-1155</v>
      </c>
      <c r="BM68" s="77">
        <f>Cash_Flow_Qtr!BF15</f>
        <v>2102</v>
      </c>
      <c r="BN68" s="77">
        <f>Cash_Flow_Qtr!BG15</f>
        <v>-180.93977424657351</v>
      </c>
      <c r="BO68" s="77">
        <f>Cash_Flow_Qtr!BH15</f>
        <v>510.31906421917301</v>
      </c>
      <c r="BP68" s="77">
        <f>Cash_Flow_Qtr!BI15</f>
        <v>1276.3792899725995</v>
      </c>
      <c r="BQ68" s="324" t="str">
        <f>Cash_Flow_Qtr!BJ15</f>
        <v xml:space="preserve">~$700mn powder metal impact </v>
      </c>
      <c r="BY68" t="str">
        <f>Cash_Flow_Annual!A15</f>
        <v>Accounts Payable and Accrued Liabilities</v>
      </c>
      <c r="BZ68" s="374"/>
      <c r="CA68" s="374"/>
      <c r="CB68" s="374"/>
      <c r="CC68" s="374"/>
      <c r="CD68" s="374"/>
      <c r="CE68" s="374"/>
    </row>
    <row r="69" spans="1:83">
      <c r="F69" s="26"/>
      <c r="K69" s="26"/>
      <c r="P69" s="26"/>
      <c r="U69" s="26"/>
      <c r="Z69" s="26"/>
      <c r="AE69" s="26"/>
      <c r="AJ69" s="26"/>
      <c r="AO69" s="26"/>
      <c r="AT69" s="26"/>
      <c r="AY69" s="26"/>
      <c r="BD69" s="26"/>
      <c r="BI69" s="26"/>
      <c r="BJ69" s="112"/>
      <c r="BK69" s="77" t="s">
        <v>77</v>
      </c>
      <c r="BL69" s="77">
        <f>Cash_Flow_Qtr!BE16</f>
        <v>94</v>
      </c>
      <c r="BM69" s="77">
        <f>Cash_Flow_Qtr!BF16</f>
        <v>198</v>
      </c>
      <c r="BN69" s="77">
        <f>Cash_Flow_Qtr!BG16</f>
        <v>579.62786301369852</v>
      </c>
      <c r="BO69" s="77">
        <f>Cash_Flow_Qtr!BH16</f>
        <v>-106.8769150684966</v>
      </c>
      <c r="BP69" s="77">
        <f>Cash_Flow_Qtr!BI16</f>
        <v>764.75094794520191</v>
      </c>
      <c r="BQ69" s="324"/>
      <c r="BY69" t="str">
        <f>Cash_Flow_Annual!A16</f>
        <v>Contract Liabilities</v>
      </c>
      <c r="BZ69" s="374"/>
      <c r="CA69" s="374"/>
      <c r="CB69" s="374"/>
      <c r="CC69" s="374"/>
      <c r="CD69" s="374"/>
      <c r="CE69" s="374"/>
    </row>
    <row r="70" spans="1:83">
      <c r="A70" s="13" t="s">
        <v>66</v>
      </c>
      <c r="F70" s="26"/>
      <c r="K70" s="26"/>
      <c r="P70" s="26"/>
      <c r="U70" s="26"/>
      <c r="Z70" s="26"/>
      <c r="AE70" s="26"/>
      <c r="AJ70" s="26"/>
      <c r="AO70" s="26"/>
      <c r="AT70" s="26"/>
      <c r="AY70" s="26"/>
      <c r="BD70" s="26"/>
      <c r="BI70" s="26"/>
      <c r="BJ70" s="112"/>
      <c r="BK70" s="80"/>
      <c r="BL70" s="80">
        <f>SUM(BL64:BL69)</f>
        <v>-1499</v>
      </c>
      <c r="BM70" s="80">
        <f t="shared" ref="BM70:BO70" si="161">SUM(BM64:BM69)</f>
        <v>325</v>
      </c>
      <c r="BN70" s="80">
        <f t="shared" si="161"/>
        <v>-419.81633446574779</v>
      </c>
      <c r="BO70" s="80">
        <f t="shared" si="161"/>
        <v>333.26159148492843</v>
      </c>
      <c r="BP70" s="80">
        <f>SUM(BP64:BP69)</f>
        <v>-1260.5547429808194</v>
      </c>
      <c r="BQ70" s="324"/>
      <c r="BX70" s="4"/>
      <c r="BY70" s="4" t="str">
        <f>Cash_Flow_Annual!A17</f>
        <v>Working Capital</v>
      </c>
      <c r="BZ70" s="375"/>
      <c r="CA70" s="375"/>
      <c r="CB70" s="375"/>
      <c r="CC70" s="375"/>
      <c r="CD70" s="375"/>
      <c r="CE70" s="375"/>
    </row>
    <row r="71" spans="1:83">
      <c r="A71" s="1" t="s">
        <v>22</v>
      </c>
      <c r="B71" s="35"/>
      <c r="C71" s="35"/>
      <c r="D71" s="35"/>
      <c r="E71" s="35"/>
      <c r="F71" s="36"/>
      <c r="G71" s="35"/>
      <c r="H71" s="35"/>
      <c r="I71" s="35"/>
      <c r="J71" s="35"/>
      <c r="K71" s="36"/>
      <c r="L71" s="35"/>
      <c r="M71" s="35"/>
      <c r="N71" s="35"/>
      <c r="O71" s="35"/>
      <c r="P71" s="36"/>
      <c r="Q71" s="35"/>
      <c r="R71" s="35"/>
      <c r="S71" s="35"/>
      <c r="T71" s="35"/>
      <c r="U71" s="36"/>
      <c r="V71" s="35"/>
      <c r="W71" s="35"/>
      <c r="X71" s="35"/>
      <c r="Y71" s="35">
        <f>(+Y9/ProForma_IS_Qtr!Y9)/4</f>
        <v>0.11630328585385921</v>
      </c>
      <c r="Z71" s="36">
        <f>+Z9/ProForma_IS_Qtr!Z9</f>
        <v>0.12186645473281517</v>
      </c>
      <c r="AA71" s="35">
        <f>(+AA9/ProForma_IS_Qtr!AA9)/4</f>
        <v>0.15630603705917515</v>
      </c>
      <c r="AB71" s="35">
        <f>(+AB9/ProForma_IS_Qtr!AB9)/4</f>
        <v>0.17523236741388737</v>
      </c>
      <c r="AC71" s="35">
        <f>(+AC9/ProForma_IS_Qtr!AC9)/4</f>
        <v>0.16353758224230744</v>
      </c>
      <c r="AD71" s="35">
        <f>(+AD9/ProForma_IS_Qtr!AD9)/4</f>
        <v>0.14187722366278718</v>
      </c>
      <c r="AE71" s="137">
        <f>+AE9/ProForma_IS_Qtr!AE9</f>
        <v>0.14553467872883322</v>
      </c>
      <c r="AF71" s="35">
        <f>(+AF9/ProForma_IS_Qtr!AF9)/4</f>
        <v>0.15569470854370204</v>
      </c>
      <c r="AG71" s="35">
        <f>(+AG9/ProForma_IS_Qtr!AG9)/4</f>
        <v>0.15031486146095718</v>
      </c>
      <c r="AH71" s="35">
        <f>(+AH9/ProForma_IS_Qtr!AH9)/4</f>
        <v>0.14534632702152595</v>
      </c>
      <c r="AI71" s="35">
        <f>(+AI9/ProForma_IS_Qtr!AI9)/4</f>
        <v>0.13462215442384418</v>
      </c>
      <c r="AJ71" s="137">
        <f>+AJ9/ProForma_IS_Qtr!AJ9</f>
        <v>0.14254208858793563</v>
      </c>
      <c r="AK71" s="35">
        <f>(+AK9/ProForma_IS_Qtr!AK9)/4</f>
        <v>0.15508080936625096</v>
      </c>
      <c r="AL71" s="35">
        <f>(+AL9/ProForma_IS_Qtr!AL9)/4</f>
        <v>0.15541865882064484</v>
      </c>
      <c r="AM71" s="35">
        <f>(+AM9/ProForma_IS_Qtr!AM9)/4</f>
        <v>0.15401746209663147</v>
      </c>
      <c r="AN71" s="35">
        <f>(+AN9/ProForma_IS_Qtr!AN9)/4</f>
        <v>0.14670038136295804</v>
      </c>
      <c r="AO71" s="137">
        <f>+AO9/ProForma_IS_Qtr!AO9</f>
        <v>0.15828786116826191</v>
      </c>
      <c r="AP71" s="35">
        <f>(+AP9/ProForma_IS_Qtr!AP9)/4</f>
        <v>0.1645027303357732</v>
      </c>
      <c r="AQ71" s="35">
        <f>(+AQ9/ProForma_IS_Qtr!AQ9)/4</f>
        <v>0.16375921375921376</v>
      </c>
      <c r="AR71" s="35">
        <f>(+AR9/ProForma_IS_Qtr!AR9)/4</f>
        <v>0.15895420008442382</v>
      </c>
      <c r="AS71" s="35">
        <f>(+AS9/ProForma_IS_Qtr!AS9)/4</f>
        <v>0.14851947134786117</v>
      </c>
      <c r="AT71" s="137">
        <f>+AT9/ProForma_IS_Qtr!AT9</f>
        <v>0.15849539061974297</v>
      </c>
      <c r="AU71" s="35">
        <f>(+AU9/ProForma_IS_Qtr!AU9)/4</f>
        <v>0.16039886039886039</v>
      </c>
      <c r="AV71" s="35">
        <f>(+AV9/ProForma_IS_Qtr!AV9)/4</f>
        <v>0.16480976201303624</v>
      </c>
      <c r="AW71" s="35">
        <f>(+AW9/ProForma_IS_Qtr!AW9)/4</f>
        <v>0.1675668276171039</v>
      </c>
      <c r="AX71" s="35">
        <f>(+AX9/ProForma_IS_Qtr!AX9)/4</f>
        <v>0.14762058918743931</v>
      </c>
      <c r="AY71" s="137">
        <f>+AY9/ProForma_IS_Qtr!AY9</f>
        <v>0.15800415800415801</v>
      </c>
      <c r="AZ71" s="35">
        <f>(+AZ9/ProForma_IS_Qtr!AZ9)/4</f>
        <v>0.16765980498374863</v>
      </c>
      <c r="BA71" s="35">
        <f>(+BA9/ProForma_IS_Qtr!BA9)/4</f>
        <v>0.16231870626940365</v>
      </c>
      <c r="BB71" s="35">
        <f>(+BB9/ProForma_IS_Qtr!BB9)/4</f>
        <v>0.15355013791262567</v>
      </c>
      <c r="BC71" s="35">
        <f>(+BC9/ProForma_IS_Qtr!BC9)/4</f>
        <v>0.13784140605660533</v>
      </c>
      <c r="BD71" s="137">
        <f>+BD9/ProForma_IS_Qtr!BD9</f>
        <v>0.15083010733270882</v>
      </c>
      <c r="BE71" s="35">
        <f>(+BE9/ProForma_IS_Qtr!BE9)/4</f>
        <v>0.16027586519296974</v>
      </c>
      <c r="BF71" s="35">
        <f>(+BF9/ProForma_IS_Qtr!BF9)/4</f>
        <v>0.14584008097165993</v>
      </c>
      <c r="BG71" s="35">
        <f>(+BG9/ProForma_IS_Qtr!BG9)/4</f>
        <v>0.15123287671232877</v>
      </c>
      <c r="BH71" s="33">
        <f>(+BH9/ProForma_IS_Qtr!BH9)/4</f>
        <v>0.14387049989848308</v>
      </c>
      <c r="BI71" s="36">
        <f>+BI9/ProForma_IS_Qtr!BI9</f>
        <v>0.15134246575342467</v>
      </c>
      <c r="BJ71" s="112"/>
      <c r="BK71" s="77" t="s">
        <v>430</v>
      </c>
      <c r="BL71" s="77">
        <f>Cash_Flow_Qtr!BE21</f>
        <v>1855</v>
      </c>
      <c r="BM71" s="77">
        <f>Cash_Flow_Qtr!BF21</f>
        <v>3547</v>
      </c>
      <c r="BN71" s="77">
        <f>Cash_Flow_Qtr!BG21</f>
        <v>2797.0272632592523</v>
      </c>
      <c r="BO71" s="77">
        <f>Cash_Flow_Qtr!BH21</f>
        <v>3633.5881657524278</v>
      </c>
      <c r="BP71" s="77">
        <f>Cash_Flow_Qtr!BI21</f>
        <v>11832.615429011681</v>
      </c>
      <c r="BQ71" s="77"/>
      <c r="BY71" t="str">
        <f>Cash_Flow_Annual!A18</f>
        <v>Global Pension Contributions</v>
      </c>
    </row>
    <row r="72" spans="1:83">
      <c r="A72" s="1" t="s">
        <v>90</v>
      </c>
      <c r="B72" s="35"/>
      <c r="C72" s="35"/>
      <c r="D72" s="35"/>
      <c r="E72" s="35"/>
      <c r="F72" s="36"/>
      <c r="G72" s="35"/>
      <c r="H72" s="35"/>
      <c r="I72" s="35"/>
      <c r="J72" s="35"/>
      <c r="K72" s="36"/>
      <c r="L72" s="35"/>
      <c r="M72" s="35"/>
      <c r="N72" s="35"/>
      <c r="O72" s="35"/>
      <c r="P72" s="36"/>
      <c r="Q72" s="35"/>
      <c r="R72" s="35"/>
      <c r="S72" s="35"/>
      <c r="T72" s="35"/>
      <c r="U72" s="36"/>
      <c r="V72" s="35"/>
      <c r="W72" s="35"/>
      <c r="X72" s="35"/>
      <c r="Y72" s="35">
        <f>(+Y11/ProForma_IS_Qtr!Y9)/4</f>
        <v>3.2665706792821513E-2</v>
      </c>
      <c r="Z72" s="36">
        <f>+Z11/ProForma_IS_Qtr!Z9</f>
        <v>3.4228215041017279E-2</v>
      </c>
      <c r="AA72" s="35">
        <f>(+AA11/ProForma_IS_Qtr!AA9)/4</f>
        <v>2.2414823670053794E-2</v>
      </c>
      <c r="AB72" s="35">
        <f>(+AB11/ProForma_IS_Qtr!AB9)/4</f>
        <v>9.272484964461454E-2</v>
      </c>
      <c r="AC72" s="35">
        <f>(+AC11/ProForma_IS_Qtr!AC9)/4</f>
        <v>6.3933009902306104E-2</v>
      </c>
      <c r="AD72" s="35">
        <f>(+AD11/ProForma_IS_Qtr!AD9)/4</f>
        <v>8.8705300609057472E-2</v>
      </c>
      <c r="AE72" s="137">
        <f>+AE11/ProForma_IS_Qtr!AE9</f>
        <v>9.0992035877213329E-2</v>
      </c>
      <c r="AF72" s="35">
        <f>(+AF11/ProForma_IS_Qtr!AF9)/4</f>
        <v>6.8241426791685794E-2</v>
      </c>
      <c r="AG72" s="35">
        <f>(+AG11/ProForma_IS_Qtr!AG9)/4</f>
        <v>6.0673803526448362E-2</v>
      </c>
      <c r="AH72" s="35">
        <f>(+AH11/ProForma_IS_Qtr!AH9)/4</f>
        <v>7.1347067168321718E-2</v>
      </c>
      <c r="AI72" s="35">
        <f>(+AI11/ProForma_IS_Qtr!AI9)/4</f>
        <v>5.8627669561135881E-2</v>
      </c>
      <c r="AJ72" s="137">
        <f>+AJ11/ProForma_IS_Qtr!AJ9</f>
        <v>6.2076784494005097E-2</v>
      </c>
      <c r="AK72" s="35">
        <f>(+AK11/ProForma_IS_Qtr!AK9)/4</f>
        <v>6.7892593535250706E-2</v>
      </c>
      <c r="AL72" s="35">
        <f>(+AL11/ProForma_IS_Qtr!AL9)/4</f>
        <v>6.5250704916023042E-2</v>
      </c>
      <c r="AM72" s="35">
        <f>(+AM11/ProForma_IS_Qtr!AM9)/4</f>
        <v>6.5084655772520789E-2</v>
      </c>
      <c r="AN72" s="35">
        <f>(+AN11/ProForma_IS_Qtr!AN9)/4</f>
        <v>6.7609020063007799E-2</v>
      </c>
      <c r="AO72" s="137">
        <f>+AO11/ProForma_IS_Qtr!AO9</f>
        <v>7.2949279899812147E-2</v>
      </c>
      <c r="AP72" s="35">
        <f>(+AP11/ProForma_IS_Qtr!AP9)/4</f>
        <v>7.890379923318229E-2</v>
      </c>
      <c r="AQ72" s="35">
        <f>(+AQ11/ProForma_IS_Qtr!AQ9)/4</f>
        <v>7.6617526617526618E-2</v>
      </c>
      <c r="AR72" s="35">
        <f>(+AR11/ProForma_IS_Qtr!AR9)/4</f>
        <v>8.2009814267623465E-2</v>
      </c>
      <c r="AS72" s="35">
        <f>(+AS11/ProForma_IS_Qtr!AS9)/4</f>
        <v>8.8743442292171112E-2</v>
      </c>
      <c r="AT72" s="137">
        <f>+AT11/ProForma_IS_Qtr!AT9</f>
        <v>9.4704259471098853E-2</v>
      </c>
      <c r="AU72" s="35">
        <f>(+AU11/ProForma_IS_Qtr!AU9)/4</f>
        <v>8.5560735560735554E-2</v>
      </c>
      <c r="AV72" s="35">
        <f>(+AV11/ProForma_IS_Qtr!AV9)/4</f>
        <v>7.9417411954929004E-2</v>
      </c>
      <c r="AW72" s="35">
        <f>(+AW11/ProForma_IS_Qtr!AW9)/4</f>
        <v>8.4461645676738514E-2</v>
      </c>
      <c r="AX72" s="35">
        <f>(+AX11/ProForma_IS_Qtr!AX9)/4</f>
        <v>8.3394996069000596E-2</v>
      </c>
      <c r="AY72" s="137">
        <f>+AY11/ProForma_IS_Qtr!AY9</f>
        <v>8.9260964260964262E-2</v>
      </c>
      <c r="AZ72" s="35">
        <f>(+AZ11/ProForma_IS_Qtr!AZ9)/4</f>
        <v>9.1573919038707777E-2</v>
      </c>
      <c r="BA72" s="35">
        <f>(+BA11/ProForma_IS_Qtr!BA9)/4</f>
        <v>8.974329271118113E-2</v>
      </c>
      <c r="BB72" s="35">
        <f>(+BB11/ProForma_IS_Qtr!BB9)/4</f>
        <v>8.7496663404217453E-2</v>
      </c>
      <c r="BC72" s="35">
        <f>(+BC11/ProForma_IS_Qtr!BC9)/4</f>
        <v>7.9472316197706075E-2</v>
      </c>
      <c r="BD72" s="137">
        <f>+BD11/ProForma_IS_Qtr!BD9</f>
        <v>8.6960938117219513E-2</v>
      </c>
      <c r="BE72" s="35">
        <f>(+BE11/ProForma_IS_Qtr!BE9)/4</f>
        <v>9.0256387026635257E-2</v>
      </c>
      <c r="BF72" s="35">
        <f>(+BF11/ProForma_IS_Qtr!BF9)/4</f>
        <v>8.288461538461539E-2</v>
      </c>
      <c r="BG72" s="193">
        <f t="shared" ref="BG72" si="162">$BI72</f>
        <v>8.5599999999999996E-2</v>
      </c>
      <c r="BH72" s="108">
        <f>(+BH11/ProForma_IS_Qtr!BH9)/4</f>
        <v>8.1373821484942141E-2</v>
      </c>
      <c r="BI72" s="218">
        <v>8.5599999999999996E-2</v>
      </c>
      <c r="BJ72" s="112"/>
      <c r="BK72" s="77" t="s">
        <v>375</v>
      </c>
      <c r="BL72" s="77">
        <f>Cash_Flow_Qtr!BE72</f>
        <v>1309</v>
      </c>
      <c r="BM72" s="77">
        <f>Cash_Flow_Qtr!BF72</f>
        <v>2878</v>
      </c>
      <c r="BN72" s="77">
        <f>Cash_Flow_Qtr!BG72</f>
        <v>2017.9013507592522</v>
      </c>
      <c r="BO72" s="77">
        <f>Cash_Flow_Qtr!BH72</f>
        <v>2507.9101507524283</v>
      </c>
      <c r="BP72" s="77">
        <f>Cash_Flow_Qtr!BI72</f>
        <v>8712.8115015116819</v>
      </c>
      <c r="BQ72" s="503"/>
      <c r="BY72" t="str">
        <f>Cash_Flow_Annual!A19</f>
        <v>Canadian Government Settlement</v>
      </c>
    </row>
    <row r="73" spans="1:83">
      <c r="A73" s="1" t="s">
        <v>261</v>
      </c>
      <c r="B73" s="35"/>
      <c r="C73" s="35"/>
      <c r="D73" s="35"/>
      <c r="E73" s="35"/>
      <c r="F73" s="36"/>
      <c r="G73" s="35"/>
      <c r="H73" s="35"/>
      <c r="I73" s="35"/>
      <c r="J73" s="35"/>
      <c r="K73" s="36"/>
      <c r="L73" s="35"/>
      <c r="M73" s="35"/>
      <c r="N73" s="35"/>
      <c r="O73" s="35"/>
      <c r="P73" s="36"/>
      <c r="Q73" s="35"/>
      <c r="R73" s="35"/>
      <c r="S73" s="35"/>
      <c r="T73" s="35"/>
      <c r="U73" s="36"/>
      <c r="V73" s="35"/>
      <c r="W73" s="35"/>
      <c r="X73" s="35"/>
      <c r="Y73" s="35">
        <f>(+Y30/ProForma_IS_Qtr!Y9)/4</f>
        <v>0.12559777857767265</v>
      </c>
      <c r="Z73" s="36">
        <f>+Z30/ProForma_IS_Qtr!Z9</f>
        <v>0.13160553362878349</v>
      </c>
      <c r="AA73" s="35">
        <f>(+AA30/ProForma_IS_Qtr!AA9)/4</f>
        <v>0.15017931858936043</v>
      </c>
      <c r="AB73" s="35">
        <f>(+AB30/ProForma_IS_Qtr!AB9)/4</f>
        <v>0.2435244669218152</v>
      </c>
      <c r="AC73" s="35">
        <f>(+AC30/ProForma_IS_Qtr!AC9)/4</f>
        <v>0.22526084933873861</v>
      </c>
      <c r="AD73" s="35">
        <f>(+AD30/ProForma_IS_Qtr!AD9)/4</f>
        <v>0.20211964059579088</v>
      </c>
      <c r="AE73" s="137">
        <f>+AE30/ProForma_IS_Qtr!AE9</f>
        <v>0.20733008582695431</v>
      </c>
      <c r="AF73" s="35">
        <f>(+AF30/ProForma_IS_Qtr!AF9)/4</f>
        <v>0.20810110812405744</v>
      </c>
      <c r="AG73" s="35">
        <f>(+AG30/ProForma_IS_Qtr!AG9)/4</f>
        <v>0.19826826196473551</v>
      </c>
      <c r="AH73" s="35">
        <f>(+AH30/ProForma_IS_Qtr!AH9)/4</f>
        <v>0.19183679763153025</v>
      </c>
      <c r="AI73" s="35">
        <f>(+AI30/ProForma_IS_Qtr!AI9)/4</f>
        <v>0.18804271297817413</v>
      </c>
      <c r="AJ73" s="137">
        <f>+AJ30/ProForma_IS_Qtr!AJ9</f>
        <v>0.19910542337081444</v>
      </c>
      <c r="AK73" s="35">
        <f>(+AK30/ProForma_IS_Qtr!AK9)/4</f>
        <v>0.20495036905064903</v>
      </c>
      <c r="AL73" s="35">
        <f>(+AL30/ProForma_IS_Qtr!AL9)/4</f>
        <v>0.22200257447591026</v>
      </c>
      <c r="AM73" s="35">
        <f>(+AM30/ProForma_IS_Qtr!AM9)/4</f>
        <v>0.20057813698306884</v>
      </c>
      <c r="AN73" s="35">
        <f>(+AN30/ProForma_IS_Qtr!AN9)/4</f>
        <v>0.18515447963300724</v>
      </c>
      <c r="AO73" s="137">
        <f>+AO30/ProForma_IS_Qtr!AO9</f>
        <v>0.19977934818260429</v>
      </c>
      <c r="AP73" s="35">
        <f>(+AP30/ProForma_IS_Qtr!AP9)/4</f>
        <v>0.19503020797025677</v>
      </c>
      <c r="AQ73" s="35">
        <f>(+AQ30/ProForma_IS_Qtr!AQ9)/4</f>
        <v>0.18891618891618892</v>
      </c>
      <c r="AR73" s="35">
        <f>(+AR30/ProForma_IS_Qtr!AR9)/4</f>
        <v>0.22266779231743353</v>
      </c>
      <c r="AS73" s="35">
        <f>(+AS30/ProForma_IS_Qtr!AS9)/4</f>
        <v>0.21953188054882969</v>
      </c>
      <c r="AT73" s="137">
        <f>+AT30/ProForma_IS_Qtr!AT9</f>
        <v>0.23427763945898661</v>
      </c>
      <c r="AU73" s="35">
        <f>(+AU30/ProForma_IS_Qtr!AU9)/4</f>
        <v>0.21844081844081845</v>
      </c>
      <c r="AV73" s="35">
        <f>(+AV30/ProForma_IS_Qtr!AV9)/4</f>
        <v>0.24143550098529634</v>
      </c>
      <c r="AW73" s="35">
        <f>(+AW30/ProForma_IS_Qtr!AW9)/4</f>
        <v>0.23201752202697995</v>
      </c>
      <c r="AX73" s="35">
        <f>(+AX30/ProForma_IS_Qtr!AX9)/4</f>
        <v>0.20176432502427971</v>
      </c>
      <c r="AY73" s="137">
        <f>+AY30/ProForma_IS_Qtr!AY9</f>
        <v>0.21595634095634095</v>
      </c>
      <c r="AZ73" s="35">
        <f>(+AZ30/ProForma_IS_Qtr!AZ9)/4</f>
        <v>0.21035654486358712</v>
      </c>
      <c r="BA73" s="35">
        <f>(+BA30/ProForma_IS_Qtr!BA9)/4</f>
        <v>0.20844724526203606</v>
      </c>
      <c r="BB73" s="35">
        <f>(+BB30/ProForma_IS_Qtr!BB9)/4</f>
        <v>0.19765993415784322</v>
      </c>
      <c r="BC73" s="35">
        <f>(+BC30/ProForma_IS_Qtr!BC9)/4</f>
        <v>0.18213136397392524</v>
      </c>
      <c r="BD73" s="137">
        <f>+BD30/ProForma_IS_Qtr!BD9</f>
        <v>0.19929347764748373</v>
      </c>
      <c r="BE73" s="35">
        <f>(+BE30/ProForma_IS_Qtr!BE9)/4</f>
        <v>0.18369496285558978</v>
      </c>
      <c r="BF73" s="35">
        <f>(+BF30/ProForma_IS_Qtr!BF9)/4</f>
        <v>0.18270242914979756</v>
      </c>
      <c r="BG73" s="35">
        <f>(+BG30/ProForma_IS_Qtr!BG9)/4</f>
        <v>0.20800000000000002</v>
      </c>
      <c r="BH73" s="33">
        <f>(+BH30/ProForma_IS_Qtr!BH9)/4</f>
        <v>0.1977307811783641</v>
      </c>
      <c r="BI73" s="36">
        <f>+BI30/ProForma_IS_Qtr!BI9</f>
        <v>0.20799999999999999</v>
      </c>
      <c r="BJ73" s="112"/>
      <c r="BK73" s="77"/>
      <c r="BL73" s="77"/>
      <c r="BM73" s="457"/>
      <c r="BN73" s="77"/>
      <c r="BO73" s="77"/>
      <c r="BP73" s="77"/>
      <c r="BQ73" s="77"/>
      <c r="BY73" t="str">
        <f>Cash_Flow_Annual!A20</f>
        <v>Other, Net</v>
      </c>
    </row>
    <row r="74" spans="1:83">
      <c r="A74" s="1" t="s">
        <v>262</v>
      </c>
      <c r="B74" s="35"/>
      <c r="C74" s="35"/>
      <c r="D74" s="35"/>
      <c r="E74" s="35"/>
      <c r="F74" s="36"/>
      <c r="G74" s="35"/>
      <c r="H74" s="35"/>
      <c r="I74" s="35"/>
      <c r="J74" s="35"/>
      <c r="K74" s="36"/>
      <c r="L74" s="35"/>
      <c r="M74" s="35"/>
      <c r="N74" s="35"/>
      <c r="O74" s="35"/>
      <c r="P74" s="36"/>
      <c r="Q74" s="35"/>
      <c r="R74" s="35"/>
      <c r="S74" s="35"/>
      <c r="T74" s="35"/>
      <c r="U74" s="36"/>
      <c r="V74" s="35"/>
      <c r="W74" s="35"/>
      <c r="X74" s="35"/>
      <c r="Y74" s="35">
        <f>(+Y39/ProForma_IS_Qtr!Y9)/4</f>
        <v>3.1971512315524246E-2</v>
      </c>
      <c r="Z74" s="36">
        <f>+Z39/ProForma_IS_Qtr!Z9</f>
        <v>3.3500814957500978E-2</v>
      </c>
      <c r="AA74" s="35">
        <f>(+AA39/ProForma_IS_Qtr!AA9)/4</f>
        <v>4.3810791718741512E-2</v>
      </c>
      <c r="AB74" s="35">
        <f>(+AB39/ProForma_IS_Qtr!AB9)/4</f>
        <v>0.25580918534718428</v>
      </c>
      <c r="AC74" s="35">
        <f>(+AC39/ProForma_IS_Qtr!AC9)/4</f>
        <v>0.244035355884894</v>
      </c>
      <c r="AD74" s="35">
        <f>(+AD39/ProForma_IS_Qtr!AD9)/4</f>
        <v>0.15591268166194294</v>
      </c>
      <c r="AE74" s="137">
        <f>+AE39/ProForma_IS_Qtr!AE9</f>
        <v>0.15993195700920126</v>
      </c>
      <c r="AF74" s="35">
        <f>(+AF39/ProForma_IS_Qtr!AF9)/4</f>
        <v>0.16077634253491574</v>
      </c>
      <c r="AG74" s="35">
        <f>(+AG39/ProForma_IS_Qtr!AG9)/4</f>
        <v>0.15631297229219143</v>
      </c>
      <c r="AH74" s="35">
        <f>(+AH39/ProForma_IS_Qtr!AH9)/4</f>
        <v>0.15021896009375194</v>
      </c>
      <c r="AI74" s="35">
        <f>(+AI39/ProForma_IS_Qtr!AI9)/4</f>
        <v>0.11521649847453649</v>
      </c>
      <c r="AJ74" s="137">
        <f>+AJ39/ProForma_IS_Qtr!AJ9</f>
        <v>0.12199478163632975</v>
      </c>
      <c r="AK74" s="35">
        <f>(+AK39/ProForma_IS_Qtr!AK9)/4</f>
        <v>0.12262980402137949</v>
      </c>
      <c r="AL74" s="35">
        <f>(+AL39/ProForma_IS_Qtr!AL9)/4</f>
        <v>0.11559090351845042</v>
      </c>
      <c r="AM74" s="35">
        <f>(+AM39/ProForma_IS_Qtr!AM9)/4</f>
        <v>0.10857766503451124</v>
      </c>
      <c r="AN74" s="35">
        <f>(+AN39/ProForma_IS_Qtr!AN9)/4</f>
        <v>6.6420715193721322E-2</v>
      </c>
      <c r="AO74" s="137">
        <f>+AO39/ProForma_IS_Qtr!AO9</f>
        <v>7.1667113933864088E-2</v>
      </c>
      <c r="AP74" s="35">
        <f>(+AP39/ProForma_IS_Qtr!AP9)/4</f>
        <v>6.7909840827233642E-2</v>
      </c>
      <c r="AQ74" s="35">
        <f>(+AQ39/ProForma_IS_Qtr!AQ9)/4</f>
        <v>6.25034125034125E-2</v>
      </c>
      <c r="AR74" s="35">
        <f>(+AR39/ProForma_IS_Qtr!AR9)/4</f>
        <v>5.879326720135078E-2</v>
      </c>
      <c r="AS74" s="35">
        <f>(+AS39/ProForma_IS_Qtr!AS9)/4</f>
        <v>3.007717917675545E-2</v>
      </c>
      <c r="AT74" s="137">
        <f>+AT39/ProForma_IS_Qtr!AT9</f>
        <v>3.209743624251396E-2</v>
      </c>
      <c r="AU74" s="35">
        <f>(+AU39/ProForma_IS_Qtr!AU9)/4</f>
        <v>3.0044030044030043E-2</v>
      </c>
      <c r="AV74" s="35">
        <f>(+AV39/ProForma_IS_Qtr!AV9)/4</f>
        <v>2.8598858066798041E-2</v>
      </c>
      <c r="AW74" s="35">
        <f>(+AW39/ProForma_IS_Qtr!AW9)/4</f>
        <v>2.7751505799193589E-2</v>
      </c>
      <c r="AX74" s="35">
        <f>(+AX39/ProForma_IS_Qtr!AX9)/4</f>
        <v>2.4325949220737178E-2</v>
      </c>
      <c r="AY74" s="137">
        <f>+AY39/ProForma_IS_Qtr!AY9</f>
        <v>2.6037026037026036E-2</v>
      </c>
      <c r="AZ74" s="35">
        <f>(+AZ39/ProForma_IS_Qtr!AZ9)/4</f>
        <v>2.5361961981680291E-2</v>
      </c>
      <c r="BA74" s="35">
        <f>(+BA39/ProForma_IS_Qtr!BA9)/4</f>
        <v>2.360872990130207E-2</v>
      </c>
      <c r="BB74" s="35">
        <f>(+BB39/ProForma_IS_Qtr!BB9)/4</f>
        <v>2.2032654150725153E-2</v>
      </c>
      <c r="BC74" s="35">
        <f>(+BC39/ProForma_IS_Qtr!BC9)/4</f>
        <v>2.1319828368677282E-2</v>
      </c>
      <c r="BD74" s="137">
        <f>+BD39/ProForma_IS_Qtr!BD9</f>
        <v>2.332878119251041E-2</v>
      </c>
      <c r="BE74" s="35">
        <f>(+BE39/ProForma_IS_Qtr!BE9)/4</f>
        <v>2.2818898351150571E-2</v>
      </c>
      <c r="BF74" s="35">
        <f>(+BF39/ProForma_IS_Qtr!BF9)/4</f>
        <v>1.979757085020243E-2</v>
      </c>
      <c r="BG74" s="35">
        <f>(+BG39/ProForma_IS_Qtr!BG9)/4</f>
        <v>2.0397858350013485E-2</v>
      </c>
      <c r="BH74" s="33">
        <f>(+BH39/ProForma_IS_Qtr!BH9)/4</f>
        <v>1.9370278197599178E-2</v>
      </c>
      <c r="BI74" s="36">
        <f>+BI39/ProForma_IS_Qtr!BI9</f>
        <v>2.037628052187905E-2</v>
      </c>
      <c r="BJ74" s="112"/>
      <c r="BK74" s="80" t="s">
        <v>438</v>
      </c>
      <c r="BL74" s="80"/>
      <c r="BM74" s="458"/>
      <c r="BN74" s="80"/>
      <c r="BO74" s="80"/>
      <c r="BP74" s="80">
        <v>8710.7781951899087</v>
      </c>
      <c r="BQ74" s="80"/>
      <c r="BX74" s="4"/>
      <c r="BY74" s="4" t="str">
        <f>Cash_Flow_Annual!A21</f>
        <v>Net Cash from Operating Activities</v>
      </c>
    </row>
    <row r="75" spans="1:83">
      <c r="A75" s="1"/>
      <c r="B75" s="35"/>
      <c r="C75" s="35"/>
      <c r="D75" s="35"/>
      <c r="E75" s="35"/>
      <c r="F75" s="36"/>
      <c r="G75" s="35"/>
      <c r="H75" s="35"/>
      <c r="I75" s="35"/>
      <c r="J75" s="35"/>
      <c r="K75" s="36"/>
      <c r="L75" s="35"/>
      <c r="M75" s="35"/>
      <c r="N75" s="35"/>
      <c r="O75" s="35"/>
      <c r="P75" s="36"/>
      <c r="Q75" s="35"/>
      <c r="R75" s="35"/>
      <c r="S75" s="35"/>
      <c r="T75" s="35"/>
      <c r="U75" s="36"/>
      <c r="V75" s="35"/>
      <c r="W75" s="35"/>
      <c r="X75" s="35"/>
      <c r="Y75" s="35"/>
      <c r="Z75" s="36"/>
      <c r="AA75" s="35"/>
      <c r="AB75" s="35"/>
      <c r="AC75" s="35"/>
      <c r="AD75" s="33"/>
      <c r="AE75" s="137"/>
      <c r="AF75" s="35"/>
      <c r="AG75" s="35"/>
      <c r="AH75" s="35"/>
      <c r="AI75" s="33"/>
      <c r="AJ75" s="137"/>
      <c r="AK75" s="35"/>
      <c r="AL75" s="35"/>
      <c r="AM75" s="35"/>
      <c r="AN75" s="33"/>
      <c r="AO75" s="137"/>
      <c r="AP75" s="35"/>
      <c r="AQ75" s="35"/>
      <c r="AR75" s="35"/>
      <c r="AS75" s="33"/>
      <c r="AT75" s="137"/>
      <c r="AU75" s="35"/>
      <c r="AV75" s="35"/>
      <c r="AW75" s="35"/>
      <c r="AX75" s="33"/>
      <c r="AY75" s="137"/>
      <c r="AZ75" s="35"/>
      <c r="BA75" s="35"/>
      <c r="BB75" s="35"/>
      <c r="BC75" s="33"/>
      <c r="BD75" s="137"/>
      <c r="BE75" s="35"/>
      <c r="BF75" s="35"/>
      <c r="BG75" s="35"/>
      <c r="BH75" s="33"/>
      <c r="BI75" s="36"/>
      <c r="BJ75" s="112"/>
      <c r="BK75" s="77"/>
      <c r="BL75" s="77"/>
      <c r="BM75" s="457"/>
      <c r="BN75" s="77"/>
      <c r="BO75" s="77"/>
      <c r="BP75" s="77"/>
      <c r="BQ75" s="77"/>
    </row>
    <row r="76" spans="1:83">
      <c r="A76" s="13" t="s">
        <v>325</v>
      </c>
      <c r="B76" s="35"/>
      <c r="C76" s="35"/>
      <c r="D76" s="35"/>
      <c r="E76" s="35"/>
      <c r="F76" s="36"/>
      <c r="G76" s="35"/>
      <c r="H76" s="35"/>
      <c r="I76" s="35"/>
      <c r="J76" s="35"/>
      <c r="K76" s="36"/>
      <c r="L76" s="35"/>
      <c r="M76" s="35"/>
      <c r="N76" s="35"/>
      <c r="O76" s="35"/>
      <c r="P76" s="36"/>
      <c r="Q76" s="35"/>
      <c r="R76" s="35"/>
      <c r="S76" s="35"/>
      <c r="T76" s="35"/>
      <c r="U76" s="36"/>
      <c r="V76" s="35"/>
      <c r="W76" s="35"/>
      <c r="X76" s="35"/>
      <c r="Y76" s="35"/>
      <c r="Z76" s="36"/>
      <c r="AA76" s="35"/>
      <c r="AB76" s="35"/>
      <c r="AC76" s="35"/>
      <c r="AD76" s="33"/>
      <c r="AE76" s="137"/>
      <c r="AF76" s="35"/>
      <c r="AG76" s="35"/>
      <c r="AH76" s="35"/>
      <c r="AI76" s="33"/>
      <c r="AJ76" s="137"/>
      <c r="AK76" s="35"/>
      <c r="AL76" s="35"/>
      <c r="AM76" s="35"/>
      <c r="AN76" s="33"/>
      <c r="AO76" s="137"/>
      <c r="AP76" s="35"/>
      <c r="AQ76" s="35"/>
      <c r="AR76" s="35"/>
      <c r="AS76" s="33"/>
      <c r="AT76" s="137"/>
      <c r="AU76" s="35"/>
      <c r="AV76" s="35"/>
      <c r="AW76" s="35"/>
      <c r="AX76" s="33"/>
      <c r="AY76" s="137"/>
      <c r="AZ76" s="35"/>
      <c r="BA76" s="35"/>
      <c r="BB76" s="35"/>
      <c r="BC76" s="33"/>
      <c r="BD76" s="137"/>
      <c r="BE76" s="35"/>
      <c r="BF76" s="35"/>
      <c r="BG76" s="35"/>
      <c r="BH76" s="33"/>
      <c r="BI76" s="36"/>
      <c r="BJ76" s="112"/>
      <c r="BK76" s="80"/>
      <c r="BL76" s="80"/>
      <c r="BM76" s="458"/>
      <c r="BN76" s="80"/>
      <c r="BO76" s="80"/>
      <c r="BP76" s="80"/>
      <c r="BQ76" s="80"/>
      <c r="BX76" s="4"/>
      <c r="BY76" s="4" t="s">
        <v>375</v>
      </c>
    </row>
    <row r="77" spans="1:83">
      <c r="A77" s="1" t="s">
        <v>261</v>
      </c>
      <c r="B77" s="35"/>
      <c r="C77" s="35"/>
      <c r="D77" s="35"/>
      <c r="E77" s="35"/>
      <c r="F77" s="36"/>
      <c r="G77" s="35"/>
      <c r="H77" s="35"/>
      <c r="I77" s="35"/>
      <c r="J77" s="35"/>
      <c r="K77" s="36"/>
      <c r="L77" s="35"/>
      <c r="M77" s="35"/>
      <c r="N77" s="35"/>
      <c r="O77" s="35"/>
      <c r="P77" s="36"/>
      <c r="Q77" s="35"/>
      <c r="R77" s="35"/>
      <c r="S77" s="35"/>
      <c r="T77" s="35"/>
      <c r="U77" s="36"/>
      <c r="V77" s="35"/>
      <c r="W77" s="35"/>
      <c r="X77" s="35"/>
      <c r="Y77" s="35" t="str">
        <f>IFERROR((+Y30/-ProForma_IS_Qtr!Y85)/4,"NM")</f>
        <v>NM</v>
      </c>
      <c r="Z77" s="36" t="str">
        <f>+IFERROR(Z30/-ProForma_IS_Qtr!Z85,"NM")</f>
        <v>NM</v>
      </c>
      <c r="AA77" s="35">
        <f>IFERROR((+AA30/-ProForma_IS_Qtr!AA85)/4,"NM")</f>
        <v>0.20002533111384527</v>
      </c>
      <c r="AB77" s="35">
        <f>IFERROR((+AB30/-ProForma_IS_Qtr!AB85)/4,"NM")</f>
        <v>0.29173489438349437</v>
      </c>
      <c r="AC77" s="35">
        <f>IFERROR((+AC30/-ProForma_IS_Qtr!AC85)/4,"NM")</f>
        <v>0.26065056905567519</v>
      </c>
      <c r="AD77" s="35">
        <f>IFERROR((+AD30/-ProForma_IS_Qtr!AD85)/4,"NM")</f>
        <v>0.23494672648254591</v>
      </c>
      <c r="AE77" s="137">
        <f>+IFERROR(AE30/-ProForma_IS_Qtr!AE85,"NM")</f>
        <v>0.25153374233128833</v>
      </c>
      <c r="AF77" s="35">
        <f>IFERROR((+AF30/-ProForma_IS_Qtr!AF85)/4,"NM")</f>
        <v>0.25315067400494534</v>
      </c>
      <c r="AG77" s="35">
        <f>IFERROR((+AG30/-ProForma_IS_Qtr!AG85)/4,"NM")</f>
        <v>0.24879494271039115</v>
      </c>
      <c r="AH77" s="35">
        <f>IFERROR((+AH30/-ProForma_IS_Qtr!AH85)/4,"NM")</f>
        <v>0.23762319504927801</v>
      </c>
      <c r="AI77" s="35">
        <f>IFERROR((+AI30/-ProForma_IS_Qtr!AI85)/4,"NM")</f>
        <v>0.23538484136310223</v>
      </c>
      <c r="AJ77" s="137">
        <f>+IFERROR(AJ30/-ProForma_IS_Qtr!AJ85,"NM")</f>
        <v>0.24702776653756478</v>
      </c>
      <c r="AK77" s="35">
        <f>IFERROR((+AK30/-ProForma_IS_Qtr!AK85)/4,"NM")</f>
        <v>0.25644904458598727</v>
      </c>
      <c r="AL77" s="35">
        <f>IFERROR((+AL30/-ProForma_IS_Qtr!AL85)/4,"NM")</f>
        <v>0.28171670815183569</v>
      </c>
      <c r="AM77" s="35">
        <f>IFERROR((+AM30/-ProForma_IS_Qtr!AM85)/4,"NM")</f>
        <v>0.25252525252525254</v>
      </c>
      <c r="AN77" s="35">
        <f>IFERROR((+AN30/-ProForma_IS_Qtr!AN85)/4,"NM")</f>
        <v>0.23062095552801873</v>
      </c>
      <c r="AO77" s="137">
        <f>+IFERROR(AO30/-ProForma_IS_Qtr!AO85,"NM")</f>
        <v>0.25090813766243492</v>
      </c>
      <c r="AP77" s="35">
        <f>IFERROR((+AP30/-ProForma_IS_Qtr!AP85)/4,"NM")</f>
        <v>0.24604250641260536</v>
      </c>
      <c r="AQ77" s="35">
        <f>IFERROR((+AQ30/-ProForma_IS_Qtr!AQ85)/4,"NM")</f>
        <v>0.23832483813197411</v>
      </c>
      <c r="AR77" s="35">
        <f>IFERROR((+AR30/-ProForma_IS_Qtr!AR85)/4,"NM")</f>
        <v>0.33098039215686276</v>
      </c>
      <c r="AS77" s="35">
        <f>IFERROR((+AS30/-ProForma_IS_Qtr!AS85)/4,"NM")</f>
        <v>0.27340118105289607</v>
      </c>
      <c r="AT77" s="137">
        <f>+IFERROR(AT30/-ProForma_IS_Qtr!AT85,"NM")</f>
        <v>0.30631169608136405</v>
      </c>
      <c r="AU77" s="35">
        <f>IFERROR((+AU30/-ProForma_IS_Qtr!AU85)/4,"NM")</f>
        <v>0.26784806910569103</v>
      </c>
      <c r="AV77" s="35">
        <f>IFERROR((+AV30/-ProForma_IS_Qtr!AV85)/4,"NM")</f>
        <v>0.29603184437147634</v>
      </c>
      <c r="AW77" s="35">
        <f>IFERROR((+AW30/-ProForma_IS_Qtr!AW85)/4,"NM")</f>
        <v>0.29031454375583932</v>
      </c>
      <c r="AX77" s="35">
        <f>IFERROR((+AX30/-ProForma_IS_Qtr!AX85)/4,"NM")</f>
        <v>0.25090579710144928</v>
      </c>
      <c r="AY77" s="137">
        <f>+IFERROR(AY30/-ProForma_IS_Qtr!AY85,"NM")</f>
        <v>0.26712894930198383</v>
      </c>
      <c r="AZ77" s="35">
        <f>IFERROR((+AZ30/-ProForma_IS_Qtr!AZ85)/4,"NM")</f>
        <v>0.2638357010500309</v>
      </c>
      <c r="BA77" s="35">
        <f>IFERROR((+BA30/-ProForma_IS_Qtr!BA85)/4,"NM")</f>
        <v>0.26146469049694854</v>
      </c>
      <c r="BB77" s="35">
        <f>IFERROR((+BB30/-ProForma_IS_Qtr!BB85)/4,"NM")</f>
        <v>0.24824002681863896</v>
      </c>
      <c r="BC77" s="35">
        <f>IFERROR((+BC30/-ProForma_IS_Qtr!BC85)/4,"NM")</f>
        <v>0.22614107883817428</v>
      </c>
      <c r="BD77" s="137">
        <f>+IFERROR(BD30/-ProForma_IS_Qtr!BD85,"NM")</f>
        <v>0.24935747168638969</v>
      </c>
      <c r="BE77" s="35">
        <f>IFERROR((+BE30/-ProForma_IS_Qtr!BE85)/4,"NM")</f>
        <v>0.23196716622812036</v>
      </c>
      <c r="BF77" s="35">
        <f>IFERROR((+BF30/-ProForma_IS_Qtr!BF85)/4,"NM")</f>
        <v>0.23053639846743296</v>
      </c>
      <c r="BG77" s="193">
        <v>0.26</v>
      </c>
      <c r="BH77" s="120">
        <f>+IFERROR(BH30/-ProForma_IS_Qtr!BH85,"NM")/4</f>
        <v>0.24278996332707276</v>
      </c>
      <c r="BI77" s="218">
        <v>0.26</v>
      </c>
      <c r="BJ77" s="112"/>
      <c r="BK77" s="77"/>
      <c r="BL77" s="77"/>
      <c r="BM77" s="457"/>
      <c r="BN77" s="77"/>
      <c r="BO77" s="77"/>
      <c r="BP77" s="77">
        <v>11828.873313614909</v>
      </c>
      <c r="BQ77" s="77"/>
      <c r="BY77" t="s">
        <v>398</v>
      </c>
    </row>
    <row r="78" spans="1:83">
      <c r="F78" s="26"/>
      <c r="K78" s="26"/>
      <c r="P78" s="26"/>
      <c r="U78" s="26"/>
      <c r="Z78" s="26"/>
      <c r="AE78" s="26"/>
      <c r="AJ78" s="26"/>
      <c r="AO78" s="26"/>
      <c r="AT78" s="26"/>
      <c r="AY78" s="26"/>
      <c r="BD78" s="26"/>
      <c r="BI78" s="26"/>
      <c r="BJ78" s="112"/>
      <c r="BK78" s="77"/>
      <c r="BL78" s="77"/>
      <c r="BM78" s="457"/>
      <c r="BN78" s="77"/>
      <c r="BO78" s="77"/>
      <c r="BP78" s="77">
        <v>8710.7781951899087</v>
      </c>
      <c r="BQ78" s="77"/>
      <c r="BY78" t="s">
        <v>395</v>
      </c>
    </row>
    <row r="79" spans="1:83">
      <c r="A79" s="13" t="s">
        <v>117</v>
      </c>
      <c r="F79" s="26"/>
      <c r="K79" s="26"/>
      <c r="P79" s="26"/>
      <c r="U79" s="26"/>
      <c r="Z79" s="26"/>
      <c r="AE79" s="26"/>
      <c r="AJ79" s="26"/>
      <c r="AO79" s="26"/>
      <c r="AT79" s="26"/>
      <c r="AY79" s="26"/>
      <c r="BD79" s="26"/>
      <c r="BI79" s="26"/>
      <c r="BJ79" s="112"/>
      <c r="BL79" s="425"/>
      <c r="BM79" s="425"/>
    </row>
    <row r="80" spans="1:83">
      <c r="A80" s="1" t="s">
        <v>114</v>
      </c>
      <c r="B80" s="77"/>
      <c r="C80" s="77"/>
      <c r="D80" s="77"/>
      <c r="E80" s="77"/>
      <c r="F80" s="79"/>
      <c r="G80" s="77"/>
      <c r="H80" s="77"/>
      <c r="I80" s="77"/>
      <c r="J80" s="77"/>
      <c r="K80" s="79"/>
      <c r="L80" s="77"/>
      <c r="M80" s="77"/>
      <c r="N80" s="77"/>
      <c r="O80" s="77"/>
      <c r="P80" s="79"/>
      <c r="Q80" s="77"/>
      <c r="R80" s="77"/>
      <c r="S80" s="77"/>
      <c r="T80" s="77"/>
      <c r="U80" s="79"/>
      <c r="V80" s="77"/>
      <c r="W80" s="77"/>
      <c r="X80" s="77"/>
      <c r="Y80" s="77">
        <f>Y33+Y37+Y28+Y38</f>
        <v>44345</v>
      </c>
      <c r="Z80" s="79">
        <f>Z33+Z37+Z28+Z38</f>
        <v>44345</v>
      </c>
      <c r="AA80" s="77">
        <f t="shared" ref="AA80" si="163">AA33+AA37+AA28+AA38</f>
        <v>48445</v>
      </c>
      <c r="AB80" s="77">
        <f t="shared" ref="AB80:AF80" si="164">AB33+AB37+AB28+AB38</f>
        <v>34473</v>
      </c>
      <c r="AC80" s="77">
        <f t="shared" ref="AC80" si="165">AC33+AC37+AC28+AC38</f>
        <v>34432</v>
      </c>
      <c r="AD80" s="77">
        <f t="shared" si="164"/>
        <v>33339</v>
      </c>
      <c r="AE80" s="79">
        <f t="shared" si="164"/>
        <v>33339</v>
      </c>
      <c r="AF80" s="77">
        <f t="shared" si="164"/>
        <v>33090</v>
      </c>
      <c r="AG80" s="77">
        <f t="shared" ref="AG80:AK80" si="166">AG33+AG37+AG28+AG38</f>
        <v>33045</v>
      </c>
      <c r="AH80" s="77">
        <f t="shared" si="166"/>
        <v>32789</v>
      </c>
      <c r="AI80" s="77">
        <f t="shared" si="166"/>
        <v>33142</v>
      </c>
      <c r="AJ80" s="79">
        <f t="shared" si="166"/>
        <v>33142</v>
      </c>
      <c r="AK80" s="77">
        <f t="shared" si="166"/>
        <v>33099</v>
      </c>
      <c r="AL80" s="77">
        <f t="shared" ref="AL80:AP80" si="167">AL33+AL37+AL28+AL38</f>
        <v>33006</v>
      </c>
      <c r="AM80" s="77">
        <f t="shared" si="167"/>
        <v>34986</v>
      </c>
      <c r="AN80" s="77">
        <f t="shared" si="167"/>
        <v>33500</v>
      </c>
      <c r="AO80" s="79">
        <f t="shared" si="167"/>
        <v>33500</v>
      </c>
      <c r="AP80" s="77">
        <f t="shared" si="167"/>
        <v>36110</v>
      </c>
      <c r="AQ80" s="77">
        <f t="shared" ref="AQ80:AU80" si="168">AQ33+AQ37+AQ28+AQ38</f>
        <v>36923</v>
      </c>
      <c r="AR80" s="77">
        <f t="shared" si="168"/>
        <v>36783</v>
      </c>
      <c r="AS80" s="77">
        <f t="shared" si="168"/>
        <v>45239</v>
      </c>
      <c r="AT80" s="79">
        <f t="shared" si="168"/>
        <v>45239</v>
      </c>
      <c r="AU80" s="77">
        <f t="shared" si="168"/>
        <v>44254</v>
      </c>
      <c r="AV80" s="77">
        <f t="shared" ref="AV80:AZ80" si="169">AV33+AV37+AV28+AV38</f>
        <v>43566</v>
      </c>
      <c r="AW80" s="77">
        <f t="shared" si="169"/>
        <v>43748</v>
      </c>
      <c r="AX80" s="77">
        <f t="shared" si="169"/>
        <v>42893</v>
      </c>
      <c r="AY80" s="79">
        <f t="shared" si="169"/>
        <v>42893</v>
      </c>
      <c r="AZ80" s="77">
        <f t="shared" si="169"/>
        <v>42946</v>
      </c>
      <c r="BA80" s="77">
        <f t="shared" ref="BA80:BE80" si="170">BA33+BA37+BA28+BA38</f>
        <v>43595</v>
      </c>
      <c r="BB80" s="77">
        <f t="shared" si="170"/>
        <v>40709</v>
      </c>
      <c r="BC80" s="77">
        <f t="shared" si="170"/>
        <v>39506</v>
      </c>
      <c r="BD80" s="79">
        <f t="shared" si="170"/>
        <v>39506</v>
      </c>
      <c r="BE80" s="77">
        <f t="shared" si="170"/>
        <v>38935</v>
      </c>
      <c r="BF80" s="77">
        <f t="shared" ref="BF80" si="171">BF33+BF37+BF28+BF38</f>
        <v>38856</v>
      </c>
      <c r="BG80" s="77">
        <f t="shared" ref="BG80" si="172">BG33+BG37+BG28+BG38</f>
        <v>38856</v>
      </c>
      <c r="BH80" s="77">
        <f t="shared" ref="BH80:BI80" si="173">BH33+BH37+BH28+BH38</f>
        <v>35987</v>
      </c>
      <c r="BI80" s="79">
        <f t="shared" si="173"/>
        <v>35987</v>
      </c>
      <c r="BJ80" s="112"/>
    </row>
    <row r="81" spans="1:64">
      <c r="A81" s="1" t="s">
        <v>115</v>
      </c>
      <c r="B81" s="77"/>
      <c r="C81" s="77"/>
      <c r="D81" s="77"/>
      <c r="E81" s="77"/>
      <c r="F81" s="79"/>
      <c r="G81" s="77"/>
      <c r="H81" s="77"/>
      <c r="I81" s="77"/>
      <c r="J81" s="77"/>
      <c r="K81" s="79"/>
      <c r="L81" s="77"/>
      <c r="M81" s="77"/>
      <c r="N81" s="77"/>
      <c r="O81" s="77"/>
      <c r="P81" s="79"/>
      <c r="Q81" s="77"/>
      <c r="R81" s="77"/>
      <c r="S81" s="77"/>
      <c r="T81" s="77"/>
      <c r="U81" s="79"/>
      <c r="V81" s="77"/>
      <c r="W81" s="77"/>
      <c r="X81" s="77"/>
      <c r="Y81" s="77">
        <f t="shared" ref="Y81:AF81" si="174">-Y5+Y80</f>
        <v>39408</v>
      </c>
      <c r="Z81" s="79">
        <f t="shared" si="174"/>
        <v>39408</v>
      </c>
      <c r="AA81" s="77">
        <f t="shared" ref="AA81" si="175">-AA5+AA80</f>
        <v>40444</v>
      </c>
      <c r="AB81" s="77">
        <f t="shared" si="174"/>
        <v>27498</v>
      </c>
      <c r="AC81" s="77">
        <f t="shared" ref="AC81" si="176">-AC5+AC80</f>
        <v>24431</v>
      </c>
      <c r="AD81" s="77">
        <f t="shared" si="174"/>
        <v>24537</v>
      </c>
      <c r="AE81" s="79">
        <f t="shared" si="174"/>
        <v>24537</v>
      </c>
      <c r="AF81" s="77">
        <f t="shared" si="174"/>
        <v>24511</v>
      </c>
      <c r="AG81" s="77">
        <f t="shared" ref="AG81:AK81" si="177">-AG5+AG80</f>
        <v>24994</v>
      </c>
      <c r="AH81" s="77">
        <f t="shared" si="177"/>
        <v>25313</v>
      </c>
      <c r="AI81" s="77">
        <f t="shared" si="177"/>
        <v>25310</v>
      </c>
      <c r="AJ81" s="79">
        <f t="shared" si="177"/>
        <v>25310</v>
      </c>
      <c r="AK81" s="77">
        <f t="shared" si="177"/>
        <v>27059</v>
      </c>
      <c r="AL81" s="77">
        <f t="shared" ref="AL81:AP81" si="178">-AL5+AL80</f>
        <v>28239</v>
      </c>
      <c r="AM81" s="77">
        <f t="shared" si="178"/>
        <v>29605</v>
      </c>
      <c r="AN81" s="77">
        <f t="shared" si="178"/>
        <v>27280</v>
      </c>
      <c r="AO81" s="79">
        <f t="shared" si="178"/>
        <v>27280</v>
      </c>
      <c r="AP81" s="77">
        <f t="shared" si="178"/>
        <v>30217</v>
      </c>
      <c r="AQ81" s="77">
        <f t="shared" ref="AQ81:AU81" si="179">-AQ5+AQ80</f>
        <v>31532</v>
      </c>
      <c r="AR81" s="77">
        <f t="shared" si="179"/>
        <v>31327</v>
      </c>
      <c r="AS81" s="77">
        <f t="shared" si="179"/>
        <v>38652</v>
      </c>
      <c r="AT81" s="79">
        <f t="shared" si="179"/>
        <v>38652</v>
      </c>
      <c r="AU81" s="77">
        <f t="shared" si="179"/>
        <v>38647</v>
      </c>
      <c r="AV81" s="77">
        <f t="shared" ref="AV81:AZ81" si="180">-AV5+AV80</f>
        <v>37555</v>
      </c>
      <c r="AW81" s="77">
        <f t="shared" si="180"/>
        <v>37066</v>
      </c>
      <c r="AX81" s="77">
        <f t="shared" si="180"/>
        <v>37315</v>
      </c>
      <c r="AY81" s="79">
        <f t="shared" si="180"/>
        <v>37315</v>
      </c>
      <c r="AZ81" s="77">
        <f t="shared" si="180"/>
        <v>37789</v>
      </c>
      <c r="BA81" s="77">
        <f t="shared" ref="BA81:BE81" si="181">-BA5+BA80</f>
        <v>38813</v>
      </c>
      <c r="BB81" s="77">
        <f t="shared" si="181"/>
        <v>34743</v>
      </c>
      <c r="BC81" s="77">
        <f t="shared" si="181"/>
        <v>32071</v>
      </c>
      <c r="BD81" s="79">
        <f t="shared" si="181"/>
        <v>32071</v>
      </c>
      <c r="BE81" s="77">
        <f t="shared" si="181"/>
        <v>32117</v>
      </c>
      <c r="BF81" s="77">
        <f t="shared" ref="BF81" si="182">-BF5+BF80</f>
        <v>30551</v>
      </c>
      <c r="BG81" s="77">
        <f t="shared" ref="BG81" si="183">-BG5+BG80</f>
        <v>29520.893754267414</v>
      </c>
      <c r="BH81" s="77">
        <f t="shared" ref="BH81:BI81" si="184">-BH5+BH80</f>
        <v>27382.785641237984</v>
      </c>
      <c r="BI81" s="79">
        <f t="shared" si="184"/>
        <v>27382.785641237984</v>
      </c>
      <c r="BJ81" s="112"/>
      <c r="BK81" s="464"/>
    </row>
    <row r="82" spans="1:64">
      <c r="A82" s="1" t="s">
        <v>116</v>
      </c>
      <c r="B82" s="138"/>
      <c r="C82" s="138"/>
      <c r="D82" s="138"/>
      <c r="E82" s="138"/>
      <c r="F82" s="139"/>
      <c r="G82" s="138"/>
      <c r="H82" s="138"/>
      <c r="I82" s="138"/>
      <c r="J82" s="138"/>
      <c r="K82" s="139"/>
      <c r="L82" s="138"/>
      <c r="M82" s="138"/>
      <c r="N82" s="138"/>
      <c r="O82" s="138"/>
      <c r="P82" s="139"/>
      <c r="Q82" s="138"/>
      <c r="R82" s="138"/>
      <c r="S82" s="138"/>
      <c r="T82" s="138"/>
      <c r="U82" s="139"/>
      <c r="V82" s="138"/>
      <c r="W82" s="138"/>
      <c r="X82" s="138"/>
      <c r="Y82" s="138">
        <f>Y81/(ProForma_IS_Qtr!Y82*4)</f>
        <v>2.8967950602763892</v>
      </c>
      <c r="Z82" s="139">
        <f>Z81/ProForma_IS_Qtr!Z82</f>
        <v>2.8118444523724579</v>
      </c>
      <c r="AA82" s="138">
        <f>AA81/(ProForma_IS_Qtr!AA82*4)</f>
        <v>2.607944286819706</v>
      </c>
      <c r="AB82" s="138">
        <f>AB81/(ProForma_IS_Qtr!AB82*4)</f>
        <v>3.8383584589614741</v>
      </c>
      <c r="AC82" s="138">
        <f>AC81/(ProForma_IS_Qtr!AC82*4)</f>
        <v>2.633786114704614</v>
      </c>
      <c r="AD82" s="138">
        <f>AD81/(ProForma_IS_Qtr!AD82*4)</f>
        <v>2.3711828372632393</v>
      </c>
      <c r="AE82" s="139">
        <f>AE81/ProForma_IS_Qtr!AE82</f>
        <v>2.3205031208624929</v>
      </c>
      <c r="AF82" s="138">
        <f>AF81/(ProForma_IS_Qtr!AF82*4)</f>
        <v>2.2528492647058824</v>
      </c>
      <c r="AG82" s="138">
        <f>AG81/(ProForma_IS_Qtr!AG82*4)</f>
        <v>2.0904984944797591</v>
      </c>
      <c r="AH82" s="138">
        <f>AH81/(ProForma_IS_Qtr!AH82*4)</f>
        <v>2.0374275595621376</v>
      </c>
      <c r="AI82" s="138">
        <f>AI81/(ProForma_IS_Qtr!AI82*4)</f>
        <v>2.105657237936772</v>
      </c>
      <c r="AJ82" s="139">
        <f>AJ81/ProForma_IS_Qtr!AJ82</f>
        <v>2.1412859560067683</v>
      </c>
      <c r="AK82" s="138">
        <f>AK81/(ProForma_IS_Qtr!AK82*4)</f>
        <v>2.3230597527472527</v>
      </c>
      <c r="AL82" s="138">
        <f>AL81/(ProForma_IS_Qtr!AL82*4)</f>
        <v>2.4504512322110377</v>
      </c>
      <c r="AM82" s="138">
        <f>AM81/(ProForma_IS_Qtr!AM82*4)</f>
        <v>2.440240685789647</v>
      </c>
      <c r="AN82" s="138">
        <f>AN81/(ProForma_IS_Qtr!AN82*4)</f>
        <v>2.1964573268921095</v>
      </c>
      <c r="AO82" s="139">
        <f>AO81/ProForma_IS_Qtr!AO82</f>
        <v>2.2864805967647306</v>
      </c>
      <c r="AP82" s="138">
        <f>AP81/(ProForma_IS_Qtr!AP82*4)</f>
        <v>2.3703326011923438</v>
      </c>
      <c r="AQ82" s="138">
        <f>AQ81/(ProForma_IS_Qtr!AQ82*4)</f>
        <v>2.3982354730757529</v>
      </c>
      <c r="AR82" s="138">
        <f>AR81/(ProForma_IS_Qtr!AR82*4)</f>
        <v>2.3718201090248336</v>
      </c>
      <c r="AS82" s="138">
        <f>AS81/(ProForma_IS_Qtr!AS82*4)</f>
        <v>2.9018018018018017</v>
      </c>
      <c r="AT82" s="139">
        <f>AT81/ProForma_IS_Qtr!AT82</f>
        <v>2.9491835800396764</v>
      </c>
      <c r="AU82" s="138">
        <f>AU81/(ProForma_IS_Qtr!AU82*4)</f>
        <v>2.8832438078185616</v>
      </c>
      <c r="AV82" s="138">
        <f>AV81/(ProForma_IS_Qtr!AV82*4)</f>
        <v>2.5850082599118944</v>
      </c>
      <c r="AW82" s="138">
        <f>AW81/(ProForma_IS_Qtr!AW82*4)</f>
        <v>2.5934788692975093</v>
      </c>
      <c r="AX82" s="138">
        <f>AX81/(ProForma_IS_Qtr!AX82*4)</f>
        <v>2.3374467551991982</v>
      </c>
      <c r="AY82" s="139">
        <f>AY81/ProForma_IS_Qtr!AY82</f>
        <v>2.565133704543892</v>
      </c>
      <c r="AZ82" s="138">
        <f>AZ81/(ProForma_IS_Qtr!AZ82*4)</f>
        <v>2.54300134589502</v>
      </c>
      <c r="BA82" s="138">
        <f>BA81/(ProForma_IS_Qtr!BA82*4)</f>
        <v>2.5079477901266478</v>
      </c>
      <c r="BB82" s="138">
        <f>BB81/(ProForma_IS_Qtr!BB82*4)</f>
        <v>2.1409292580724673</v>
      </c>
      <c r="BC82" s="138">
        <f>BC81/(ProForma_IS_Qtr!BC82*4)</f>
        <v>1.943225884634028</v>
      </c>
      <c r="BD82" s="139">
        <f>BD81/ProForma_IS_Qtr!BD82</f>
        <v>2.0340584765649776</v>
      </c>
      <c r="BE82" s="138">
        <f>BE81/(ProForma_IS_Qtr!BE82*4)</f>
        <v>1.9612237420615535</v>
      </c>
      <c r="BF82" s="138">
        <f>BF81/(ProForma_IS_Qtr!BF82*4)</f>
        <v>1.72098918431726</v>
      </c>
      <c r="BG82" s="138">
        <f>BG81/(ProForma_IS_Qtr!BG82*4)</f>
        <v>1.7281180927009199</v>
      </c>
      <c r="BH82" s="138">
        <f>BH81/(ProForma_IS_Qtr!BH82*4)</f>
        <v>1.5827978861485559</v>
      </c>
      <c r="BI82" s="139">
        <f>BI81/ProForma_IS_Qtr!BI82</f>
        <v>1.5987398100906203</v>
      </c>
      <c r="BJ82" s="112"/>
    </row>
    <row r="83" spans="1:64">
      <c r="A83" s="1"/>
      <c r="B83" s="138"/>
      <c r="C83" s="138"/>
      <c r="D83" s="138"/>
      <c r="E83" s="138"/>
      <c r="F83" s="139"/>
      <c r="G83" s="138"/>
      <c r="H83" s="138"/>
      <c r="I83" s="138"/>
      <c r="J83" s="138"/>
      <c r="K83" s="139"/>
      <c r="L83" s="138"/>
      <c r="M83" s="138"/>
      <c r="N83" s="138"/>
      <c r="O83" s="138"/>
      <c r="P83" s="139"/>
      <c r="Q83" s="138"/>
      <c r="R83" s="138"/>
      <c r="S83" s="138"/>
      <c r="T83" s="138"/>
      <c r="U83" s="139"/>
      <c r="V83" s="138"/>
      <c r="W83" s="138"/>
      <c r="X83" s="138"/>
      <c r="Y83" s="138"/>
      <c r="Z83" s="139"/>
      <c r="AA83" s="138"/>
      <c r="AB83" s="138"/>
      <c r="AC83" s="138"/>
      <c r="AD83" s="138"/>
      <c r="AE83" s="139"/>
      <c r="AF83" s="138"/>
      <c r="AG83" s="138"/>
      <c r="AH83" s="138"/>
      <c r="AI83" s="138"/>
      <c r="AJ83" s="139"/>
      <c r="AK83" s="138"/>
      <c r="AL83" s="138"/>
      <c r="AM83" s="138"/>
      <c r="AN83" s="138"/>
      <c r="AO83" s="139"/>
      <c r="AP83" s="138"/>
      <c r="AQ83" s="138"/>
      <c r="AR83" s="138"/>
      <c r="AS83" s="138"/>
      <c r="AT83" s="139"/>
      <c r="AU83" s="138"/>
      <c r="AV83" s="138"/>
      <c r="AW83" s="138"/>
      <c r="AX83" s="138"/>
      <c r="AY83" s="139"/>
      <c r="AZ83" s="138"/>
      <c r="BA83" s="138"/>
      <c r="BB83" s="138"/>
      <c r="BC83" s="138"/>
      <c r="BD83" s="139"/>
      <c r="BE83" s="138"/>
      <c r="BF83" s="138"/>
      <c r="BG83" s="138"/>
      <c r="BH83" s="138"/>
      <c r="BI83" s="139"/>
      <c r="BJ83" s="112"/>
      <c r="BL83" s="348"/>
    </row>
    <row r="84" spans="1:64">
      <c r="A84" s="116" t="s">
        <v>132</v>
      </c>
      <c r="B84" s="143"/>
      <c r="C84" s="143"/>
      <c r="D84" s="143"/>
      <c r="E84" s="143"/>
      <c r="F84" s="144"/>
      <c r="G84" s="143"/>
      <c r="H84" s="143"/>
      <c r="I84" s="143"/>
      <c r="J84" s="143"/>
      <c r="K84" s="144"/>
      <c r="L84" s="143"/>
      <c r="M84" s="143"/>
      <c r="N84" s="143"/>
      <c r="O84" s="143"/>
      <c r="P84" s="144"/>
      <c r="Q84" s="143"/>
      <c r="R84" s="143"/>
      <c r="S84" s="143"/>
      <c r="T84" s="143"/>
      <c r="U84" s="144"/>
      <c r="V84" s="143"/>
      <c r="W84" s="143"/>
      <c r="X84" s="143"/>
      <c r="Y84" s="143"/>
      <c r="Z84" s="144"/>
      <c r="AA84" s="143"/>
      <c r="AB84" s="143"/>
      <c r="AC84" s="143"/>
      <c r="AD84" s="143"/>
      <c r="AE84" s="144"/>
      <c r="AF84" s="143"/>
      <c r="AG84" s="143"/>
      <c r="AH84" s="143"/>
      <c r="AI84" s="143"/>
      <c r="AJ84" s="144"/>
      <c r="AK84" s="143"/>
      <c r="AL84" s="143"/>
      <c r="AM84" s="143"/>
      <c r="AN84" s="143"/>
      <c r="AO84" s="144"/>
      <c r="AP84" s="143"/>
      <c r="AQ84" s="143"/>
      <c r="AR84" s="143"/>
      <c r="AS84" s="143"/>
      <c r="AT84" s="144"/>
      <c r="AU84" s="143"/>
      <c r="AV84" s="143"/>
      <c r="AW84" s="143"/>
      <c r="AX84" s="143"/>
      <c r="AY84" s="144"/>
      <c r="AZ84" s="143"/>
      <c r="BA84" s="143"/>
      <c r="BB84" s="143"/>
      <c r="BC84" s="143"/>
      <c r="BD84" s="144"/>
      <c r="BE84" s="143"/>
      <c r="BF84" s="143"/>
      <c r="BG84" s="143"/>
      <c r="BH84" s="143"/>
      <c r="BI84" s="144"/>
      <c r="BJ84" s="112"/>
    </row>
    <row r="85" spans="1:64">
      <c r="A85" s="1" t="s">
        <v>118</v>
      </c>
      <c r="B85" s="77"/>
      <c r="C85" s="77"/>
      <c r="D85" s="77"/>
      <c r="E85" s="77"/>
      <c r="F85" s="79"/>
      <c r="G85" s="77"/>
      <c r="H85" s="77"/>
      <c r="I85" s="77"/>
      <c r="J85" s="77"/>
      <c r="K85" s="79"/>
      <c r="L85" s="77"/>
      <c r="M85" s="77"/>
      <c r="N85" s="77"/>
      <c r="O85" s="77"/>
      <c r="P85" s="79"/>
      <c r="Q85" s="77"/>
      <c r="R85" s="77"/>
      <c r="S85" s="77"/>
      <c r="T85" s="77"/>
      <c r="U85" s="79"/>
      <c r="V85" s="77"/>
      <c r="W85" s="77"/>
      <c r="X85" s="77"/>
      <c r="Y85" s="77"/>
      <c r="Z85" s="79"/>
      <c r="AA85" s="77"/>
      <c r="AB85" s="77"/>
      <c r="AC85" s="77"/>
      <c r="AD85" s="77"/>
      <c r="AE85" s="79"/>
      <c r="AF85" s="77"/>
      <c r="AG85" s="77"/>
      <c r="AH85" s="77"/>
      <c r="AI85" s="77"/>
      <c r="AJ85" s="79"/>
      <c r="AK85" s="77"/>
      <c r="AL85" s="77"/>
      <c r="AM85" s="77"/>
      <c r="AN85" s="77"/>
      <c r="AO85" s="79"/>
      <c r="AP85" s="77"/>
      <c r="AQ85" s="77"/>
      <c r="AR85" s="77"/>
      <c r="AS85" s="77"/>
      <c r="AT85" s="79"/>
      <c r="AU85" s="77"/>
      <c r="AV85" s="77"/>
      <c r="AW85" s="77"/>
      <c r="AX85" s="77"/>
      <c r="AY85" s="79"/>
      <c r="AZ85" s="77"/>
      <c r="BA85" s="77"/>
      <c r="BB85" s="77"/>
      <c r="BC85" s="77"/>
      <c r="BD85" s="79"/>
      <c r="BE85" s="77"/>
      <c r="BF85" s="77"/>
      <c r="BG85" s="77">
        <f t="shared" ref="BG85" si="185">BG5</f>
        <v>9335.1062457325861</v>
      </c>
      <c r="BH85" s="77">
        <f t="shared" ref="BH85" si="186">BH5</f>
        <v>8604.2143587620139</v>
      </c>
      <c r="BI85" s="79">
        <f>BI5</f>
        <v>8604.2143587620139</v>
      </c>
      <c r="BJ85" s="112"/>
    </row>
    <row r="86" spans="1:64">
      <c r="A86" s="1" t="s">
        <v>119</v>
      </c>
      <c r="B86" s="77"/>
      <c r="C86" s="77"/>
      <c r="D86" s="77"/>
      <c r="E86" s="77"/>
      <c r="F86" s="79"/>
      <c r="G86" s="77"/>
      <c r="H86" s="77"/>
      <c r="I86" s="77"/>
      <c r="J86" s="77"/>
      <c r="K86" s="79"/>
      <c r="L86" s="77"/>
      <c r="M86" s="77"/>
      <c r="N86" s="77"/>
      <c r="O86" s="77"/>
      <c r="P86" s="79"/>
      <c r="Q86" s="77"/>
      <c r="R86" s="77"/>
      <c r="S86" s="77"/>
      <c r="T86" s="77"/>
      <c r="U86" s="79"/>
      <c r="V86" s="77"/>
      <c r="W86" s="77"/>
      <c r="X86" s="77"/>
      <c r="Y86" s="77"/>
      <c r="Z86" s="79"/>
      <c r="AA86" s="77"/>
      <c r="AB86" s="77"/>
      <c r="AC86" s="77"/>
      <c r="AD86" s="77"/>
      <c r="AE86" s="79"/>
      <c r="AF86" s="77"/>
      <c r="AG86" s="77"/>
      <c r="AH86" s="77"/>
      <c r="AI86" s="77"/>
      <c r="AJ86" s="79"/>
      <c r="AK86" s="77"/>
      <c r="AL86" s="77"/>
      <c r="AM86" s="77"/>
      <c r="AN86" s="77"/>
      <c r="AO86" s="79"/>
      <c r="AP86" s="77"/>
      <c r="AQ86" s="77"/>
      <c r="AR86" s="77"/>
      <c r="AS86" s="77"/>
      <c r="AT86" s="79"/>
      <c r="AU86" s="77"/>
      <c r="AV86" s="77"/>
      <c r="AW86" s="77"/>
      <c r="AX86" s="77"/>
      <c r="AY86" s="79"/>
      <c r="AZ86" s="77"/>
      <c r="BA86" s="77"/>
      <c r="BB86" s="77"/>
      <c r="BC86" s="77"/>
      <c r="BD86" s="79"/>
      <c r="BE86" s="77"/>
      <c r="BF86" s="77"/>
      <c r="BG86" s="77">
        <f ca="1">(ProForma_IS_Qtr!BG82*4+Balance_Sheet_Qtr!BG90)*BG88+(Balance_Sheet_Qtr!BG85-BG80)</f>
        <v>28969.540767643437</v>
      </c>
      <c r="BH86" s="77">
        <f ca="1">(ProForma_IS_Qtr!BH82*4+Balance_Sheet_Qtr!BH90)*BH88+(Balance_Sheet_Qtr!BH85-BH80)</f>
        <v>32690.585057016062</v>
      </c>
      <c r="BI86" s="79">
        <f ca="1">(ProForma_IS_Qtr!BI82+Balance_Sheet_Qtr!BI90)*BI88+(Balance_Sheet_Qtr!BI85-BI80)</f>
        <v>32000.543733016028</v>
      </c>
    </row>
    <row r="87" spans="1:64">
      <c r="A87" s="145" t="s">
        <v>156</v>
      </c>
      <c r="B87" s="23"/>
      <c r="C87" s="23"/>
      <c r="D87" s="23"/>
      <c r="E87" s="23"/>
      <c r="F87" s="24"/>
      <c r="G87" s="23"/>
      <c r="H87" s="23"/>
      <c r="I87" s="23"/>
      <c r="J87" s="23"/>
      <c r="K87" s="24"/>
      <c r="L87" s="23"/>
      <c r="M87" s="23"/>
      <c r="N87" s="23"/>
      <c r="O87" s="23"/>
      <c r="P87" s="24"/>
      <c r="Q87" s="23"/>
      <c r="R87" s="23"/>
      <c r="S87" s="23"/>
      <c r="T87" s="23"/>
      <c r="U87" s="24"/>
      <c r="V87" s="23"/>
      <c r="W87" s="23"/>
      <c r="X87" s="23"/>
      <c r="Y87" s="23"/>
      <c r="Z87" s="24"/>
      <c r="AA87" s="23"/>
      <c r="AB87" s="23"/>
      <c r="AC87" s="23"/>
      <c r="AD87" s="23"/>
      <c r="AE87" s="24"/>
      <c r="AF87" s="23"/>
      <c r="AG87" s="23"/>
      <c r="AH87" s="23"/>
      <c r="AI87" s="23"/>
      <c r="AJ87" s="24"/>
      <c r="AK87" s="23"/>
      <c r="AL87" s="23"/>
      <c r="AM87" s="23"/>
      <c r="AN87" s="23"/>
      <c r="AO87" s="24"/>
      <c r="AP87" s="23"/>
      <c r="AQ87" s="23"/>
      <c r="AR87" s="23"/>
      <c r="AS87" s="23"/>
      <c r="AT87" s="24"/>
      <c r="AU87" s="23"/>
      <c r="AV87" s="23"/>
      <c r="AW87" s="23"/>
      <c r="AX87" s="23"/>
      <c r="AY87" s="24"/>
      <c r="AZ87" s="23"/>
      <c r="BA87" s="23"/>
      <c r="BB87" s="23"/>
      <c r="BC87" s="23"/>
      <c r="BD87" s="24"/>
      <c r="BE87" s="23"/>
      <c r="BF87" s="23"/>
      <c r="BG87" s="23">
        <f t="shared" ref="BG87" ca="1" si="187">BG86</f>
        <v>28969.540767643437</v>
      </c>
      <c r="BH87" s="23">
        <f t="shared" ref="BH87:BI87" ca="1" si="188">BH86</f>
        <v>32690.585057016062</v>
      </c>
      <c r="BI87" s="24">
        <f t="shared" ca="1" si="188"/>
        <v>32000.543733016028</v>
      </c>
    </row>
    <row r="88" spans="1:64">
      <c r="A88" s="1" t="s">
        <v>167</v>
      </c>
      <c r="B88" s="140"/>
      <c r="C88" s="140"/>
      <c r="D88" s="140"/>
      <c r="E88" s="140"/>
      <c r="F88" s="141"/>
      <c r="G88" s="140"/>
      <c r="H88" s="140"/>
      <c r="I88" s="140"/>
      <c r="J88" s="140"/>
      <c r="K88" s="141"/>
      <c r="L88" s="140"/>
      <c r="M88" s="140"/>
      <c r="N88" s="140"/>
      <c r="O88" s="140"/>
      <c r="P88" s="141"/>
      <c r="Q88" s="140"/>
      <c r="R88" s="140"/>
      <c r="S88" s="140"/>
      <c r="T88" s="140"/>
      <c r="U88" s="141"/>
      <c r="V88" s="140"/>
      <c r="W88" s="140"/>
      <c r="X88" s="140"/>
      <c r="Y88" s="140"/>
      <c r="Z88" s="141"/>
      <c r="AA88" s="140"/>
      <c r="AB88" s="140"/>
      <c r="AC88" s="140"/>
      <c r="AD88" s="140"/>
      <c r="AE88" s="141"/>
      <c r="AF88" s="140"/>
      <c r="AG88" s="140"/>
      <c r="AH88" s="140"/>
      <c r="AI88" s="140"/>
      <c r="AJ88" s="141"/>
      <c r="AK88" s="140"/>
      <c r="AL88" s="140"/>
      <c r="AM88" s="140"/>
      <c r="AN88" s="140"/>
      <c r="AO88" s="141"/>
      <c r="AP88" s="140"/>
      <c r="AQ88" s="140"/>
      <c r="AR88" s="140"/>
      <c r="AS88" s="140"/>
      <c r="AT88" s="141"/>
      <c r="AU88" s="140"/>
      <c r="AV88" s="140"/>
      <c r="AW88" s="140"/>
      <c r="AX88" s="140"/>
      <c r="AY88" s="141"/>
      <c r="AZ88" s="140"/>
      <c r="BA88" s="140"/>
      <c r="BB88" s="140"/>
      <c r="BC88" s="140"/>
      <c r="BD88" s="141"/>
      <c r="BE88" s="140"/>
      <c r="BF88" s="140"/>
      <c r="BG88" s="140">
        <v>3</v>
      </c>
      <c r="BH88" s="140">
        <v>3</v>
      </c>
      <c r="BI88" s="141">
        <v>3</v>
      </c>
    </row>
    <row r="89" spans="1:64">
      <c r="A89" s="1" t="s">
        <v>164</v>
      </c>
      <c r="B89" s="138"/>
      <c r="C89" s="138"/>
      <c r="D89" s="138"/>
      <c r="E89" s="138"/>
      <c r="F89" s="139"/>
      <c r="G89" s="138"/>
      <c r="H89" s="138"/>
      <c r="I89" s="138"/>
      <c r="J89" s="138"/>
      <c r="K89" s="139"/>
      <c r="L89" s="138"/>
      <c r="M89" s="138"/>
      <c r="N89" s="138"/>
      <c r="O89" s="138"/>
      <c r="P89" s="139"/>
      <c r="Q89" s="138"/>
      <c r="R89" s="138"/>
      <c r="S89" s="138"/>
      <c r="T89" s="138"/>
      <c r="U89" s="139"/>
      <c r="V89" s="138"/>
      <c r="W89" s="138"/>
      <c r="X89" s="138"/>
      <c r="Y89" s="138"/>
      <c r="Z89" s="139"/>
      <c r="AA89" s="138"/>
      <c r="AB89" s="138"/>
      <c r="AC89" s="138"/>
      <c r="AD89" s="138"/>
      <c r="AE89" s="139"/>
      <c r="AF89" s="138"/>
      <c r="AG89" s="138"/>
      <c r="AH89" s="138"/>
      <c r="AI89" s="138"/>
      <c r="AJ89" s="139"/>
      <c r="AK89" s="138"/>
      <c r="AL89" s="138"/>
      <c r="AM89" s="138"/>
      <c r="AN89" s="138"/>
      <c r="AO89" s="139"/>
      <c r="AP89" s="138"/>
      <c r="AQ89" s="138"/>
      <c r="AR89" s="138"/>
      <c r="AS89" s="138"/>
      <c r="AT89" s="139"/>
      <c r="AU89" s="138"/>
      <c r="AV89" s="138"/>
      <c r="AW89" s="138"/>
      <c r="AX89" s="138"/>
      <c r="AY89" s="139"/>
      <c r="AZ89" s="138"/>
      <c r="BA89" s="138"/>
      <c r="BB89" s="138"/>
      <c r="BC89" s="138"/>
      <c r="BD89" s="139"/>
      <c r="BE89" s="138"/>
      <c r="BF89" s="138"/>
      <c r="BG89" s="138">
        <f ca="1">IF((BG80+BG86-BG85)/(ProForma_IS_Qtr!BG82*4+Balance_Sheet_Qtr!BG90)=BG88,(BG80+BG86-BG85)/(ProForma_IS_Qtr!BG82*4+Balance_Sheet_Qtr!BG90),"Error")</f>
        <v>3</v>
      </c>
      <c r="BH89" s="138">
        <f ca="1">IF((BH80+BH86-BH85)/(ProForma_IS_Qtr!BH82*4+Balance_Sheet_Qtr!BH90)=BH88,(BH80+BH86-BH85)/(ProForma_IS_Qtr!BH82*4+Balance_Sheet_Qtr!BH90),"Error")</f>
        <v>2.9999999999999996</v>
      </c>
      <c r="BI89" s="139">
        <f ca="1">IF((BI80+BI86-BI85)/(ProForma_IS_Qtr!BI82+Balance_Sheet_Qtr!BI90)=BI88,(BI80+BI86-BI85)/(ProForma_IS_Qtr!BI82+Balance_Sheet_Qtr!BI90),"Error")</f>
        <v>3</v>
      </c>
    </row>
    <row r="90" spans="1:64">
      <c r="A90" s="1" t="s">
        <v>120</v>
      </c>
      <c r="B90" s="77"/>
      <c r="C90" s="77"/>
      <c r="D90" s="77"/>
      <c r="E90" s="77"/>
      <c r="F90" s="79"/>
      <c r="G90" s="77"/>
      <c r="H90" s="77"/>
      <c r="I90" s="77"/>
      <c r="J90" s="77"/>
      <c r="K90" s="79"/>
      <c r="L90" s="77"/>
      <c r="M90" s="77"/>
      <c r="N90" s="77"/>
      <c r="O90" s="77"/>
      <c r="P90" s="79"/>
      <c r="Q90" s="77"/>
      <c r="R90" s="77"/>
      <c r="S90" s="77"/>
      <c r="T90" s="77"/>
      <c r="U90" s="79"/>
      <c r="V90" s="77"/>
      <c r="W90" s="77"/>
      <c r="X90" s="77"/>
      <c r="Y90" s="77"/>
      <c r="Z90" s="79"/>
      <c r="AA90" s="77"/>
      <c r="AB90" s="77"/>
      <c r="AC90" s="77"/>
      <c r="AD90" s="77"/>
      <c r="AE90" s="79"/>
      <c r="AF90" s="77"/>
      <c r="AG90" s="77"/>
      <c r="AH90" s="77"/>
      <c r="AI90" s="77"/>
      <c r="AJ90" s="79"/>
      <c r="AK90" s="77"/>
      <c r="AL90" s="77"/>
      <c r="AM90" s="77"/>
      <c r="AN90" s="77"/>
      <c r="AO90" s="79"/>
      <c r="AP90" s="77"/>
      <c r="AQ90" s="77"/>
      <c r="AR90" s="77"/>
      <c r="AS90" s="77"/>
      <c r="AT90" s="79"/>
      <c r="AU90" s="77"/>
      <c r="AV90" s="77"/>
      <c r="AW90" s="77"/>
      <c r="AX90" s="77"/>
      <c r="AY90" s="79"/>
      <c r="AZ90" s="77"/>
      <c r="BA90" s="77"/>
      <c r="BB90" s="77"/>
      <c r="BC90" s="77"/>
      <c r="BD90" s="79"/>
      <c r="BE90" s="77"/>
      <c r="BF90" s="77"/>
      <c r="BG90" s="77">
        <f ca="1">BG87/BG91</f>
        <v>2414.1283973036197</v>
      </c>
      <c r="BH90" s="77">
        <f ca="1">BH87/BH91</f>
        <v>2724.215421418005</v>
      </c>
      <c r="BI90" s="79">
        <f ca="1">BI87/BI91</f>
        <v>2666.7119777513358</v>
      </c>
    </row>
    <row r="91" spans="1:64">
      <c r="A91" s="1" t="s">
        <v>121</v>
      </c>
      <c r="B91" s="140"/>
      <c r="C91" s="140"/>
      <c r="D91" s="140"/>
      <c r="E91" s="140"/>
      <c r="F91" s="141"/>
      <c r="G91" s="140"/>
      <c r="H91" s="140"/>
      <c r="I91" s="140"/>
      <c r="J91" s="140"/>
      <c r="K91" s="141"/>
      <c r="L91" s="140"/>
      <c r="M91" s="140"/>
      <c r="N91" s="140"/>
      <c r="O91" s="140"/>
      <c r="P91" s="141"/>
      <c r="Q91" s="140"/>
      <c r="R91" s="140"/>
      <c r="S91" s="140"/>
      <c r="T91" s="140"/>
      <c r="U91" s="141"/>
      <c r="V91" s="140"/>
      <c r="W91" s="140"/>
      <c r="X91" s="140"/>
      <c r="Y91" s="140"/>
      <c r="Z91" s="141"/>
      <c r="AA91" s="140"/>
      <c r="AB91" s="140"/>
      <c r="AC91" s="140"/>
      <c r="AD91" s="140"/>
      <c r="AE91" s="141"/>
      <c r="AF91" s="140"/>
      <c r="AG91" s="140"/>
      <c r="AH91" s="140"/>
      <c r="AI91" s="140"/>
      <c r="AJ91" s="141"/>
      <c r="AK91" s="140"/>
      <c r="AL91" s="140"/>
      <c r="AM91" s="140"/>
      <c r="AN91" s="140"/>
      <c r="AO91" s="141"/>
      <c r="AP91" s="140"/>
      <c r="AQ91" s="140"/>
      <c r="AR91" s="140"/>
      <c r="AS91" s="140"/>
      <c r="AT91" s="141"/>
      <c r="AU91" s="140"/>
      <c r="AV91" s="140"/>
      <c r="AW91" s="140"/>
      <c r="AX91" s="140"/>
      <c r="AY91" s="141"/>
      <c r="AZ91" s="140"/>
      <c r="BA91" s="140"/>
      <c r="BB91" s="140"/>
      <c r="BC91" s="140"/>
      <c r="BD91" s="141"/>
      <c r="BE91" s="140"/>
      <c r="BF91" s="140"/>
      <c r="BG91" s="140">
        <v>12</v>
      </c>
      <c r="BH91" s="140">
        <v>12</v>
      </c>
      <c r="BI91" s="141">
        <v>12</v>
      </c>
    </row>
    <row r="92" spans="1:64">
      <c r="A92" s="1"/>
      <c r="B92" s="77"/>
      <c r="C92" s="77"/>
      <c r="D92" s="77"/>
      <c r="E92" s="77"/>
      <c r="F92" s="79"/>
      <c r="G92" s="77"/>
      <c r="H92" s="77"/>
      <c r="I92" s="77"/>
      <c r="J92" s="77"/>
      <c r="K92" s="79"/>
      <c r="L92" s="77"/>
      <c r="M92" s="77"/>
      <c r="N92" s="77"/>
      <c r="O92" s="77"/>
      <c r="P92" s="79"/>
      <c r="Q92" s="77"/>
      <c r="R92" s="77"/>
      <c r="S92" s="77"/>
      <c r="T92" s="77"/>
      <c r="U92" s="79"/>
      <c r="V92" s="77"/>
      <c r="W92" s="77"/>
      <c r="X92" s="77"/>
      <c r="Y92" s="77"/>
      <c r="Z92" s="79"/>
      <c r="AA92" s="77"/>
      <c r="AB92" s="77"/>
      <c r="AC92" s="77"/>
      <c r="AD92" s="77"/>
      <c r="AE92" s="79"/>
      <c r="AF92" s="77"/>
      <c r="AG92" s="77"/>
      <c r="AH92" s="77"/>
      <c r="AI92" s="77"/>
      <c r="AJ92" s="79"/>
      <c r="AK92" s="77"/>
      <c r="AL92" s="77"/>
      <c r="AM92" s="77"/>
      <c r="AN92" s="77"/>
      <c r="AO92" s="79"/>
      <c r="AP92" s="77"/>
      <c r="AQ92" s="77"/>
      <c r="AR92" s="77"/>
      <c r="AS92" s="77"/>
      <c r="AT92" s="79"/>
      <c r="AU92" s="77"/>
      <c r="AV92" s="77"/>
      <c r="AW92" s="77"/>
      <c r="AX92" s="77"/>
      <c r="AY92" s="79"/>
      <c r="AZ92" s="77"/>
      <c r="BA92" s="77"/>
      <c r="BB92" s="77"/>
      <c r="BC92" s="77"/>
      <c r="BD92" s="79"/>
      <c r="BE92" s="77"/>
      <c r="BF92" s="77"/>
      <c r="BG92" s="77"/>
      <c r="BH92" s="77"/>
      <c r="BI92" s="79"/>
    </row>
    <row r="93" spans="1:64">
      <c r="A93" s="1" t="s">
        <v>128</v>
      </c>
      <c r="B93" s="142"/>
      <c r="C93" s="142"/>
      <c r="D93" s="142"/>
      <c r="E93" s="142"/>
      <c r="F93" s="146"/>
      <c r="G93" s="142"/>
      <c r="H93" s="142"/>
      <c r="I93" s="142"/>
      <c r="J93" s="142"/>
      <c r="K93" s="146"/>
      <c r="L93" s="142"/>
      <c r="M93" s="142"/>
      <c r="N93" s="142"/>
      <c r="O93" s="142"/>
      <c r="P93" s="146"/>
      <c r="Q93" s="142"/>
      <c r="R93" s="142"/>
      <c r="S93" s="142"/>
      <c r="T93" s="142"/>
      <c r="U93" s="146"/>
      <c r="V93" s="142"/>
      <c r="W93" s="142"/>
      <c r="X93" s="142"/>
      <c r="Y93" s="142"/>
      <c r="Z93" s="146"/>
      <c r="AA93" s="142"/>
      <c r="AB93" s="142"/>
      <c r="AC93" s="142"/>
      <c r="AD93" s="142"/>
      <c r="AE93" s="146"/>
      <c r="AF93" s="142"/>
      <c r="AG93" s="142"/>
      <c r="AH93" s="142"/>
      <c r="AI93" s="142"/>
      <c r="AJ93" s="146"/>
      <c r="AK93" s="142"/>
      <c r="AL93" s="142"/>
      <c r="AM93" s="142"/>
      <c r="AN93" s="142"/>
      <c r="AO93" s="146"/>
      <c r="AP93" s="142"/>
      <c r="AQ93" s="142"/>
      <c r="AR93" s="142"/>
      <c r="AS93" s="142"/>
      <c r="AT93" s="146"/>
      <c r="AU93" s="142"/>
      <c r="AV93" s="142"/>
      <c r="AW93" s="142"/>
      <c r="AX93" s="142"/>
      <c r="AY93" s="146"/>
      <c r="AZ93" s="142"/>
      <c r="BA93" s="142"/>
      <c r="BB93" s="142"/>
      <c r="BC93" s="142"/>
      <c r="BD93" s="146"/>
      <c r="BE93" s="142"/>
      <c r="BF93" s="142"/>
      <c r="BG93" s="142">
        <v>0.3</v>
      </c>
      <c r="BH93" s="142">
        <v>0.3</v>
      </c>
      <c r="BI93" s="146">
        <v>0.3</v>
      </c>
    </row>
    <row r="94" spans="1:64">
      <c r="A94" s="1" t="s">
        <v>129</v>
      </c>
      <c r="B94" s="77"/>
      <c r="C94" s="77"/>
      <c r="D94" s="77"/>
      <c r="E94" s="77"/>
      <c r="F94" s="79"/>
      <c r="G94" s="77"/>
      <c r="H94" s="77"/>
      <c r="I94" s="77"/>
      <c r="J94" s="77"/>
      <c r="K94" s="79"/>
      <c r="L94" s="77"/>
      <c r="M94" s="77"/>
      <c r="N94" s="77"/>
      <c r="O94" s="77"/>
      <c r="P94" s="79"/>
      <c r="Q94" s="77"/>
      <c r="R94" s="77"/>
      <c r="S94" s="77"/>
      <c r="T94" s="77"/>
      <c r="U94" s="79"/>
      <c r="V94" s="77"/>
      <c r="W94" s="77"/>
      <c r="X94" s="77"/>
      <c r="Y94" s="77"/>
      <c r="Z94" s="79"/>
      <c r="AA94" s="77"/>
      <c r="AB94" s="77"/>
      <c r="AC94" s="77"/>
      <c r="AD94" s="77"/>
      <c r="AE94" s="79"/>
      <c r="AF94" s="52"/>
      <c r="AG94" s="77"/>
      <c r="AH94" s="77"/>
      <c r="AI94" s="77"/>
      <c r="AJ94" s="79"/>
      <c r="AK94" s="52"/>
      <c r="AL94" s="77"/>
      <c r="AM94" s="77"/>
      <c r="AN94" s="77"/>
      <c r="AO94" s="79"/>
      <c r="AP94" s="52"/>
      <c r="AQ94" s="77"/>
      <c r="AR94" s="77"/>
      <c r="AS94" s="77"/>
      <c r="AT94" s="79"/>
      <c r="AU94" s="52"/>
      <c r="AV94" s="77"/>
      <c r="AW94" s="77"/>
      <c r="AX94" s="77"/>
      <c r="AY94" s="79"/>
      <c r="AZ94" s="52"/>
      <c r="BA94" s="77"/>
      <c r="BB94" s="77"/>
      <c r="BC94" s="77"/>
      <c r="BD94" s="79"/>
      <c r="BE94" s="52"/>
      <c r="BF94" s="77"/>
      <c r="BG94" s="77">
        <f t="shared" ref="BG94" ca="1" si="189">-BG93*BG90</f>
        <v>-724.23851919108586</v>
      </c>
      <c r="BH94" s="77">
        <f t="shared" ref="BH94:BI94" ca="1" si="190">-BH93*BH90</f>
        <v>-817.2646264254015</v>
      </c>
      <c r="BI94" s="79">
        <f t="shared" ca="1" si="190"/>
        <v>-800.01359332540073</v>
      </c>
    </row>
    <row r="95" spans="1:64">
      <c r="A95" s="1" t="s">
        <v>130</v>
      </c>
      <c r="B95" s="77"/>
      <c r="C95" s="77"/>
      <c r="D95" s="77"/>
      <c r="E95" s="77"/>
      <c r="F95" s="79"/>
      <c r="G95" s="77"/>
      <c r="H95" s="77"/>
      <c r="I95" s="77"/>
      <c r="J95" s="77"/>
      <c r="K95" s="79"/>
      <c r="L95" s="77"/>
      <c r="M95" s="77"/>
      <c r="N95" s="77"/>
      <c r="O95" s="77"/>
      <c r="P95" s="79"/>
      <c r="Q95" s="77"/>
      <c r="R95" s="77"/>
      <c r="S95" s="77"/>
      <c r="T95" s="77"/>
      <c r="U95" s="79"/>
      <c r="V95" s="77"/>
      <c r="W95" s="77"/>
      <c r="X95" s="77"/>
      <c r="Y95" s="77"/>
      <c r="Z95" s="79"/>
      <c r="AA95" s="77"/>
      <c r="AB95" s="77"/>
      <c r="AC95" s="77"/>
      <c r="AD95" s="77"/>
      <c r="AE95" s="79"/>
      <c r="AF95" s="77"/>
      <c r="AG95" s="77"/>
      <c r="AH95" s="77"/>
      <c r="AI95" s="77"/>
      <c r="AJ95" s="79"/>
      <c r="AK95" s="77"/>
      <c r="AL95" s="77"/>
      <c r="AM95" s="77"/>
      <c r="AN95" s="77"/>
      <c r="AO95" s="79"/>
      <c r="AP95" s="77"/>
      <c r="AQ95" s="77"/>
      <c r="AR95" s="77"/>
      <c r="AS95" s="77"/>
      <c r="AT95" s="79"/>
      <c r="AU95" s="77"/>
      <c r="AV95" s="77"/>
      <c r="AW95" s="77"/>
      <c r="AX95" s="77"/>
      <c r="AY95" s="79"/>
      <c r="AZ95" s="77"/>
      <c r="BA95" s="77"/>
      <c r="BB95" s="77"/>
      <c r="BC95" s="77"/>
      <c r="BD95" s="79"/>
      <c r="BE95" s="77"/>
      <c r="BF95" s="77"/>
      <c r="BG95" s="77">
        <f t="shared" ref="BG95" ca="1" si="191">BG90+BG94</f>
        <v>1689.889878112534</v>
      </c>
      <c r="BH95" s="77">
        <f t="shared" ref="BH95:BI95" ca="1" si="192">BH90+BH94</f>
        <v>1906.9507949926035</v>
      </c>
      <c r="BI95" s="79">
        <f t="shared" ca="1" si="192"/>
        <v>1866.698384425935</v>
      </c>
    </row>
    <row r="96" spans="1:64">
      <c r="A96" s="1" t="s">
        <v>122</v>
      </c>
      <c r="B96" s="142"/>
      <c r="C96" s="142"/>
      <c r="D96" s="142"/>
      <c r="E96" s="142"/>
      <c r="F96" s="146"/>
      <c r="G96" s="142"/>
      <c r="H96" s="142"/>
      <c r="I96" s="142"/>
      <c r="J96" s="142"/>
      <c r="K96" s="146"/>
      <c r="L96" s="142"/>
      <c r="M96" s="142"/>
      <c r="N96" s="142"/>
      <c r="O96" s="142"/>
      <c r="P96" s="146"/>
      <c r="Q96" s="142"/>
      <c r="R96" s="142"/>
      <c r="S96" s="142"/>
      <c r="T96" s="142"/>
      <c r="U96" s="146"/>
      <c r="V96" s="142"/>
      <c r="W96" s="142"/>
      <c r="X96" s="142"/>
      <c r="Y96" s="142"/>
      <c r="Z96" s="146"/>
      <c r="AA96" s="142"/>
      <c r="AB96" s="142"/>
      <c r="AC96" s="142"/>
      <c r="AD96" s="142"/>
      <c r="AE96" s="146"/>
      <c r="AF96" s="142"/>
      <c r="AG96" s="142"/>
      <c r="AH96" s="142"/>
      <c r="AI96" s="142"/>
      <c r="AJ96" s="146"/>
      <c r="AK96" s="142"/>
      <c r="AL96" s="142"/>
      <c r="AM96" s="142"/>
      <c r="AN96" s="142"/>
      <c r="AO96" s="146"/>
      <c r="AP96" s="142"/>
      <c r="AQ96" s="142"/>
      <c r="AR96" s="142"/>
      <c r="AS96" s="142"/>
      <c r="AT96" s="146"/>
      <c r="AU96" s="142"/>
      <c r="AV96" s="142"/>
      <c r="AW96" s="142"/>
      <c r="AX96" s="142"/>
      <c r="AY96" s="146"/>
      <c r="AZ96" s="142"/>
      <c r="BA96" s="142"/>
      <c r="BB96" s="142"/>
      <c r="BC96" s="142"/>
      <c r="BD96" s="146"/>
      <c r="BE96" s="142"/>
      <c r="BF96" s="142"/>
      <c r="BG96" s="142">
        <v>3.5000000000000003E-2</v>
      </c>
      <c r="BH96" s="142">
        <v>3.5000000000000003E-2</v>
      </c>
      <c r="BI96" s="146">
        <v>3.5000000000000003E-2</v>
      </c>
    </row>
    <row r="97" spans="1:61">
      <c r="A97" s="1" t="s">
        <v>123</v>
      </c>
      <c r="B97" s="77"/>
      <c r="C97" s="77"/>
      <c r="D97" s="77"/>
      <c r="E97" s="77"/>
      <c r="F97" s="79"/>
      <c r="G97" s="77"/>
      <c r="H97" s="77"/>
      <c r="I97" s="77"/>
      <c r="J97" s="77"/>
      <c r="K97" s="79"/>
      <c r="L97" s="77"/>
      <c r="M97" s="77"/>
      <c r="N97" s="77"/>
      <c r="O97" s="77"/>
      <c r="P97" s="79"/>
      <c r="Q97" s="77"/>
      <c r="R97" s="77"/>
      <c r="S97" s="77"/>
      <c r="T97" s="77"/>
      <c r="U97" s="79"/>
      <c r="V97" s="77"/>
      <c r="W97" s="77"/>
      <c r="X97" s="77"/>
      <c r="Y97" s="77"/>
      <c r="Z97" s="79"/>
      <c r="AA97" s="77"/>
      <c r="AB97" s="77"/>
      <c r="AC97" s="77"/>
      <c r="AD97" s="77"/>
      <c r="AE97" s="79"/>
      <c r="AF97" s="77"/>
      <c r="AG97" s="77"/>
      <c r="AH97" s="77"/>
      <c r="AI97" s="77"/>
      <c r="AJ97" s="79"/>
      <c r="AK97" s="77"/>
      <c r="AL97" s="77"/>
      <c r="AM97" s="77"/>
      <c r="AN97" s="77"/>
      <c r="AO97" s="79"/>
      <c r="AP97" s="77"/>
      <c r="AQ97" s="77"/>
      <c r="AR97" s="77"/>
      <c r="AS97" s="77"/>
      <c r="AT97" s="79"/>
      <c r="AU97" s="77"/>
      <c r="AV97" s="77"/>
      <c r="AW97" s="77"/>
      <c r="AX97" s="77"/>
      <c r="AY97" s="79"/>
      <c r="AZ97" s="77"/>
      <c r="BA97" s="77"/>
      <c r="BB97" s="77"/>
      <c r="BC97" s="77"/>
      <c r="BD97" s="79"/>
      <c r="BE97" s="77"/>
      <c r="BF97" s="77"/>
      <c r="BG97" s="77">
        <f t="shared" ref="BG97" ca="1" si="193">-BG96*BG86</f>
        <v>-1013.9339268675204</v>
      </c>
      <c r="BH97" s="77">
        <f t="shared" ref="BH97:BI97" ca="1" si="194">-BH96*BH86</f>
        <v>-1144.1704769955622</v>
      </c>
      <c r="BI97" s="79">
        <f t="shared" ca="1" si="194"/>
        <v>-1120.019030655561</v>
      </c>
    </row>
    <row r="98" spans="1:61">
      <c r="A98" s="1" t="s">
        <v>51</v>
      </c>
      <c r="B98" s="77"/>
      <c r="C98" s="77"/>
      <c r="D98" s="77"/>
      <c r="E98" s="77"/>
      <c r="F98" s="79"/>
      <c r="G98" s="77"/>
      <c r="H98" s="77"/>
      <c r="I98" s="77"/>
      <c r="J98" s="77"/>
      <c r="K98" s="79"/>
      <c r="L98" s="77"/>
      <c r="M98" s="77"/>
      <c r="N98" s="77"/>
      <c r="O98" s="77"/>
      <c r="P98" s="79"/>
      <c r="Q98" s="77"/>
      <c r="R98" s="77"/>
      <c r="S98" s="77"/>
      <c r="T98" s="77"/>
      <c r="U98" s="79"/>
      <c r="V98" s="77"/>
      <c r="W98" s="77"/>
      <c r="X98" s="77"/>
      <c r="Y98" s="77"/>
      <c r="Z98" s="79"/>
      <c r="AA98" s="77"/>
      <c r="AB98" s="77"/>
      <c r="AC98" s="77"/>
      <c r="AD98" s="77"/>
      <c r="AE98" s="79"/>
      <c r="AF98" s="77"/>
      <c r="AG98" s="77"/>
      <c r="AH98" s="77"/>
      <c r="AI98" s="77"/>
      <c r="AJ98" s="79"/>
      <c r="AK98" s="77"/>
      <c r="AL98" s="77"/>
      <c r="AM98" s="77"/>
      <c r="AN98" s="77"/>
      <c r="AO98" s="79"/>
      <c r="AP98" s="77"/>
      <c r="AQ98" s="77"/>
      <c r="AR98" s="77"/>
      <c r="AS98" s="77"/>
      <c r="AT98" s="79"/>
      <c r="AU98" s="77"/>
      <c r="AV98" s="77"/>
      <c r="AW98" s="77"/>
      <c r="AX98" s="77"/>
      <c r="AY98" s="79"/>
      <c r="AZ98" s="77"/>
      <c r="BA98" s="77"/>
      <c r="BB98" s="77"/>
      <c r="BC98" s="77"/>
      <c r="BD98" s="79"/>
      <c r="BE98" s="77"/>
      <c r="BF98" s="77"/>
      <c r="BG98" s="77">
        <f t="shared" ref="BG98" ca="1" si="195">BG95+BG97</f>
        <v>675.95595124501358</v>
      </c>
      <c r="BH98" s="77">
        <f t="shared" ref="BH98:BI98" ca="1" si="196">BH95+BH97</f>
        <v>762.78031799704127</v>
      </c>
      <c r="BI98" s="79">
        <f t="shared" ca="1" si="196"/>
        <v>746.67935377037406</v>
      </c>
    </row>
    <row r="99" spans="1:61">
      <c r="A99" s="1" t="s">
        <v>127</v>
      </c>
      <c r="B99" s="77"/>
      <c r="C99" s="77"/>
      <c r="D99" s="77"/>
      <c r="E99" s="77"/>
      <c r="F99" s="79"/>
      <c r="G99" s="77"/>
      <c r="H99" s="77"/>
      <c r="I99" s="77"/>
      <c r="J99" s="77"/>
      <c r="K99" s="79"/>
      <c r="L99" s="77"/>
      <c r="M99" s="77"/>
      <c r="N99" s="77"/>
      <c r="O99" s="77"/>
      <c r="P99" s="79"/>
      <c r="Q99" s="77"/>
      <c r="R99" s="77"/>
      <c r="S99" s="77"/>
      <c r="T99" s="77"/>
      <c r="U99" s="79"/>
      <c r="V99" s="77"/>
      <c r="W99" s="77"/>
      <c r="X99" s="77"/>
      <c r="Y99" s="77"/>
      <c r="Z99" s="79"/>
      <c r="AA99" s="77"/>
      <c r="AB99" s="77"/>
      <c r="AC99" s="77"/>
      <c r="AD99" s="77"/>
      <c r="AE99" s="79"/>
      <c r="AF99" s="77"/>
      <c r="AG99" s="77"/>
      <c r="AH99" s="77"/>
      <c r="AI99" s="77"/>
      <c r="AJ99" s="79"/>
      <c r="AK99" s="77"/>
      <c r="AL99" s="77"/>
      <c r="AM99" s="77"/>
      <c r="AN99" s="77"/>
      <c r="AO99" s="79"/>
      <c r="AP99" s="77"/>
      <c r="AQ99" s="77"/>
      <c r="AR99" s="77"/>
      <c r="AS99" s="77"/>
      <c r="AT99" s="79"/>
      <c r="AU99" s="77"/>
      <c r="AV99" s="77"/>
      <c r="AW99" s="77"/>
      <c r="AX99" s="77"/>
      <c r="AY99" s="79"/>
      <c r="AZ99" s="77"/>
      <c r="BA99" s="77"/>
      <c r="BB99" s="77"/>
      <c r="BC99" s="77"/>
      <c r="BD99" s="79"/>
      <c r="BE99" s="77"/>
      <c r="BF99" s="77"/>
      <c r="BG99" s="77">
        <f t="shared" ref="BG99" ca="1" si="197">-BG98*BG100</f>
        <v>-141.95074976145284</v>
      </c>
      <c r="BH99" s="77">
        <f t="shared" ref="BH99:BI99" ca="1" si="198">-BH98*BH100</f>
        <v>-160.18386677937866</v>
      </c>
      <c r="BI99" s="79">
        <f t="shared" ca="1" si="198"/>
        <v>-156.80266429177854</v>
      </c>
    </row>
    <row r="100" spans="1:61">
      <c r="A100" s="1" t="s">
        <v>126</v>
      </c>
      <c r="B100" s="142"/>
      <c r="C100" s="142"/>
      <c r="D100" s="142"/>
      <c r="E100" s="142"/>
      <c r="F100" s="146"/>
      <c r="G100" s="142"/>
      <c r="H100" s="142"/>
      <c r="I100" s="142"/>
      <c r="J100" s="142"/>
      <c r="K100" s="146"/>
      <c r="L100" s="142"/>
      <c r="M100" s="142"/>
      <c r="N100" s="142"/>
      <c r="O100" s="142"/>
      <c r="P100" s="146"/>
      <c r="Q100" s="142"/>
      <c r="R100" s="142"/>
      <c r="S100" s="142"/>
      <c r="T100" s="142"/>
      <c r="U100" s="146"/>
      <c r="V100" s="142"/>
      <c r="W100" s="142"/>
      <c r="X100" s="142"/>
      <c r="Y100" s="142"/>
      <c r="Z100" s="146"/>
      <c r="AA100" s="142"/>
      <c r="AB100" s="142"/>
      <c r="AC100" s="142"/>
      <c r="AD100" s="142"/>
      <c r="AE100" s="146"/>
      <c r="AF100" s="142"/>
      <c r="AG100" s="142"/>
      <c r="AH100" s="142"/>
      <c r="AI100" s="142"/>
      <c r="AJ100" s="146"/>
      <c r="AK100" s="142"/>
      <c r="AL100" s="142"/>
      <c r="AM100" s="142"/>
      <c r="AN100" s="142"/>
      <c r="AO100" s="146"/>
      <c r="AP100" s="142"/>
      <c r="AQ100" s="142"/>
      <c r="AR100" s="142"/>
      <c r="AS100" s="142"/>
      <c r="AT100" s="146"/>
      <c r="AU100" s="142"/>
      <c r="AV100" s="142"/>
      <c r="AW100" s="142"/>
      <c r="AX100" s="142"/>
      <c r="AY100" s="146"/>
      <c r="AZ100" s="142"/>
      <c r="BA100" s="142"/>
      <c r="BB100" s="142"/>
      <c r="BC100" s="142"/>
      <c r="BD100" s="146"/>
      <c r="BE100" s="142"/>
      <c r="BF100" s="142"/>
      <c r="BG100" s="142">
        <v>0.21</v>
      </c>
      <c r="BH100" s="142">
        <v>0.21</v>
      </c>
      <c r="BI100" s="146">
        <v>0.21</v>
      </c>
    </row>
    <row r="101" spans="1:61">
      <c r="A101" s="1" t="s">
        <v>124</v>
      </c>
      <c r="B101" s="77"/>
      <c r="C101" s="77"/>
      <c r="D101" s="77"/>
      <c r="E101" s="77"/>
      <c r="F101" s="79"/>
      <c r="G101" s="77"/>
      <c r="H101" s="77"/>
      <c r="I101" s="77"/>
      <c r="J101" s="77"/>
      <c r="K101" s="79"/>
      <c r="L101" s="77"/>
      <c r="M101" s="77"/>
      <c r="N101" s="77"/>
      <c r="O101" s="77"/>
      <c r="P101" s="79"/>
      <c r="Q101" s="77"/>
      <c r="R101" s="77"/>
      <c r="S101" s="77"/>
      <c r="T101" s="77"/>
      <c r="U101" s="79"/>
      <c r="V101" s="77"/>
      <c r="W101" s="77"/>
      <c r="X101" s="77"/>
      <c r="Y101" s="77"/>
      <c r="Z101" s="79"/>
      <c r="AA101" s="77"/>
      <c r="AB101" s="77"/>
      <c r="AC101" s="77"/>
      <c r="AD101" s="77"/>
      <c r="AE101" s="79"/>
      <c r="AF101" s="77"/>
      <c r="AG101" s="77"/>
      <c r="AH101" s="77"/>
      <c r="AI101" s="77"/>
      <c r="AJ101" s="79"/>
      <c r="AK101" s="77"/>
      <c r="AL101" s="77"/>
      <c r="AM101" s="77"/>
      <c r="AN101" s="77"/>
      <c r="AO101" s="79"/>
      <c r="AP101" s="77"/>
      <c r="AQ101" s="77"/>
      <c r="AR101" s="77"/>
      <c r="AS101" s="77"/>
      <c r="AT101" s="79"/>
      <c r="AU101" s="77"/>
      <c r="AV101" s="77"/>
      <c r="AW101" s="77"/>
      <c r="AX101" s="77"/>
      <c r="AY101" s="79"/>
      <c r="AZ101" s="77"/>
      <c r="BA101" s="77"/>
      <c r="BB101" s="77"/>
      <c r="BC101" s="77"/>
      <c r="BD101" s="79"/>
      <c r="BE101" s="77"/>
      <c r="BF101" s="77"/>
      <c r="BG101" s="77">
        <f t="shared" ref="BG101" ca="1" si="199">BG98+BG99</f>
        <v>534.00520148356077</v>
      </c>
      <c r="BH101" s="77">
        <f t="shared" ref="BH101:BI101" ca="1" si="200">BH98+BH99</f>
        <v>602.59645121766266</v>
      </c>
      <c r="BI101" s="79">
        <f t="shared" ca="1" si="200"/>
        <v>589.87668947859549</v>
      </c>
    </row>
    <row r="102" spans="1:61">
      <c r="A102" s="145" t="s">
        <v>125</v>
      </c>
      <c r="B102" s="50"/>
      <c r="C102" s="50"/>
      <c r="D102" s="50"/>
      <c r="E102" s="50"/>
      <c r="F102" s="51"/>
      <c r="G102" s="50"/>
      <c r="H102" s="50"/>
      <c r="I102" s="50"/>
      <c r="J102" s="50"/>
      <c r="K102" s="51"/>
      <c r="L102" s="50"/>
      <c r="M102" s="50"/>
      <c r="N102" s="50"/>
      <c r="O102" s="50"/>
      <c r="P102" s="51"/>
      <c r="Q102" s="50"/>
      <c r="R102" s="50"/>
      <c r="S102" s="50"/>
      <c r="T102" s="50"/>
      <c r="U102" s="51"/>
      <c r="V102" s="50"/>
      <c r="W102" s="50"/>
      <c r="X102" s="50"/>
      <c r="Y102" s="50"/>
      <c r="Z102" s="51"/>
      <c r="AA102" s="50"/>
      <c r="AB102" s="50"/>
      <c r="AC102" s="50"/>
      <c r="AD102" s="50"/>
      <c r="AE102" s="51"/>
      <c r="AF102" s="50"/>
      <c r="AG102" s="50"/>
      <c r="AH102" s="50"/>
      <c r="AI102" s="50"/>
      <c r="AJ102" s="51"/>
      <c r="AK102" s="50"/>
      <c r="AL102" s="50"/>
      <c r="AM102" s="50"/>
      <c r="AN102" s="50"/>
      <c r="AO102" s="51"/>
      <c r="AP102" s="50"/>
      <c r="AQ102" s="50"/>
      <c r="AR102" s="50"/>
      <c r="AS102" s="50"/>
      <c r="AT102" s="51"/>
      <c r="AU102" s="50"/>
      <c r="AV102" s="50"/>
      <c r="AW102" s="50"/>
      <c r="AX102" s="50"/>
      <c r="AY102" s="51"/>
      <c r="AZ102" s="50"/>
      <c r="BA102" s="50"/>
      <c r="BB102" s="50"/>
      <c r="BC102" s="50"/>
      <c r="BD102" s="51"/>
      <c r="BE102" s="50"/>
      <c r="BF102" s="50"/>
      <c r="BG102" s="50">
        <f ca="1">BG101/ProForma_IS_Qtr!BG61</f>
        <v>0.3915530710375994</v>
      </c>
      <c r="BH102" s="50">
        <f ca="1">BH101/ProForma_IS_Qtr!BH61</f>
        <v>0.44029226434360347</v>
      </c>
      <c r="BI102" s="51">
        <f ca="1">BI101/ProForma_IS_Qtr!BI61</f>
        <v>0.43198258561113789</v>
      </c>
    </row>
    <row r="103" spans="1:61">
      <c r="A103" s="1" t="s">
        <v>133</v>
      </c>
      <c r="B103" s="35"/>
      <c r="C103" s="35"/>
      <c r="D103" s="35"/>
      <c r="E103" s="35"/>
      <c r="F103" s="36"/>
      <c r="G103" s="35"/>
      <c r="H103" s="35"/>
      <c r="I103" s="35"/>
      <c r="J103" s="35"/>
      <c r="K103" s="36"/>
      <c r="L103" s="35"/>
      <c r="M103" s="35"/>
      <c r="N103" s="35"/>
      <c r="O103" s="35"/>
      <c r="P103" s="36"/>
      <c r="Q103" s="35"/>
      <c r="R103" s="35"/>
      <c r="S103" s="35"/>
      <c r="T103" s="35"/>
      <c r="U103" s="36"/>
      <c r="V103" s="35"/>
      <c r="W103" s="35"/>
      <c r="X103" s="35"/>
      <c r="Y103" s="35"/>
      <c r="Z103" s="36"/>
      <c r="AA103" s="35"/>
      <c r="AB103" s="35"/>
      <c r="AC103" s="35"/>
      <c r="AD103" s="35"/>
      <c r="AE103" s="36"/>
      <c r="AF103" s="35"/>
      <c r="AG103" s="35"/>
      <c r="AH103" s="35"/>
      <c r="AI103" s="35"/>
      <c r="AJ103" s="36"/>
      <c r="AK103" s="35"/>
      <c r="AL103" s="35"/>
      <c r="AM103" s="35"/>
      <c r="AN103" s="35"/>
      <c r="AO103" s="36"/>
      <c r="AP103" s="35"/>
      <c r="AQ103" s="35"/>
      <c r="AR103" s="35"/>
      <c r="AS103" s="35"/>
      <c r="AT103" s="36"/>
      <c r="AU103" s="35"/>
      <c r="AV103" s="35"/>
      <c r="AW103" s="35"/>
      <c r="AX103" s="35"/>
      <c r="AY103" s="36"/>
      <c r="AZ103" s="35"/>
      <c r="BA103" s="35"/>
      <c r="BB103" s="35"/>
      <c r="BC103" s="35"/>
      <c r="BD103" s="36"/>
      <c r="BE103" s="35"/>
      <c r="BF103" s="35"/>
      <c r="BG103" s="35">
        <f ca="1">BG102/ProForma_IS_Qtr!BG52/4</f>
        <v>5.433469995419514E-2</v>
      </c>
      <c r="BH103" s="35">
        <f ca="1">BH102/ProForma_IS_Qtr!BH52/4</f>
        <v>6.1686356178115243E-2</v>
      </c>
      <c r="BI103" s="36">
        <f ca="1">BI102/ProForma_IS_Qtr!BI52</f>
        <v>5.9564273920660271E-2</v>
      </c>
    </row>
    <row r="104" spans="1:61">
      <c r="A104" s="1"/>
      <c r="B104" s="138"/>
      <c r="C104" s="138"/>
      <c r="D104" s="138"/>
      <c r="E104" s="138"/>
      <c r="F104" s="139"/>
      <c r="G104" s="138"/>
      <c r="H104" s="138"/>
      <c r="I104" s="138"/>
      <c r="J104" s="138"/>
      <c r="K104" s="139"/>
      <c r="L104" s="138"/>
      <c r="M104" s="138"/>
      <c r="N104" s="138"/>
      <c r="O104" s="138"/>
      <c r="P104" s="139"/>
      <c r="Q104" s="138"/>
      <c r="R104" s="138"/>
      <c r="S104" s="138"/>
      <c r="T104" s="138"/>
      <c r="U104" s="139"/>
      <c r="V104" s="138"/>
      <c r="W104" s="138"/>
      <c r="X104" s="138"/>
      <c r="Y104" s="138"/>
      <c r="Z104" s="139"/>
      <c r="AA104" s="138"/>
      <c r="AB104" s="138"/>
      <c r="AC104" s="138"/>
      <c r="AD104" s="138"/>
      <c r="AE104" s="139"/>
      <c r="AF104" s="138"/>
      <c r="AG104" s="138"/>
      <c r="AH104" s="138"/>
      <c r="AI104" s="138"/>
      <c r="AJ104" s="139"/>
      <c r="AK104" s="138"/>
      <c r="AL104" s="138"/>
      <c r="AM104" s="138"/>
      <c r="AN104" s="138"/>
      <c r="AO104" s="139"/>
      <c r="AP104" s="138"/>
      <c r="AQ104" s="138"/>
      <c r="AR104" s="138"/>
      <c r="AS104" s="138"/>
      <c r="AT104" s="139"/>
      <c r="AU104" s="138"/>
      <c r="AV104" s="138"/>
      <c r="AW104" s="138"/>
      <c r="AX104" s="138"/>
      <c r="AY104" s="139"/>
      <c r="AZ104" s="138"/>
      <c r="BA104" s="138"/>
      <c r="BB104" s="138"/>
      <c r="BC104" s="138"/>
      <c r="BD104" s="139"/>
      <c r="BE104" s="138"/>
      <c r="BF104" s="138"/>
      <c r="BG104" s="138"/>
      <c r="BH104" s="138"/>
      <c r="BI104" s="139"/>
    </row>
    <row r="105" spans="1:61">
      <c r="A105" s="116" t="s">
        <v>134</v>
      </c>
      <c r="B105" s="143"/>
      <c r="C105" s="143"/>
      <c r="D105" s="143"/>
      <c r="E105" s="143"/>
      <c r="F105" s="144"/>
      <c r="G105" s="143"/>
      <c r="H105" s="143"/>
      <c r="I105" s="143"/>
      <c r="J105" s="143"/>
      <c r="K105" s="144"/>
      <c r="L105" s="143"/>
      <c r="M105" s="143"/>
      <c r="N105" s="143"/>
      <c r="O105" s="143"/>
      <c r="P105" s="144"/>
      <c r="Q105" s="143"/>
      <c r="R105" s="143"/>
      <c r="S105" s="143"/>
      <c r="T105" s="143"/>
      <c r="U105" s="144"/>
      <c r="V105" s="143"/>
      <c r="W105" s="143"/>
      <c r="X105" s="143"/>
      <c r="Y105" s="143"/>
      <c r="Z105" s="144"/>
      <c r="AA105" s="143"/>
      <c r="AB105" s="143"/>
      <c r="AC105" s="143"/>
      <c r="AD105" s="143"/>
      <c r="AE105" s="144"/>
      <c r="AF105" s="143"/>
      <c r="AG105" s="143"/>
      <c r="AH105" s="143"/>
      <c r="AI105" s="143"/>
      <c r="AJ105" s="144"/>
      <c r="AK105" s="143"/>
      <c r="AL105" s="143"/>
      <c r="AM105" s="143"/>
      <c r="AN105" s="143"/>
      <c r="AO105" s="144"/>
      <c r="AP105" s="143"/>
      <c r="AQ105" s="143"/>
      <c r="AR105" s="143"/>
      <c r="AS105" s="143"/>
      <c r="AT105" s="144"/>
      <c r="AU105" s="143"/>
      <c r="AV105" s="143"/>
      <c r="AW105" s="143"/>
      <c r="AX105" s="143"/>
      <c r="AY105" s="144"/>
      <c r="AZ105" s="143"/>
      <c r="BA105" s="143"/>
      <c r="BB105" s="143"/>
      <c r="BC105" s="143"/>
      <c r="BD105" s="144"/>
      <c r="BE105" s="143"/>
      <c r="BF105" s="143"/>
      <c r="BG105" s="143"/>
      <c r="BH105" s="143"/>
      <c r="BI105" s="144"/>
    </row>
    <row r="106" spans="1:61">
      <c r="A106" s="1" t="s">
        <v>118</v>
      </c>
      <c r="B106" s="77"/>
      <c r="C106" s="77"/>
      <c r="D106" s="77"/>
      <c r="E106" s="77"/>
      <c r="F106" s="79"/>
      <c r="G106" s="77"/>
      <c r="H106" s="77"/>
      <c r="I106" s="77"/>
      <c r="J106" s="77"/>
      <c r="K106" s="79"/>
      <c r="L106" s="77"/>
      <c r="M106" s="77"/>
      <c r="N106" s="77"/>
      <c r="O106" s="77"/>
      <c r="P106" s="79"/>
      <c r="Q106" s="77"/>
      <c r="R106" s="77"/>
      <c r="S106" s="77"/>
      <c r="T106" s="77"/>
      <c r="U106" s="79"/>
      <c r="V106" s="77"/>
      <c r="W106" s="77"/>
      <c r="X106" s="77"/>
      <c r="Y106" s="77"/>
      <c r="Z106" s="79"/>
      <c r="AA106" s="77"/>
      <c r="AB106" s="77"/>
      <c r="AC106" s="77"/>
      <c r="AD106" s="77"/>
      <c r="AE106" s="79"/>
      <c r="AF106" s="77"/>
      <c r="AG106" s="77"/>
      <c r="AH106" s="77"/>
      <c r="AI106" s="77"/>
      <c r="AJ106" s="79"/>
      <c r="AK106" s="77"/>
      <c r="AL106" s="77"/>
      <c r="AM106" s="77"/>
      <c r="AN106" s="77"/>
      <c r="AO106" s="79"/>
      <c r="AP106" s="77"/>
      <c r="AQ106" s="77"/>
      <c r="AR106" s="77"/>
      <c r="AS106" s="77"/>
      <c r="AT106" s="79"/>
      <c r="AU106" s="77"/>
      <c r="AV106" s="77"/>
      <c r="AW106" s="77"/>
      <c r="AX106" s="77"/>
      <c r="AY106" s="79"/>
      <c r="AZ106" s="77"/>
      <c r="BA106" s="77"/>
      <c r="BB106" s="77"/>
      <c r="BC106" s="77"/>
      <c r="BD106" s="79"/>
      <c r="BE106" s="77"/>
      <c r="BF106" s="77"/>
      <c r="BG106" s="77">
        <f t="shared" ref="BG106" si="201">BG5</f>
        <v>9335.1062457325861</v>
      </c>
      <c r="BH106" s="77">
        <f t="shared" ref="BH106:BI106" si="202">BH5</f>
        <v>8604.2143587620139</v>
      </c>
      <c r="BI106" s="79">
        <f t="shared" si="202"/>
        <v>8604.2143587620139</v>
      </c>
    </row>
    <row r="107" spans="1:61">
      <c r="A107" s="1" t="s">
        <v>119</v>
      </c>
      <c r="B107" s="77"/>
      <c r="C107" s="77"/>
      <c r="D107" s="77"/>
      <c r="E107" s="77"/>
      <c r="F107" s="79"/>
      <c r="G107" s="77"/>
      <c r="H107" s="77"/>
      <c r="I107" s="77"/>
      <c r="J107" s="77"/>
      <c r="K107" s="79"/>
      <c r="L107" s="77"/>
      <c r="M107" s="77"/>
      <c r="N107" s="77"/>
      <c r="O107" s="77"/>
      <c r="P107" s="79"/>
      <c r="Q107" s="77"/>
      <c r="R107" s="77"/>
      <c r="S107" s="77"/>
      <c r="T107" s="77"/>
      <c r="U107" s="79"/>
      <c r="V107" s="77"/>
      <c r="W107" s="77"/>
      <c r="X107" s="77"/>
      <c r="Y107" s="77"/>
      <c r="Z107" s="79"/>
      <c r="AA107" s="77"/>
      <c r="AB107" s="77"/>
      <c r="AC107" s="77"/>
      <c r="AD107" s="77"/>
      <c r="AE107" s="79"/>
      <c r="AF107" s="77"/>
      <c r="AG107" s="77"/>
      <c r="AH107" s="77"/>
      <c r="AI107" s="77"/>
      <c r="AJ107" s="79"/>
      <c r="AK107" s="77"/>
      <c r="AL107" s="77"/>
      <c r="AM107" s="77"/>
      <c r="AN107" s="77"/>
      <c r="AO107" s="79"/>
      <c r="AP107" s="77"/>
      <c r="AQ107" s="77"/>
      <c r="AR107" s="77"/>
      <c r="AS107" s="77"/>
      <c r="AT107" s="79"/>
      <c r="AU107" s="77"/>
      <c r="AV107" s="77"/>
      <c r="AW107" s="77"/>
      <c r="AX107" s="77"/>
      <c r="AY107" s="79"/>
      <c r="AZ107" s="77"/>
      <c r="BA107" s="77"/>
      <c r="BB107" s="77"/>
      <c r="BC107" s="77"/>
      <c r="BD107" s="79"/>
      <c r="BE107" s="77"/>
      <c r="BF107" s="77"/>
      <c r="BG107" s="77">
        <f>(ProForma_IS_Qtr!BG82*4)*BG109+(Balance_Sheet_Qtr!BG106-BG80)</f>
        <v>21727.15557573258</v>
      </c>
      <c r="BH107" s="77">
        <f>(ProForma_IS_Qtr!BH82*4)*BH109+(Balance_Sheet_Qtr!BH106-BH80)</f>
        <v>24517.938792762048</v>
      </c>
      <c r="BI107" s="79">
        <f>(ProForma_IS_Qtr!BI82)*BI109+(Balance_Sheet_Qtr!BI106-BI80)</f>
        <v>24000.407799762026</v>
      </c>
    </row>
    <row r="108" spans="1:61">
      <c r="A108" s="145" t="s">
        <v>166</v>
      </c>
      <c r="B108" s="23"/>
      <c r="C108" s="23"/>
      <c r="D108" s="23"/>
      <c r="E108" s="23"/>
      <c r="F108" s="24"/>
      <c r="G108" s="23"/>
      <c r="H108" s="23"/>
      <c r="I108" s="23"/>
      <c r="J108" s="23"/>
      <c r="K108" s="24"/>
      <c r="L108" s="23"/>
      <c r="M108" s="23"/>
      <c r="N108" s="23"/>
      <c r="O108" s="23"/>
      <c r="P108" s="24"/>
      <c r="Q108" s="23"/>
      <c r="R108" s="23"/>
      <c r="S108" s="23"/>
      <c r="T108" s="23"/>
      <c r="U108" s="24"/>
      <c r="V108" s="23"/>
      <c r="W108" s="23"/>
      <c r="X108" s="23"/>
      <c r="Y108" s="23"/>
      <c r="Z108" s="24"/>
      <c r="AA108" s="23"/>
      <c r="AB108" s="23"/>
      <c r="AC108" s="23"/>
      <c r="AD108" s="23"/>
      <c r="AE108" s="24"/>
      <c r="AF108" s="23"/>
      <c r="AG108" s="23"/>
      <c r="AH108" s="23"/>
      <c r="AI108" s="23"/>
      <c r="AJ108" s="24"/>
      <c r="AK108" s="23"/>
      <c r="AL108" s="23"/>
      <c r="AM108" s="23"/>
      <c r="AN108" s="23"/>
      <c r="AO108" s="24"/>
      <c r="AP108" s="23"/>
      <c r="AQ108" s="23"/>
      <c r="AR108" s="23"/>
      <c r="AS108" s="23"/>
      <c r="AT108" s="24"/>
      <c r="AU108" s="23"/>
      <c r="AV108" s="23"/>
      <c r="AW108" s="23"/>
      <c r="AX108" s="23"/>
      <c r="AY108" s="24"/>
      <c r="AZ108" s="23"/>
      <c r="BA108" s="23"/>
      <c r="BB108" s="23"/>
      <c r="BC108" s="23"/>
      <c r="BD108" s="24"/>
      <c r="BE108" s="23"/>
      <c r="BF108" s="23"/>
      <c r="BG108" s="23">
        <f t="shared" ref="BG108" si="203">BG107</f>
        <v>21727.15557573258</v>
      </c>
      <c r="BH108" s="23">
        <f t="shared" ref="BH108:BI108" si="204">BH107</f>
        <v>24517.938792762048</v>
      </c>
      <c r="BI108" s="24">
        <f t="shared" si="204"/>
        <v>24000.407799762026</v>
      </c>
    </row>
    <row r="109" spans="1:61">
      <c r="A109" s="1" t="s">
        <v>168</v>
      </c>
      <c r="B109" s="140"/>
      <c r="C109" s="140"/>
      <c r="D109" s="140"/>
      <c r="E109" s="140"/>
      <c r="F109" s="141"/>
      <c r="G109" s="140"/>
      <c r="H109" s="140"/>
      <c r="I109" s="140"/>
      <c r="J109" s="140"/>
      <c r="K109" s="141"/>
      <c r="L109" s="140"/>
      <c r="M109" s="140"/>
      <c r="N109" s="140"/>
      <c r="O109" s="140"/>
      <c r="P109" s="141"/>
      <c r="Q109" s="140"/>
      <c r="R109" s="140"/>
      <c r="S109" s="140"/>
      <c r="T109" s="140"/>
      <c r="U109" s="141"/>
      <c r="V109" s="140"/>
      <c r="W109" s="140"/>
      <c r="X109" s="140"/>
      <c r="Y109" s="140"/>
      <c r="Z109" s="141"/>
      <c r="AA109" s="140"/>
      <c r="AB109" s="140"/>
      <c r="AC109" s="140"/>
      <c r="AD109" s="140"/>
      <c r="AE109" s="141"/>
      <c r="AF109" s="140"/>
      <c r="AG109" s="140"/>
      <c r="AH109" s="140"/>
      <c r="AI109" s="140"/>
      <c r="AJ109" s="141"/>
      <c r="AK109" s="140"/>
      <c r="AL109" s="140"/>
      <c r="AM109" s="140"/>
      <c r="AN109" s="140"/>
      <c r="AO109" s="141"/>
      <c r="AP109" s="140"/>
      <c r="AQ109" s="140"/>
      <c r="AR109" s="140"/>
      <c r="AS109" s="140"/>
      <c r="AT109" s="141"/>
      <c r="AU109" s="140"/>
      <c r="AV109" s="140"/>
      <c r="AW109" s="140"/>
      <c r="AX109" s="140"/>
      <c r="AY109" s="141"/>
      <c r="AZ109" s="140"/>
      <c r="BA109" s="140"/>
      <c r="BB109" s="140"/>
      <c r="BC109" s="140"/>
      <c r="BD109" s="141"/>
      <c r="BE109" s="140"/>
      <c r="BF109" s="140"/>
      <c r="BG109" s="140">
        <v>3</v>
      </c>
      <c r="BH109" s="140">
        <v>3</v>
      </c>
      <c r="BI109" s="141">
        <v>3</v>
      </c>
    </row>
    <row r="110" spans="1:61">
      <c r="A110" s="1" t="s">
        <v>165</v>
      </c>
      <c r="B110" s="138"/>
      <c r="C110" s="138"/>
      <c r="D110" s="138"/>
      <c r="E110" s="138"/>
      <c r="F110" s="139"/>
      <c r="G110" s="138"/>
      <c r="H110" s="138"/>
      <c r="I110" s="138"/>
      <c r="J110" s="138"/>
      <c r="K110" s="139"/>
      <c r="L110" s="138"/>
      <c r="M110" s="138"/>
      <c r="N110" s="138"/>
      <c r="O110" s="138"/>
      <c r="P110" s="139"/>
      <c r="Q110" s="138"/>
      <c r="R110" s="138"/>
      <c r="S110" s="138"/>
      <c r="T110" s="138"/>
      <c r="U110" s="139"/>
      <c r="V110" s="138"/>
      <c r="W110" s="138"/>
      <c r="X110" s="138"/>
      <c r="Y110" s="138"/>
      <c r="Z110" s="139"/>
      <c r="AA110" s="138"/>
      <c r="AB110" s="138"/>
      <c r="AC110" s="138"/>
      <c r="AD110" s="138"/>
      <c r="AE110" s="139"/>
      <c r="AF110" s="138"/>
      <c r="AG110" s="138"/>
      <c r="AH110" s="138"/>
      <c r="AI110" s="138"/>
      <c r="AJ110" s="139"/>
      <c r="AK110" s="138"/>
      <c r="AL110" s="138"/>
      <c r="AM110" s="138"/>
      <c r="AN110" s="138"/>
      <c r="AO110" s="139"/>
      <c r="AP110" s="138"/>
      <c r="AQ110" s="138"/>
      <c r="AR110" s="138"/>
      <c r="AS110" s="138"/>
      <c r="AT110" s="139"/>
      <c r="AU110" s="138"/>
      <c r="AV110" s="138"/>
      <c r="AW110" s="138"/>
      <c r="AX110" s="138"/>
      <c r="AY110" s="139"/>
      <c r="AZ110" s="138"/>
      <c r="BA110" s="138"/>
      <c r="BB110" s="138"/>
      <c r="BC110" s="138"/>
      <c r="BD110" s="139"/>
      <c r="BE110" s="138"/>
      <c r="BF110" s="138"/>
      <c r="BG110" s="138">
        <f>(BG107+BG80-BG106)/(ProForma_IS_Qtr!BG82*4)</f>
        <v>3</v>
      </c>
      <c r="BH110" s="138">
        <f>(BH107+BH80-BH106)/(ProForma_IS_Qtr!BH82*4)</f>
        <v>3</v>
      </c>
      <c r="BI110" s="139">
        <f>(BI107+BI80-BI106)/(ProForma_IS_Qtr!BI82)</f>
        <v>3</v>
      </c>
    </row>
    <row r="111" spans="1:61">
      <c r="A111" s="1" t="s">
        <v>122</v>
      </c>
      <c r="B111" s="142"/>
      <c r="C111" s="142"/>
      <c r="D111" s="142"/>
      <c r="E111" s="142"/>
      <c r="F111" s="146"/>
      <c r="G111" s="142"/>
      <c r="H111" s="142"/>
      <c r="I111" s="142"/>
      <c r="J111" s="142"/>
      <c r="K111" s="146"/>
      <c r="L111" s="142"/>
      <c r="M111" s="142"/>
      <c r="N111" s="142"/>
      <c r="O111" s="142"/>
      <c r="P111" s="146"/>
      <c r="Q111" s="142"/>
      <c r="R111" s="142"/>
      <c r="S111" s="142"/>
      <c r="T111" s="142"/>
      <c r="U111" s="146"/>
      <c r="V111" s="142"/>
      <c r="W111" s="142"/>
      <c r="X111" s="142"/>
      <c r="Y111" s="142"/>
      <c r="Z111" s="146"/>
      <c r="AA111" s="142"/>
      <c r="AB111" s="142"/>
      <c r="AC111" s="142"/>
      <c r="AD111" s="142"/>
      <c r="AE111" s="146"/>
      <c r="AF111" s="142"/>
      <c r="AG111" s="142"/>
      <c r="AH111" s="142"/>
      <c r="AI111" s="142"/>
      <c r="AJ111" s="146"/>
      <c r="AK111" s="142"/>
      <c r="AL111" s="142"/>
      <c r="AM111" s="142"/>
      <c r="AN111" s="142"/>
      <c r="AO111" s="146"/>
      <c r="AP111" s="142"/>
      <c r="AQ111" s="142"/>
      <c r="AR111" s="142"/>
      <c r="AS111" s="142"/>
      <c r="AT111" s="146"/>
      <c r="AU111" s="142"/>
      <c r="AV111" s="142"/>
      <c r="AW111" s="142"/>
      <c r="AX111" s="142"/>
      <c r="AY111" s="146"/>
      <c r="AZ111" s="142"/>
      <c r="BA111" s="142"/>
      <c r="BB111" s="142"/>
      <c r="BC111" s="142"/>
      <c r="BD111" s="146"/>
      <c r="BE111" s="142"/>
      <c r="BF111" s="142"/>
      <c r="BG111" s="142">
        <v>3.5000000000000003E-2</v>
      </c>
      <c r="BH111" s="142">
        <v>3.5000000000000003E-2</v>
      </c>
      <c r="BI111" s="146">
        <v>3.5000000000000003E-2</v>
      </c>
    </row>
    <row r="112" spans="1:61">
      <c r="A112" s="1" t="s">
        <v>123</v>
      </c>
      <c r="B112" s="77"/>
      <c r="C112" s="77"/>
      <c r="D112" s="77"/>
      <c r="E112" s="77"/>
      <c r="F112" s="79"/>
      <c r="G112" s="77"/>
      <c r="H112" s="77"/>
      <c r="I112" s="77"/>
      <c r="J112" s="77"/>
      <c r="K112" s="79"/>
      <c r="L112" s="77"/>
      <c r="M112" s="77"/>
      <c r="N112" s="77"/>
      <c r="O112" s="77"/>
      <c r="P112" s="79"/>
      <c r="Q112" s="77"/>
      <c r="R112" s="77"/>
      <c r="S112" s="77"/>
      <c r="T112" s="77"/>
      <c r="U112" s="79"/>
      <c r="V112" s="77"/>
      <c r="W112" s="77"/>
      <c r="X112" s="77"/>
      <c r="Y112" s="77"/>
      <c r="Z112" s="79"/>
      <c r="AA112" s="77"/>
      <c r="AB112" s="77"/>
      <c r="AC112" s="77"/>
      <c r="AD112" s="77"/>
      <c r="AE112" s="79"/>
      <c r="AF112" s="77"/>
      <c r="AG112" s="77"/>
      <c r="AH112" s="77"/>
      <c r="AI112" s="77"/>
      <c r="AJ112" s="79"/>
      <c r="AK112" s="77"/>
      <c r="AL112" s="77"/>
      <c r="AM112" s="77"/>
      <c r="AN112" s="77"/>
      <c r="AO112" s="79"/>
      <c r="AP112" s="77"/>
      <c r="AQ112" s="77"/>
      <c r="AR112" s="77"/>
      <c r="AS112" s="77"/>
      <c r="AT112" s="79"/>
      <c r="AU112" s="77"/>
      <c r="AV112" s="77"/>
      <c r="AW112" s="77"/>
      <c r="AX112" s="77"/>
      <c r="AY112" s="79"/>
      <c r="AZ112" s="77"/>
      <c r="BA112" s="77"/>
      <c r="BB112" s="77"/>
      <c r="BC112" s="77"/>
      <c r="BD112" s="79"/>
      <c r="BE112" s="77"/>
      <c r="BF112" s="77"/>
      <c r="BG112" s="77">
        <f t="shared" ref="BG112" si="205">-BG111*BG107</f>
        <v>-760.45044515064035</v>
      </c>
      <c r="BH112" s="77">
        <f t="shared" ref="BH112:BI112" si="206">-BH111*BH107</f>
        <v>-858.12785774667179</v>
      </c>
      <c r="BI112" s="79">
        <f t="shared" si="206"/>
        <v>-840.01427299167096</v>
      </c>
    </row>
    <row r="113" spans="1:61">
      <c r="A113" s="1" t="s">
        <v>137</v>
      </c>
      <c r="B113" s="142"/>
      <c r="C113" s="142"/>
      <c r="D113" s="142"/>
      <c r="E113" s="142"/>
      <c r="F113" s="146"/>
      <c r="G113" s="142"/>
      <c r="H113" s="142"/>
      <c r="I113" s="142"/>
      <c r="J113" s="142"/>
      <c r="K113" s="146"/>
      <c r="L113" s="142"/>
      <c r="M113" s="142"/>
      <c r="N113" s="142"/>
      <c r="O113" s="142"/>
      <c r="P113" s="146"/>
      <c r="Q113" s="142"/>
      <c r="R113" s="142"/>
      <c r="S113" s="142"/>
      <c r="T113" s="142"/>
      <c r="U113" s="146"/>
      <c r="V113" s="142"/>
      <c r="W113" s="142"/>
      <c r="X113" s="142"/>
      <c r="Y113" s="142"/>
      <c r="Z113" s="146"/>
      <c r="AA113" s="142"/>
      <c r="AB113" s="142"/>
      <c r="AC113" s="142"/>
      <c r="AD113" s="142"/>
      <c r="AE113" s="146"/>
      <c r="AF113" s="142"/>
      <c r="AG113" s="142"/>
      <c r="AH113" s="142"/>
      <c r="AI113" s="142"/>
      <c r="AJ113" s="146"/>
      <c r="AK113" s="142"/>
      <c r="AL113" s="142"/>
      <c r="AM113" s="142"/>
      <c r="AN113" s="142"/>
      <c r="AO113" s="146"/>
      <c r="AP113" s="142"/>
      <c r="AQ113" s="142"/>
      <c r="AR113" s="142"/>
      <c r="AS113" s="142"/>
      <c r="AT113" s="146"/>
      <c r="AU113" s="142"/>
      <c r="AV113" s="142"/>
      <c r="AW113" s="142"/>
      <c r="AX113" s="142"/>
      <c r="AY113" s="146"/>
      <c r="AZ113" s="142"/>
      <c r="BA113" s="142"/>
      <c r="BB113" s="142"/>
      <c r="BC113" s="142"/>
      <c r="BD113" s="146"/>
      <c r="BE113" s="142"/>
      <c r="BF113" s="142"/>
      <c r="BG113" s="142">
        <v>0.21</v>
      </c>
      <c r="BH113" s="142">
        <v>0.21</v>
      </c>
      <c r="BI113" s="146">
        <v>0.21</v>
      </c>
    </row>
    <row r="114" spans="1:61">
      <c r="A114" s="1" t="s">
        <v>139</v>
      </c>
      <c r="B114" s="77"/>
      <c r="C114" s="77"/>
      <c r="D114" s="77"/>
      <c r="E114" s="77"/>
      <c r="F114" s="79"/>
      <c r="G114" s="77"/>
      <c r="H114" s="77"/>
      <c r="I114" s="77"/>
      <c r="J114" s="77"/>
      <c r="K114" s="79"/>
      <c r="L114" s="77"/>
      <c r="M114" s="77"/>
      <c r="N114" s="77"/>
      <c r="O114" s="77"/>
      <c r="P114" s="79"/>
      <c r="Q114" s="77"/>
      <c r="R114" s="77"/>
      <c r="S114" s="77"/>
      <c r="T114" s="77"/>
      <c r="U114" s="79"/>
      <c r="V114" s="77"/>
      <c r="W114" s="77"/>
      <c r="X114" s="77"/>
      <c r="Y114" s="77"/>
      <c r="Z114" s="79"/>
      <c r="AA114" s="77"/>
      <c r="AB114" s="77"/>
      <c r="AC114" s="77"/>
      <c r="AD114" s="77"/>
      <c r="AE114" s="79"/>
      <c r="AF114" s="77"/>
      <c r="AG114" s="77"/>
      <c r="AH114" s="77"/>
      <c r="AI114" s="77"/>
      <c r="AJ114" s="79"/>
      <c r="AK114" s="77"/>
      <c r="AL114" s="77"/>
      <c r="AM114" s="77"/>
      <c r="AN114" s="77"/>
      <c r="AO114" s="79"/>
      <c r="AP114" s="77"/>
      <c r="AQ114" s="77"/>
      <c r="AR114" s="77"/>
      <c r="AS114" s="77"/>
      <c r="AT114" s="79"/>
      <c r="AU114" s="77"/>
      <c r="AV114" s="77"/>
      <c r="AW114" s="77"/>
      <c r="AX114" s="77"/>
      <c r="AY114" s="79"/>
      <c r="AZ114" s="77"/>
      <c r="BA114" s="77"/>
      <c r="BB114" s="77"/>
      <c r="BC114" s="77"/>
      <c r="BD114" s="79"/>
      <c r="BE114" s="77"/>
      <c r="BF114" s="77"/>
      <c r="BG114" s="77">
        <f t="shared" ref="BG114" si="207">BG112*(1-BG113)</f>
        <v>-600.75585166900589</v>
      </c>
      <c r="BH114" s="77">
        <f t="shared" ref="BH114:BI114" si="208">BH112*(1-BH113)</f>
        <v>-677.92100761987069</v>
      </c>
      <c r="BI114" s="79">
        <f t="shared" si="208"/>
        <v>-663.61127566342009</v>
      </c>
    </row>
    <row r="115" spans="1:61">
      <c r="A115" s="1" t="s">
        <v>138</v>
      </c>
      <c r="B115" s="77"/>
      <c r="C115" s="77"/>
      <c r="D115" s="77"/>
      <c r="E115" s="77"/>
      <c r="F115" s="79"/>
      <c r="G115" s="77"/>
      <c r="H115" s="77"/>
      <c r="I115" s="77"/>
      <c r="J115" s="77"/>
      <c r="K115" s="79"/>
      <c r="L115" s="77"/>
      <c r="M115" s="77"/>
      <c r="N115" s="77"/>
      <c r="O115" s="77"/>
      <c r="P115" s="79"/>
      <c r="Q115" s="77"/>
      <c r="R115" s="77"/>
      <c r="S115" s="77"/>
      <c r="T115" s="77"/>
      <c r="U115" s="79"/>
      <c r="V115" s="77"/>
      <c r="W115" s="77"/>
      <c r="X115" s="77"/>
      <c r="Y115" s="77"/>
      <c r="Z115" s="79"/>
      <c r="AA115" s="77"/>
      <c r="AB115" s="77"/>
      <c r="AC115" s="77"/>
      <c r="AD115" s="77"/>
      <c r="AE115" s="79"/>
      <c r="AF115" s="77"/>
      <c r="AG115" s="77"/>
      <c r="AH115" s="77"/>
      <c r="AI115" s="77"/>
      <c r="AJ115" s="79"/>
      <c r="AK115" s="77"/>
      <c r="AL115" s="77"/>
      <c r="AM115" s="77"/>
      <c r="AN115" s="77"/>
      <c r="AO115" s="79"/>
      <c r="AP115" s="77"/>
      <c r="AQ115" s="77"/>
      <c r="AR115" s="77"/>
      <c r="AS115" s="77"/>
      <c r="AT115" s="79"/>
      <c r="AU115" s="77"/>
      <c r="AV115" s="77"/>
      <c r="AW115" s="77"/>
      <c r="AX115" s="77"/>
      <c r="AY115" s="79"/>
      <c r="AZ115" s="77"/>
      <c r="BA115" s="77"/>
      <c r="BB115" s="77"/>
      <c r="BC115" s="77"/>
      <c r="BD115" s="79"/>
      <c r="BE115" s="77"/>
      <c r="BF115" s="77"/>
      <c r="BG115" s="77">
        <f>BG114+ProForma_IS_Qtr!BG44*4</f>
        <v>9227.3135392309923</v>
      </c>
      <c r="BH115" s="77">
        <f>BH114+ProForma_IS_Qtr!BH44*4</f>
        <v>9090.7942894501266</v>
      </c>
      <c r="BI115" s="79">
        <f>BI114+ProForma_IS_Qtr!BI44</f>
        <v>9239.5848963290809</v>
      </c>
    </row>
    <row r="116" spans="1:61">
      <c r="A116" s="1" t="s">
        <v>136</v>
      </c>
      <c r="B116" s="52"/>
      <c r="C116" s="52"/>
      <c r="D116" s="52"/>
      <c r="E116" s="52"/>
      <c r="F116" s="53"/>
      <c r="G116" s="52"/>
      <c r="H116" s="52"/>
      <c r="I116" s="52"/>
      <c r="J116" s="52"/>
      <c r="K116" s="53"/>
      <c r="L116" s="52"/>
      <c r="M116" s="52"/>
      <c r="N116" s="52"/>
      <c r="O116" s="52"/>
      <c r="P116" s="53"/>
      <c r="Q116" s="52"/>
      <c r="R116" s="52"/>
      <c r="S116" s="52"/>
      <c r="T116" s="52"/>
      <c r="U116" s="53"/>
      <c r="V116" s="52"/>
      <c r="W116" s="52"/>
      <c r="X116" s="52"/>
      <c r="Y116" s="52"/>
      <c r="Z116" s="53"/>
      <c r="AA116" s="52"/>
      <c r="AB116" s="52"/>
      <c r="AC116" s="52"/>
      <c r="AD116" s="52"/>
      <c r="AE116" s="53"/>
      <c r="AF116" s="52"/>
      <c r="AG116" s="52"/>
      <c r="AH116" s="52"/>
      <c r="AI116" s="52"/>
      <c r="AJ116" s="53"/>
      <c r="AK116" s="52"/>
      <c r="AL116" s="52"/>
      <c r="AM116" s="52"/>
      <c r="AN116" s="52"/>
      <c r="AO116" s="53"/>
      <c r="AP116" s="52"/>
      <c r="AQ116" s="52"/>
      <c r="AR116" s="52"/>
      <c r="AS116" s="52"/>
      <c r="AT116" s="53"/>
      <c r="AU116" s="52"/>
      <c r="AV116" s="52"/>
      <c r="AW116" s="52"/>
      <c r="AX116" s="52"/>
      <c r="AY116" s="53"/>
      <c r="AZ116" s="52"/>
      <c r="BA116" s="52"/>
      <c r="BB116" s="52"/>
      <c r="BC116" s="52"/>
      <c r="BD116" s="53"/>
      <c r="BE116" s="52"/>
      <c r="BF116" s="52"/>
      <c r="BG116" s="52">
        <f>BG115/(ProForma_IS_Qtr!BG61-BG120)</f>
        <v>7.3755035299691345</v>
      </c>
      <c r="BH116" s="52">
        <f>BH115/(ProForma_IS_Qtr!BH61-BH120)</f>
        <v>7.2873955744056209</v>
      </c>
      <c r="BI116" s="53">
        <f>BI115/(ProForma_IS_Qtr!BI61-BI120)</f>
        <v>7.4332856800976952</v>
      </c>
    </row>
    <row r="117" spans="1:61">
      <c r="A117" s="145" t="s">
        <v>125</v>
      </c>
      <c r="B117" s="50"/>
      <c r="C117" s="50"/>
      <c r="D117" s="50"/>
      <c r="E117" s="50"/>
      <c r="F117" s="51"/>
      <c r="G117" s="50"/>
      <c r="H117" s="50"/>
      <c r="I117" s="50"/>
      <c r="J117" s="50"/>
      <c r="K117" s="51"/>
      <c r="L117" s="50"/>
      <c r="M117" s="50"/>
      <c r="N117" s="50"/>
      <c r="O117" s="50"/>
      <c r="P117" s="51"/>
      <c r="Q117" s="50"/>
      <c r="R117" s="50"/>
      <c r="S117" s="50"/>
      <c r="T117" s="50"/>
      <c r="U117" s="51"/>
      <c r="V117" s="50"/>
      <c r="W117" s="50"/>
      <c r="X117" s="50"/>
      <c r="Y117" s="50"/>
      <c r="Z117" s="51"/>
      <c r="AA117" s="50"/>
      <c r="AB117" s="50"/>
      <c r="AC117" s="50"/>
      <c r="AD117" s="50"/>
      <c r="AE117" s="51"/>
      <c r="AF117" s="50"/>
      <c r="AG117" s="50"/>
      <c r="AH117" s="50"/>
      <c r="AI117" s="50"/>
      <c r="AJ117" s="51"/>
      <c r="AK117" s="50"/>
      <c r="AL117" s="50"/>
      <c r="AM117" s="50"/>
      <c r="AN117" s="50"/>
      <c r="AO117" s="51"/>
      <c r="AP117" s="50"/>
      <c r="AQ117" s="50"/>
      <c r="AR117" s="50"/>
      <c r="AS117" s="50"/>
      <c r="AT117" s="51"/>
      <c r="AU117" s="50"/>
      <c r="AV117" s="50"/>
      <c r="AW117" s="50"/>
      <c r="AX117" s="50"/>
      <c r="AY117" s="51"/>
      <c r="AZ117" s="50"/>
      <c r="BA117" s="50"/>
      <c r="BB117" s="50"/>
      <c r="BC117" s="50"/>
      <c r="BD117" s="51"/>
      <c r="BE117" s="50"/>
      <c r="BF117" s="50"/>
      <c r="BG117" s="50">
        <f>BG116-ProForma_IS_Qtr!BG52*4</f>
        <v>0.16918654712605719</v>
      </c>
      <c r="BH117" s="50">
        <f>BH116-ProForma_IS_Qtr!BH52*4</f>
        <v>0.14979997591883532</v>
      </c>
      <c r="BI117" s="51">
        <f>BI116-ProForma_IS_Qtr!BI52</f>
        <v>0.18090842143187924</v>
      </c>
    </row>
    <row r="118" spans="1:61">
      <c r="A118" s="1" t="s">
        <v>131</v>
      </c>
      <c r="B118" s="33"/>
      <c r="C118" s="33"/>
      <c r="D118" s="33"/>
      <c r="E118" s="33"/>
      <c r="F118" s="137"/>
      <c r="G118" s="33"/>
      <c r="H118" s="33"/>
      <c r="I118" s="33"/>
      <c r="J118" s="33"/>
      <c r="K118" s="137"/>
      <c r="L118" s="33"/>
      <c r="M118" s="33"/>
      <c r="N118" s="33"/>
      <c r="O118" s="33"/>
      <c r="P118" s="137"/>
      <c r="Q118" s="33"/>
      <c r="R118" s="33"/>
      <c r="S118" s="33"/>
      <c r="T118" s="33"/>
      <c r="U118" s="137"/>
      <c r="V118" s="33"/>
      <c r="W118" s="33"/>
      <c r="X118" s="33"/>
      <c r="Y118" s="33"/>
      <c r="Z118" s="137"/>
      <c r="AA118" s="33"/>
      <c r="AB118" s="33"/>
      <c r="AC118" s="33"/>
      <c r="AD118" s="33"/>
      <c r="AE118" s="137"/>
      <c r="AF118" s="33"/>
      <c r="AG118" s="33"/>
      <c r="AH118" s="33"/>
      <c r="AI118" s="33"/>
      <c r="AJ118" s="137"/>
      <c r="AK118" s="33"/>
      <c r="AL118" s="33"/>
      <c r="AM118" s="33"/>
      <c r="AN118" s="33"/>
      <c r="AO118" s="137"/>
      <c r="AP118" s="33"/>
      <c r="AQ118" s="33"/>
      <c r="AR118" s="33"/>
      <c r="AS118" s="33"/>
      <c r="AT118" s="137"/>
      <c r="AU118" s="33"/>
      <c r="AV118" s="33"/>
      <c r="AW118" s="33"/>
      <c r="AX118" s="33"/>
      <c r="AY118" s="137"/>
      <c r="AZ118" s="33"/>
      <c r="BA118" s="33"/>
      <c r="BB118" s="33"/>
      <c r="BC118" s="33"/>
      <c r="BD118" s="137"/>
      <c r="BE118" s="33"/>
      <c r="BF118" s="33"/>
      <c r="BG118" s="33">
        <f>BG116/(ProForma_IS_Qtr!BG52*4)-1</f>
        <v>2.3477533326504929E-2</v>
      </c>
      <c r="BH118" s="33">
        <f>BH116/(ProForma_IS_Qtr!BH52*4)-1</f>
        <v>2.0987456329214504E-2</v>
      </c>
      <c r="BI118" s="137">
        <f>BI116/(ProForma_IS_Qtr!BI52)-1</f>
        <v>2.4944706401712979E-2</v>
      </c>
    </row>
    <row r="119" spans="1:61">
      <c r="A119" s="1" t="s">
        <v>135</v>
      </c>
      <c r="B119" s="76"/>
      <c r="C119" s="76"/>
      <c r="D119" s="76"/>
      <c r="E119" s="76"/>
      <c r="F119" s="78"/>
      <c r="G119" s="76"/>
      <c r="H119" s="76"/>
      <c r="I119" s="76"/>
      <c r="J119" s="76"/>
      <c r="K119" s="78"/>
      <c r="L119" s="76"/>
      <c r="M119" s="76"/>
      <c r="N119" s="76"/>
      <c r="O119" s="76"/>
      <c r="P119" s="78"/>
      <c r="Q119" s="76"/>
      <c r="R119" s="76"/>
      <c r="S119" s="76"/>
      <c r="T119" s="76"/>
      <c r="U119" s="78"/>
      <c r="V119" s="76"/>
      <c r="W119" s="76"/>
      <c r="X119" s="76"/>
      <c r="Y119" s="76"/>
      <c r="Z119" s="76"/>
      <c r="AA119" s="173"/>
      <c r="AB119" s="233"/>
      <c r="AC119" s="233"/>
      <c r="AD119" s="233"/>
      <c r="AE119" s="169"/>
      <c r="AF119" s="233"/>
      <c r="AG119" s="233"/>
      <c r="AH119" s="233"/>
      <c r="AI119" s="233"/>
      <c r="AJ119" s="169"/>
      <c r="AK119" s="233"/>
      <c r="AL119" s="233"/>
      <c r="AM119" s="233"/>
      <c r="AN119" s="233"/>
      <c r="AO119" s="169"/>
      <c r="AP119" s="233"/>
      <c r="AQ119" s="233"/>
      <c r="AR119" s="233"/>
      <c r="AS119" s="233"/>
      <c r="AT119" s="169"/>
      <c r="AU119" s="233"/>
      <c r="AV119" s="233"/>
      <c r="AW119" s="233"/>
      <c r="AX119" s="233"/>
      <c r="AY119" s="169"/>
      <c r="AZ119" s="233"/>
      <c r="BA119" s="233"/>
      <c r="BB119" s="233"/>
      <c r="BC119" s="233"/>
      <c r="BD119" s="169"/>
      <c r="BE119" s="233"/>
      <c r="BF119" s="233"/>
      <c r="BG119" s="233">
        <f>ProForma_IS_Qtr!BG74</f>
        <v>192.72367800000001</v>
      </c>
      <c r="BH119" s="233">
        <f>ProForma_IS_Qtr!BH74</f>
        <v>202.35986190000003</v>
      </c>
      <c r="BI119" s="169">
        <f>ProForma_IS_Qtr!BI74</f>
        <v>195.90747497500001</v>
      </c>
    </row>
    <row r="120" spans="1:61">
      <c r="A120" s="1" t="s">
        <v>162</v>
      </c>
      <c r="B120" s="21"/>
      <c r="C120" s="21"/>
      <c r="D120" s="21"/>
      <c r="E120" s="21"/>
      <c r="F120" s="22"/>
      <c r="G120" s="21"/>
      <c r="H120" s="21"/>
      <c r="I120" s="21"/>
      <c r="J120" s="21"/>
      <c r="K120" s="22"/>
      <c r="L120" s="21"/>
      <c r="M120" s="21"/>
      <c r="N120" s="21"/>
      <c r="O120" s="21"/>
      <c r="P120" s="22"/>
      <c r="Q120" s="21"/>
      <c r="R120" s="21"/>
      <c r="S120" s="21"/>
      <c r="T120" s="21"/>
      <c r="U120" s="22"/>
      <c r="V120" s="21"/>
      <c r="W120" s="21"/>
      <c r="X120" s="21"/>
      <c r="Y120" s="21"/>
      <c r="Z120" s="22"/>
      <c r="AA120" s="21"/>
      <c r="AB120" s="21"/>
      <c r="AC120" s="21"/>
      <c r="AD120" s="21"/>
      <c r="AE120" s="22"/>
      <c r="AF120" s="21"/>
      <c r="AG120" s="21"/>
      <c r="AH120" s="21"/>
      <c r="AI120" s="21"/>
      <c r="AJ120" s="22"/>
      <c r="AK120" s="21"/>
      <c r="AL120" s="21"/>
      <c r="AM120" s="21"/>
      <c r="AN120" s="21"/>
      <c r="AO120" s="22"/>
      <c r="AP120" s="21"/>
      <c r="AQ120" s="21"/>
      <c r="AR120" s="21"/>
      <c r="AS120" s="21"/>
      <c r="AT120" s="22"/>
      <c r="AU120" s="21"/>
      <c r="AV120" s="21"/>
      <c r="AW120" s="21"/>
      <c r="AX120" s="21"/>
      <c r="AY120" s="22"/>
      <c r="AZ120" s="21"/>
      <c r="BA120" s="21"/>
      <c r="BB120" s="21"/>
      <c r="BC120" s="21"/>
      <c r="BD120" s="22"/>
      <c r="BE120" s="21"/>
      <c r="BF120" s="21"/>
      <c r="BG120" s="21">
        <f t="shared" ref="BG120" si="209">BG108/BG119</f>
        <v>112.73734395901566</v>
      </c>
      <c r="BH120" s="21">
        <f t="shared" ref="BH120:BI120" si="210">BH108/BH119</f>
        <v>121.16008857961197</v>
      </c>
      <c r="BI120" s="22">
        <f t="shared" si="210"/>
        <v>122.50889254136294</v>
      </c>
    </row>
    <row r="141" customFormat="1"/>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theme="4" tint="0.39997558519241921"/>
  </sheetPr>
  <dimension ref="A1:AS107"/>
  <sheetViews>
    <sheetView showGridLines="0" zoomScale="110" zoomScaleNormal="110" workbookViewId="0">
      <pane xSplit="1" ySplit="2" topLeftCell="Z7" activePane="bottomRight" state="frozen"/>
      <selection activeCell="Q2" sqref="Q2"/>
      <selection pane="topRight" activeCell="Q2" sqref="Q2"/>
      <selection pane="bottomLeft" activeCell="Q2" sqref="Q2"/>
      <selection pane="bottomRight" activeCell="AC7" sqref="AC7"/>
    </sheetView>
  </sheetViews>
  <sheetFormatPr defaultRowHeight="15" outlineLevelCol="1"/>
  <cols>
    <col min="1" max="1" width="48.140625" customWidth="1"/>
    <col min="2" max="11" width="12.140625" style="25" hidden="1" customWidth="1"/>
    <col min="12" max="20" width="12.140625" style="25" hidden="1" customWidth="1" outlineLevel="1"/>
    <col min="21" max="21" width="12.140625" style="25" customWidth="1" collapsed="1"/>
    <col min="22" max="22" width="12.140625" style="25" customWidth="1"/>
    <col min="23" max="32" width="12.140625" customWidth="1"/>
    <col min="33" max="33" width="31.42578125" style="315" customWidth="1"/>
    <col min="34" max="39" width="9.140625" customWidth="1"/>
    <col min="40" max="40" width="29.140625" customWidth="1" outlineLevel="1"/>
    <col min="41" max="45" width="9.140625" customWidth="1" outlineLevel="1"/>
  </cols>
  <sheetData>
    <row r="1" spans="1:33">
      <c r="A1" s="14" t="s">
        <v>31</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row>
    <row r="2" spans="1:33">
      <c r="B2" s="106" t="str">
        <f>ProForma_IS_Annual!B2</f>
        <v>CY2000A</v>
      </c>
      <c r="C2" s="106" t="str">
        <f>ProForma_IS_Annual!C2</f>
        <v>CY2001A</v>
      </c>
      <c r="D2" s="106" t="str">
        <f>ProForma_IS_Annual!D2</f>
        <v>CY2002A</v>
      </c>
      <c r="E2" s="106" t="str">
        <f>ProForma_IS_Annual!E2</f>
        <v>CY2003A</v>
      </c>
      <c r="F2" s="106" t="str">
        <f>ProForma_IS_Annual!F2</f>
        <v>CY2004A</v>
      </c>
      <c r="G2" s="106" t="str">
        <f>ProForma_IS_Annual!G2</f>
        <v>CY2005A</v>
      </c>
      <c r="H2" s="106" t="str">
        <f>ProForma_IS_Annual!H2</f>
        <v>CY2006A</v>
      </c>
      <c r="I2" s="106" t="str">
        <f>ProForma_IS_Annual!I2</f>
        <v>CY2007A</v>
      </c>
      <c r="J2" s="106" t="str">
        <f>ProForma_IS_Annual!J2</f>
        <v>CY2008A</v>
      </c>
      <c r="K2" s="106" t="str">
        <f>ProForma_IS_Annual!K2</f>
        <v>CY2009A</v>
      </c>
      <c r="L2" s="106" t="str">
        <f>ProForma_IS_Annual!L2</f>
        <v>CY2010A</v>
      </c>
      <c r="M2" s="106" t="str">
        <f>ProForma_IS_Annual!M2</f>
        <v>CY2011A</v>
      </c>
      <c r="N2" s="106" t="str">
        <f>ProForma_IS_Annual!N2</f>
        <v>CY2012A</v>
      </c>
      <c r="O2" s="106" t="str">
        <f>ProForma_IS_Annual!O2</f>
        <v>CY2013A</v>
      </c>
      <c r="P2" s="106" t="str">
        <f>ProForma_IS_Annual!P2</f>
        <v>CY2014A</v>
      </c>
      <c r="Q2" s="106" t="str">
        <f>ProForma_IS_Annual!Q2</f>
        <v>CY2015A</v>
      </c>
      <c r="R2" s="106" t="str">
        <f>ProForma_IS_Annual!R2</f>
        <v>CY2016A</v>
      </c>
      <c r="S2" s="106" t="str">
        <f>ProForma_IS_Annual!S2</f>
        <v>CY2017A</v>
      </c>
      <c r="T2" s="106" t="str">
        <f>ProForma_IS_Annual!T2</f>
        <v>CY2018A</v>
      </c>
      <c r="U2" s="106" t="str">
        <f>ProForma_IS_Annual!U2</f>
        <v>CY2019A</v>
      </c>
      <c r="V2" s="106" t="str">
        <f>ProForma_IS_Annual!V2</f>
        <v>CY2020A</v>
      </c>
      <c r="W2" s="106" t="str">
        <f>ProForma_IS_Annual!W2</f>
        <v>CY2021A</v>
      </c>
      <c r="X2" s="106" t="str">
        <f>ProForma_IS_Annual!X2</f>
        <v>CY2022A</v>
      </c>
      <c r="Y2" s="106" t="str">
        <f>ProForma_IS_Annual!Y2</f>
        <v>CY2023A</v>
      </c>
      <c r="Z2" s="106" t="str">
        <f>ProForma_IS_Annual!Z2</f>
        <v>CY2024A</v>
      </c>
      <c r="AA2" s="106" t="str">
        <f>ProForma_IS_Annual!AA2</f>
        <v>CY2025A</v>
      </c>
      <c r="AB2" s="106" t="str">
        <f>ProForma_IS_Annual!AB2</f>
        <v>CY2026E</v>
      </c>
      <c r="AC2" s="106" t="str">
        <f>ProForma_IS_Annual!AC2</f>
        <v>CY2027E</v>
      </c>
      <c r="AD2" s="106" t="str">
        <f>ProForma_IS_Annual!AD2</f>
        <v>CY2028E</v>
      </c>
      <c r="AE2" s="106" t="str">
        <f>ProForma_IS_Annual!AE2</f>
        <v>CY2029E</v>
      </c>
      <c r="AF2" s="106" t="str">
        <f>ProForma_IS_Annual!AF2</f>
        <v>CY2030E</v>
      </c>
      <c r="AG2" s="314" t="s">
        <v>420</v>
      </c>
    </row>
    <row r="3" spans="1:33">
      <c r="A3" s="4" t="str">
        <f>Cash_Flow_Qtr!A3</f>
        <v>Operating activities</v>
      </c>
      <c r="B3" s="26"/>
      <c r="C3" s="26"/>
      <c r="D3" s="26"/>
      <c r="E3" s="26"/>
      <c r="F3" s="26"/>
      <c r="G3" s="26"/>
      <c r="H3" s="26"/>
      <c r="I3" s="26"/>
      <c r="J3" s="26"/>
      <c r="K3" s="26"/>
      <c r="L3" s="26"/>
      <c r="M3" s="26"/>
      <c r="N3" s="26"/>
      <c r="O3" s="26"/>
      <c r="P3" s="79"/>
      <c r="Q3" s="26"/>
      <c r="R3" s="26"/>
      <c r="S3" s="26"/>
      <c r="T3" s="26"/>
      <c r="U3" s="26"/>
      <c r="V3" s="26"/>
      <c r="W3" s="206"/>
      <c r="X3" s="206"/>
      <c r="Y3" s="206"/>
      <c r="Z3" s="206"/>
      <c r="AA3" s="206"/>
      <c r="AB3" s="206"/>
      <c r="AC3" s="206"/>
      <c r="AD3" s="206"/>
      <c r="AE3" s="206"/>
      <c r="AF3" s="206"/>
    </row>
    <row r="4" spans="1:33">
      <c r="A4" s="1" t="str">
        <f>Cash_Flow_Qtr!A4</f>
        <v>Net Earnings</v>
      </c>
      <c r="B4" s="43"/>
      <c r="C4" s="43"/>
      <c r="D4" s="43"/>
      <c r="E4" s="38"/>
      <c r="F4" s="38"/>
      <c r="G4" s="38"/>
      <c r="H4" s="38"/>
      <c r="I4" s="38"/>
      <c r="J4" s="38"/>
      <c r="K4" s="38"/>
      <c r="L4" s="38"/>
      <c r="M4" s="38"/>
      <c r="N4" s="38"/>
      <c r="O4" s="38"/>
      <c r="P4" s="38"/>
      <c r="Q4" s="38">
        <f>+Cash_Flow_Qtr!F4</f>
        <v>0</v>
      </c>
      <c r="R4" s="38">
        <f>+Cash_Flow_Qtr!K4</f>
        <v>0</v>
      </c>
      <c r="S4" s="38">
        <f>+Cash_Flow_Qtr!P4</f>
        <v>0</v>
      </c>
      <c r="T4" s="38">
        <f>+Cash_Flow_Qtr!U4</f>
        <v>0</v>
      </c>
      <c r="U4" s="38">
        <f>+Cash_Flow_Qtr!Z4</f>
        <v>3731</v>
      </c>
      <c r="V4" s="38">
        <f>+Cash_Flow_Qtr!AE4</f>
        <v>-2928</v>
      </c>
      <c r="W4" s="38">
        <f>+Cash_Flow_Qtr!AJ4</f>
        <v>4145</v>
      </c>
      <c r="X4" s="38">
        <f>+Cash_Flow_Qtr!AO4</f>
        <v>5327</v>
      </c>
      <c r="Y4" s="38">
        <f>+Cash_Flow_Qtr!AT4</f>
        <v>3380</v>
      </c>
      <c r="Z4" s="38">
        <f>+Cash_Flow_Qtr!AY4</f>
        <v>5013</v>
      </c>
      <c r="AA4" s="38">
        <f>+Cash_Flow_Qtr!BD4</f>
        <v>7069</v>
      </c>
      <c r="AB4" s="38">
        <f>+Cash_Flow_Qtr!BI4</f>
        <v>8758.7261719924991</v>
      </c>
      <c r="AC4" s="38">
        <f>ProForma_IS_Annual!AC49-ProForma_IS_Annual!AC43-ProForma_IS_Annual!AC48</f>
        <v>9554.0254253455951</v>
      </c>
      <c r="AD4" s="38">
        <f>ProForma_IS_Annual!AD49-ProForma_IS_Annual!AD43-ProForma_IS_Annual!AD48</f>
        <v>10380.121273222008</v>
      </c>
      <c r="AE4" s="38">
        <f>ProForma_IS_Annual!AE49-ProForma_IS_Annual!AE43-ProForma_IS_Annual!AE48</f>
        <v>11297.252105057216</v>
      </c>
      <c r="AF4" s="38">
        <f>ProForma_IS_Annual!AF49-ProForma_IS_Annual!AF43-ProForma_IS_Annual!AF48</f>
        <v>12163.439235621656</v>
      </c>
    </row>
    <row r="5" spans="1:33">
      <c r="A5" s="1" t="str">
        <f>Cash_Flow_Qtr!A5</f>
        <v>Depreciation and Amortization</v>
      </c>
      <c r="B5" s="43"/>
      <c r="C5" s="43"/>
      <c r="D5" s="43"/>
      <c r="E5" s="43"/>
      <c r="F5" s="43"/>
      <c r="G5" s="43"/>
      <c r="H5" s="43"/>
      <c r="I5" s="43"/>
      <c r="J5" s="43"/>
      <c r="K5" s="43"/>
      <c r="L5" s="43"/>
      <c r="M5" s="43"/>
      <c r="N5" s="43"/>
      <c r="O5" s="43"/>
      <c r="P5" s="43"/>
      <c r="Q5" s="38">
        <f>+Cash_Flow_Qtr!F5</f>
        <v>0</v>
      </c>
      <c r="R5" s="38">
        <f>+Cash_Flow_Qtr!K5</f>
        <v>0</v>
      </c>
      <c r="S5" s="38">
        <f>+Cash_Flow_Qtr!P5</f>
        <v>0</v>
      </c>
      <c r="T5" s="38" t="str">
        <f>+Cash_Flow_Qtr!U5</f>
        <v>ND</v>
      </c>
      <c r="U5" s="38">
        <f>+Cash_Flow_Qtr!Z5</f>
        <v>2708</v>
      </c>
      <c r="V5" s="38">
        <f>+Cash_Flow_Qtr!AE5</f>
        <v>4156</v>
      </c>
      <c r="W5" s="38">
        <f>+Cash_Flow_Qtr!AJ5</f>
        <v>4557</v>
      </c>
      <c r="X5" s="38">
        <f>+Cash_Flow_Qtr!AO5</f>
        <v>4108</v>
      </c>
      <c r="Y5" s="38">
        <f>+Cash_Flow_Qtr!AT5</f>
        <v>4211</v>
      </c>
      <c r="Z5" s="38">
        <f>+Cash_Flow_Qtr!AY5</f>
        <v>4364</v>
      </c>
      <c r="AA5" s="38">
        <f>+Cash_Flow_Qtr!BD5</f>
        <v>4378</v>
      </c>
      <c r="AB5" s="38">
        <f>+Cash_Flow_Qtr!BI5</f>
        <v>4214.4440000000004</v>
      </c>
      <c r="AC5" s="22">
        <f>AC64+AC66</f>
        <v>4267.9576903937505</v>
      </c>
      <c r="AD5" s="22">
        <f>AD64+AD66</f>
        <v>4258.9953265394934</v>
      </c>
      <c r="AE5" s="22">
        <f>AE64+AE66</f>
        <v>4193.7294829430111</v>
      </c>
      <c r="AF5" s="22">
        <f>AF64+AF66</f>
        <v>4277.4001958005401</v>
      </c>
    </row>
    <row r="6" spans="1:33">
      <c r="A6" s="1" t="str">
        <f>Cash_Flow_Qtr!A6</f>
        <v>Deferred Income Taxes</v>
      </c>
      <c r="B6" s="43"/>
      <c r="C6" s="43"/>
      <c r="D6" s="43"/>
      <c r="E6" s="43"/>
      <c r="F6" s="43"/>
      <c r="G6" s="43"/>
      <c r="H6" s="43"/>
      <c r="I6" s="43"/>
      <c r="J6" s="43"/>
      <c r="K6" s="43"/>
      <c r="L6" s="43"/>
      <c r="M6" s="43"/>
      <c r="N6" s="43"/>
      <c r="O6" s="43"/>
      <c r="P6" s="43"/>
      <c r="Q6" s="38">
        <f>+Cash_Flow_Qtr!F6</f>
        <v>0</v>
      </c>
      <c r="R6" s="38">
        <f>+Cash_Flow_Qtr!K6</f>
        <v>0</v>
      </c>
      <c r="S6" s="38">
        <f>+Cash_Flow_Qtr!P6</f>
        <v>0</v>
      </c>
      <c r="T6" s="38">
        <f>+Cash_Flow_Qtr!U6</f>
        <v>0</v>
      </c>
      <c r="U6" s="38">
        <f>+Cash_Flow_Qtr!Z6</f>
        <v>38</v>
      </c>
      <c r="V6" s="38">
        <f>+Cash_Flow_Qtr!AE6</f>
        <v>-99</v>
      </c>
      <c r="W6" s="38">
        <f>+Cash_Flow_Qtr!AJ6</f>
        <v>-88</v>
      </c>
      <c r="X6" s="38">
        <f>+Cash_Flow_Qtr!AO6</f>
        <v>-1663</v>
      </c>
      <c r="Y6" s="38">
        <f>+Cash_Flow_Qtr!AT6</f>
        <v>-402</v>
      </c>
      <c r="Z6" s="38">
        <f>+Cash_Flow_Qtr!AY6</f>
        <v>-47</v>
      </c>
      <c r="AA6" s="38">
        <f>+Cash_Flow_Qtr!BD6</f>
        <v>789</v>
      </c>
      <c r="AB6" s="38">
        <f>+Cash_Flow_Qtr!BI6</f>
        <v>200</v>
      </c>
      <c r="AC6" s="43">
        <v>-50</v>
      </c>
      <c r="AD6" s="43">
        <v>-50</v>
      </c>
      <c r="AE6" s="43">
        <v>-50</v>
      </c>
      <c r="AF6" s="43">
        <v>-50</v>
      </c>
    </row>
    <row r="7" spans="1:33">
      <c r="A7" s="1" t="str">
        <f>Cash_Flow_Qtr!A7</f>
        <v>Stock-Based Compensation</v>
      </c>
      <c r="B7" s="43"/>
      <c r="C7" s="43"/>
      <c r="D7" s="43"/>
      <c r="E7" s="43"/>
      <c r="F7" s="43"/>
      <c r="G7" s="43"/>
      <c r="H7" s="43"/>
      <c r="I7" s="43"/>
      <c r="J7" s="43"/>
      <c r="K7" s="43"/>
      <c r="L7" s="43"/>
      <c r="M7" s="43"/>
      <c r="N7" s="43"/>
      <c r="O7" s="43"/>
      <c r="P7" s="43"/>
      <c r="Q7" s="38">
        <f>+Cash_Flow_Qtr!F7</f>
        <v>0</v>
      </c>
      <c r="R7" s="38">
        <f>+Cash_Flow_Qtr!K7</f>
        <v>0</v>
      </c>
      <c r="S7" s="38">
        <f>+Cash_Flow_Qtr!P7</f>
        <v>0</v>
      </c>
      <c r="T7" s="38">
        <f>+Cash_Flow_Qtr!U7</f>
        <v>0</v>
      </c>
      <c r="U7" s="38">
        <f>+Cash_Flow_Qtr!Z7</f>
        <v>268</v>
      </c>
      <c r="V7" s="38">
        <f>+Cash_Flow_Qtr!AE7</f>
        <v>330</v>
      </c>
      <c r="W7" s="38">
        <f>+Cash_Flow_Qtr!AJ7</f>
        <v>442</v>
      </c>
      <c r="X7" s="38">
        <f>+Cash_Flow_Qtr!AO7</f>
        <v>420</v>
      </c>
      <c r="Y7" s="38">
        <f>+Cash_Flow_Qtr!AT7</f>
        <v>425</v>
      </c>
      <c r="Z7" s="38">
        <f>+Cash_Flow_Qtr!AY7</f>
        <v>437</v>
      </c>
      <c r="AA7" s="38">
        <f>+Cash_Flow_Qtr!BD7</f>
        <v>519</v>
      </c>
      <c r="AB7" s="38">
        <f>+Cash_Flow_Qtr!BI7</f>
        <v>600</v>
      </c>
      <c r="AC7" s="43">
        <v>450</v>
      </c>
      <c r="AD7" s="43">
        <v>450</v>
      </c>
      <c r="AE7" s="43">
        <v>450</v>
      </c>
      <c r="AF7" s="43">
        <v>450</v>
      </c>
    </row>
    <row r="8" spans="1:33">
      <c r="A8" s="1" t="str">
        <f>Cash_Flow_Qtr!A8</f>
        <v>Net Periodic Pension and Other Postretirement Benefit</v>
      </c>
      <c r="B8" s="43"/>
      <c r="C8" s="43"/>
      <c r="D8" s="43"/>
      <c r="E8" s="43"/>
      <c r="F8" s="43"/>
      <c r="G8" s="43"/>
      <c r="H8" s="43"/>
      <c r="I8" s="43"/>
      <c r="J8" s="43"/>
      <c r="K8" s="43"/>
      <c r="L8" s="43"/>
      <c r="M8" s="43"/>
      <c r="N8" s="43"/>
      <c r="O8" s="43"/>
      <c r="P8" s="43"/>
      <c r="Q8" s="38">
        <f>+Cash_Flow_Qtr!F8</f>
        <v>0</v>
      </c>
      <c r="R8" s="38">
        <f>+Cash_Flow_Qtr!K8</f>
        <v>0</v>
      </c>
      <c r="S8" s="38">
        <f>+Cash_Flow_Qtr!P8</f>
        <v>0</v>
      </c>
      <c r="T8" s="38">
        <f>+Cash_Flow_Qtr!U8</f>
        <v>0</v>
      </c>
      <c r="U8" s="38">
        <f>+Cash_Flow_Qtr!Z8</f>
        <v>-566</v>
      </c>
      <c r="V8" s="38">
        <f>+Cash_Flow_Qtr!AE8</f>
        <v>-413</v>
      </c>
      <c r="W8" s="38">
        <f>+Cash_Flow_Qtr!AJ8</f>
        <v>-1414</v>
      </c>
      <c r="X8" s="38">
        <f>+Cash_Flow_Qtr!AO8</f>
        <v>-1413</v>
      </c>
      <c r="Y8" s="38">
        <f>+Cash_Flow_Qtr!AT8</f>
        <v>-1555</v>
      </c>
      <c r="Z8" s="38">
        <f>+Cash_Flow_Qtr!AY8</f>
        <v>-1326</v>
      </c>
      <c r="AA8" s="38">
        <f>+Cash_Flow_Qtr!BD8</f>
        <v>-1011</v>
      </c>
      <c r="AB8" s="38">
        <f>+Cash_Flow_Qtr!BI8</f>
        <v>-1050</v>
      </c>
      <c r="AC8" s="43">
        <f>AC85</f>
        <v>-1106</v>
      </c>
      <c r="AD8" s="43">
        <f t="shared" ref="AD8:AE8" si="0">AD85</f>
        <v>-967.75</v>
      </c>
      <c r="AE8" s="43">
        <f t="shared" si="0"/>
        <v>-876.90000000000009</v>
      </c>
      <c r="AF8" s="43">
        <f t="shared" ref="AF8" si="1">AF85</f>
        <v>-876.90000000000009</v>
      </c>
    </row>
    <row r="9" spans="1:33">
      <c r="A9" s="1" t="str">
        <f>Cash_Flow_Qtr!A9</f>
        <v>Goodwill impairment loss</v>
      </c>
      <c r="B9" s="43"/>
      <c r="C9" s="43"/>
      <c r="D9" s="43"/>
      <c r="E9" s="43"/>
      <c r="F9" s="43"/>
      <c r="G9" s="43"/>
      <c r="H9" s="43"/>
      <c r="I9" s="43"/>
      <c r="J9" s="43"/>
      <c r="K9" s="43"/>
      <c r="L9" s="43"/>
      <c r="M9" s="43"/>
      <c r="N9" s="43"/>
      <c r="O9" s="43"/>
      <c r="P9" s="43"/>
      <c r="Q9" s="38">
        <f>+Cash_Flow_Qtr!F9</f>
        <v>0</v>
      </c>
      <c r="R9" s="38">
        <f>+Cash_Flow_Qtr!K9</f>
        <v>0</v>
      </c>
      <c r="S9" s="38">
        <f>+Cash_Flow_Qtr!P9</f>
        <v>0</v>
      </c>
      <c r="T9" s="38">
        <f>+Cash_Flow_Qtr!U9</f>
        <v>0</v>
      </c>
      <c r="U9" s="38">
        <f>+Cash_Flow_Qtr!Z9</f>
        <v>0</v>
      </c>
      <c r="V9" s="38">
        <f>+Cash_Flow_Qtr!AE9</f>
        <v>3183</v>
      </c>
      <c r="W9" s="38">
        <f>+Cash_Flow_Qtr!AJ9</f>
        <v>0</v>
      </c>
      <c r="X9" s="38">
        <f>+Cash_Flow_Qtr!AO9</f>
        <v>0</v>
      </c>
      <c r="Y9" s="38">
        <f>+Cash_Flow_Qtr!AT9</f>
        <v>0</v>
      </c>
      <c r="Z9" s="38">
        <f>+Cash_Flow_Qtr!AY9</f>
        <v>0</v>
      </c>
      <c r="AA9" s="38">
        <f>+Cash_Flow_Qtr!BD9</f>
        <v>0</v>
      </c>
      <c r="AB9" s="38">
        <f>+Cash_Flow_Qtr!BI9</f>
        <v>0</v>
      </c>
      <c r="AC9" s="43">
        <v>0</v>
      </c>
      <c r="AD9" s="43">
        <v>0</v>
      </c>
      <c r="AE9" s="43">
        <v>0</v>
      </c>
      <c r="AF9" s="43">
        <v>0</v>
      </c>
    </row>
    <row r="10" spans="1:33">
      <c r="A10" s="1" t="str">
        <f>Cash_Flow_Qtr!A10</f>
        <v>Changes in Assets and Liabilities</v>
      </c>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38"/>
      <c r="AD10" s="38"/>
      <c r="AE10" s="38"/>
      <c r="AF10" s="38"/>
    </row>
    <row r="11" spans="1:33">
      <c r="A11" s="3" t="str">
        <f>Cash_Flow_Qtr!A11</f>
        <v>Receivables, Net</v>
      </c>
      <c r="B11" s="43"/>
      <c r="C11" s="43"/>
      <c r="D11" s="43"/>
      <c r="E11" s="43"/>
      <c r="F11" s="43"/>
      <c r="G11" s="43"/>
      <c r="H11" s="43"/>
      <c r="I11" s="43"/>
      <c r="J11" s="43"/>
      <c r="K11" s="43"/>
      <c r="L11" s="43"/>
      <c r="M11" s="43"/>
      <c r="N11" s="43"/>
      <c r="O11" s="43"/>
      <c r="P11" s="43"/>
      <c r="Q11" s="38">
        <f>+Cash_Flow_Qtr!F11</f>
        <v>0</v>
      </c>
      <c r="R11" s="38">
        <f>+Cash_Flow_Qtr!K11</f>
        <v>0</v>
      </c>
      <c r="S11" s="38">
        <f>+Cash_Flow_Qtr!P11</f>
        <v>0</v>
      </c>
      <c r="T11" s="38">
        <f>+Cash_Flow_Qtr!U11</f>
        <v>0</v>
      </c>
      <c r="U11" s="38">
        <f>+Cash_Flow_Qtr!Z11</f>
        <v>88</v>
      </c>
      <c r="V11" s="38">
        <f>+Cash_Flow_Qtr!AE11</f>
        <v>1318</v>
      </c>
      <c r="W11" s="38">
        <f>+Cash_Flow_Qtr!AJ11</f>
        <v>-570</v>
      </c>
      <c r="X11" s="38">
        <f>+Cash_Flow_Qtr!AO11</f>
        <v>437</v>
      </c>
      <c r="Y11" s="38">
        <f>+Cash_Flow_Qtr!AT11</f>
        <v>-1805</v>
      </c>
      <c r="Z11" s="38">
        <f>+Cash_Flow_Qtr!AY11</f>
        <v>-175</v>
      </c>
      <c r="AA11" s="38">
        <f>+Cash_Flow_Qtr!BD11</f>
        <v>-3235</v>
      </c>
      <c r="AB11" s="38">
        <f>+Cash_Flow_Qtr!BI11</f>
        <v>-743.8301917808185</v>
      </c>
      <c r="AC11" s="38">
        <f>(Balance_Sheet_Annual!AB7-Balance_Sheet_Annual!AC7)</f>
        <v>231.15181092018611</v>
      </c>
      <c r="AD11" s="38">
        <f>(Balance_Sheet_Annual!AC7-Balance_Sheet_Annual!AD7)</f>
        <v>21.628942184373955</v>
      </c>
      <c r="AE11" s="38">
        <f>(Balance_Sheet_Annual!AD7-Balance_Sheet_Annual!AE7)</f>
        <v>435.70906019876566</v>
      </c>
      <c r="AF11" s="38">
        <f>(Balance_Sheet_Annual!AE7-Balance_Sheet_Annual!AF7)</f>
        <v>-147.35643685282957</v>
      </c>
    </row>
    <row r="12" spans="1:33">
      <c r="A12" s="3" t="str">
        <f>Cash_Flow_Qtr!A12</f>
        <v>Contract Assets</v>
      </c>
      <c r="B12" s="43"/>
      <c r="C12" s="43"/>
      <c r="D12" s="43"/>
      <c r="E12" s="43"/>
      <c r="F12" s="43"/>
      <c r="G12" s="43"/>
      <c r="H12" s="43"/>
      <c r="I12" s="43"/>
      <c r="J12" s="43"/>
      <c r="K12" s="43"/>
      <c r="L12" s="43"/>
      <c r="M12" s="43"/>
      <c r="N12" s="43"/>
      <c r="O12" s="43"/>
      <c r="P12" s="43"/>
      <c r="Q12" s="38">
        <f>+Cash_Flow_Qtr!F12</f>
        <v>0</v>
      </c>
      <c r="R12" s="38">
        <f>+Cash_Flow_Qtr!K12</f>
        <v>0</v>
      </c>
      <c r="S12" s="38">
        <f>+Cash_Flow_Qtr!P12</f>
        <v>0</v>
      </c>
      <c r="T12" s="38">
        <f>+Cash_Flow_Qtr!U12</f>
        <v>0</v>
      </c>
      <c r="U12" s="38">
        <f>+Cash_Flow_Qtr!Z12</f>
        <v>-679</v>
      </c>
      <c r="V12" s="38">
        <f>+Cash_Flow_Qtr!AE12</f>
        <v>63</v>
      </c>
      <c r="W12" s="38">
        <f>+Cash_Flow_Qtr!AJ12</f>
        <v>-1594</v>
      </c>
      <c r="X12" s="38">
        <f>+Cash_Flow_Qtr!AO12</f>
        <v>-234</v>
      </c>
      <c r="Y12" s="38">
        <f>+Cash_Flow_Qtr!AT12</f>
        <v>-753</v>
      </c>
      <c r="Z12" s="38">
        <f>+Cash_Flow_Qtr!AY12</f>
        <v>-2414</v>
      </c>
      <c r="AA12" s="38">
        <f>+Cash_Flow_Qtr!BD12</f>
        <v>-2643</v>
      </c>
      <c r="AB12" s="38">
        <f>+Cash_Flow_Qtr!BI12</f>
        <v>-845.80755068492726</v>
      </c>
      <c r="AC12" s="38">
        <f>(Balance_Sheet_Annual!AB8-Balance_Sheet_Annual!AC8)</f>
        <v>-209.20001977108041</v>
      </c>
      <c r="AD12" s="38">
        <f>(Balance_Sheet_Annual!AC8-Balance_Sheet_Annual!AD8)</f>
        <v>177.18129506032346</v>
      </c>
      <c r="AE12" s="38">
        <f>(Balance_Sheet_Annual!AD8-Balance_Sheet_Annual!AE8)</f>
        <v>-319.54334859795199</v>
      </c>
      <c r="AF12" s="38">
        <f>(Balance_Sheet_Annual!AE8-Balance_Sheet_Annual!AF8)</f>
        <v>-233.26836415126672</v>
      </c>
    </row>
    <row r="13" spans="1:33">
      <c r="A13" s="3" t="str">
        <f>Cash_Flow_Qtr!A13</f>
        <v>Inventories</v>
      </c>
      <c r="B13" s="43"/>
      <c r="C13" s="43"/>
      <c r="D13" s="43"/>
      <c r="E13" s="43"/>
      <c r="F13" s="43"/>
      <c r="G13" s="43"/>
      <c r="H13" s="43"/>
      <c r="I13" s="43"/>
      <c r="J13" s="43"/>
      <c r="K13" s="43"/>
      <c r="L13" s="43"/>
      <c r="M13" s="43"/>
      <c r="N13" s="43"/>
      <c r="O13" s="43"/>
      <c r="P13" s="43"/>
      <c r="Q13" s="38">
        <f>+Cash_Flow_Qtr!F13</f>
        <v>0</v>
      </c>
      <c r="R13" s="38">
        <f>+Cash_Flow_Qtr!K13</f>
        <v>0</v>
      </c>
      <c r="S13" s="38">
        <f>+Cash_Flow_Qtr!P13</f>
        <v>0</v>
      </c>
      <c r="T13" s="38">
        <f>+Cash_Flow_Qtr!U13</f>
        <v>0</v>
      </c>
      <c r="U13" s="38">
        <f>+Cash_Flow_Qtr!Z13</f>
        <v>-1267</v>
      </c>
      <c r="V13" s="38">
        <f>+Cash_Flow_Qtr!AE13</f>
        <v>412</v>
      </c>
      <c r="W13" s="38">
        <f>+Cash_Flow_Qtr!AJ13</f>
        <v>163</v>
      </c>
      <c r="X13" s="38">
        <f>+Cash_Flow_Qtr!AO13</f>
        <v>-1575</v>
      </c>
      <c r="Y13" s="38">
        <f>+Cash_Flow_Qtr!AT13</f>
        <v>-1104</v>
      </c>
      <c r="Z13" s="38">
        <f>+Cash_Flow_Qtr!AY13</f>
        <v>-1474</v>
      </c>
      <c r="AA13" s="38">
        <f>+Cash_Flow_Qtr!BD13</f>
        <v>-532</v>
      </c>
      <c r="AB13" s="38">
        <f>+Cash_Flow_Qtr!BI13</f>
        <v>-1261.9636632328766</v>
      </c>
      <c r="AC13" s="38">
        <f>(Balance_Sheet_Annual!AB9-Balance_Sheet_Annual!AC9)</f>
        <v>958.20798539087264</v>
      </c>
      <c r="AD13" s="38">
        <f>(Balance_Sheet_Annual!AC9-Balance_Sheet_Annual!AD9)</f>
        <v>670.36075955711385</v>
      </c>
      <c r="AE13" s="38">
        <f>(Balance_Sheet_Annual!AD9-Balance_Sheet_Annual!AE9)</f>
        <v>-54.005573241625825</v>
      </c>
      <c r="AF13" s="38">
        <f>(Balance_Sheet_Annual!AE9-Balance_Sheet_Annual!AF9)</f>
        <v>-695.17143872585802</v>
      </c>
    </row>
    <row r="14" spans="1:33">
      <c r="A14" s="3" t="str">
        <f>Cash_Flow_Qtr!A14</f>
        <v>Other Current Assets</v>
      </c>
      <c r="B14" s="43"/>
      <c r="C14" s="43"/>
      <c r="D14" s="43"/>
      <c r="E14" s="43"/>
      <c r="F14" s="43"/>
      <c r="G14" s="43"/>
      <c r="H14" s="43"/>
      <c r="I14" s="43"/>
      <c r="J14" s="43"/>
      <c r="K14" s="43"/>
      <c r="L14" s="43"/>
      <c r="M14" s="43"/>
      <c r="N14" s="43"/>
      <c r="O14" s="43"/>
      <c r="P14" s="43"/>
      <c r="Q14" s="38">
        <f>+Cash_Flow_Qtr!F14</f>
        <v>0</v>
      </c>
      <c r="R14" s="38">
        <f>+Cash_Flow_Qtr!K14</f>
        <v>0</v>
      </c>
      <c r="S14" s="38">
        <f>+Cash_Flow_Qtr!P14</f>
        <v>0</v>
      </c>
      <c r="T14" s="38">
        <f>+Cash_Flow_Qtr!U14</f>
        <v>0</v>
      </c>
      <c r="U14" s="38">
        <f>+Cash_Flow_Qtr!Z14</f>
        <v>-984</v>
      </c>
      <c r="V14" s="38">
        <f>+Cash_Flow_Qtr!AE14</f>
        <v>-445</v>
      </c>
      <c r="W14" s="38">
        <f>+Cash_Flow_Qtr!AJ14</f>
        <v>-566</v>
      </c>
      <c r="X14" s="38">
        <f>+Cash_Flow_Qtr!AO14</f>
        <v>-1027</v>
      </c>
      <c r="Y14" s="38">
        <f>+Cash_Flow_Qtr!AT14</f>
        <v>-1161</v>
      </c>
      <c r="Z14" s="38">
        <f>+Cash_Flow_Qtr!AY14</f>
        <v>-402</v>
      </c>
      <c r="AA14" s="38">
        <f>+Cash_Flow_Qtr!BD14</f>
        <v>-1055</v>
      </c>
      <c r="AB14" s="38">
        <f>+Cash_Flow_Qtr!BI14</f>
        <v>-450.08357519999845</v>
      </c>
      <c r="AC14" s="38">
        <f>(Balance_Sheet_Annual!AB11-Balance_Sheet_Annual!AC11)</f>
        <v>168.52223877995948</v>
      </c>
      <c r="AD14" s="38">
        <f>(Balance_Sheet_Annual!AC11-Balance_Sheet_Annual!AD11)</f>
        <v>114.23907325647087</v>
      </c>
      <c r="AE14" s="38">
        <f>(Balance_Sheet_Annual!AD11-Balance_Sheet_Annual!AE11)</f>
        <v>-98.672459130181778</v>
      </c>
      <c r="AF14" s="38">
        <f>(Balance_Sheet_Annual!AE11-Balance_Sheet_Annual!AF11)</f>
        <v>-431.10753056907015</v>
      </c>
    </row>
    <row r="15" spans="1:33">
      <c r="A15" s="3" t="str">
        <f>Cash_Flow_Qtr!A15</f>
        <v>Accounts Payable and Accrued Liabilities</v>
      </c>
      <c r="B15" s="43"/>
      <c r="C15" s="43"/>
      <c r="D15" s="43"/>
      <c r="E15" s="43"/>
      <c r="F15" s="43"/>
      <c r="G15" s="43"/>
      <c r="H15" s="43"/>
      <c r="I15" s="43"/>
      <c r="J15" s="43"/>
      <c r="K15" s="43"/>
      <c r="L15" s="43"/>
      <c r="M15" s="43"/>
      <c r="N15" s="43"/>
      <c r="O15" s="43"/>
      <c r="P15" s="43"/>
      <c r="Q15" s="38">
        <f>+Cash_Flow_Qtr!F15</f>
        <v>0</v>
      </c>
      <c r="R15" s="38">
        <f>+Cash_Flow_Qtr!K15</f>
        <v>0</v>
      </c>
      <c r="S15" s="38">
        <f>+Cash_Flow_Qtr!P15</f>
        <v>0</v>
      </c>
      <c r="T15" s="38">
        <f>+Cash_Flow_Qtr!U15</f>
        <v>0</v>
      </c>
      <c r="U15" s="38">
        <f>+Cash_Flow_Qtr!Z15</f>
        <v>1111</v>
      </c>
      <c r="V15" s="38">
        <f>+Cash_Flow_Qtr!AE15</f>
        <v>-1666</v>
      </c>
      <c r="W15" s="38">
        <f>+Cash_Flow_Qtr!AJ15</f>
        <v>917</v>
      </c>
      <c r="X15" s="38">
        <f>+Cash_Flow_Qtr!AO15</f>
        <v>2075</v>
      </c>
      <c r="Y15" s="38">
        <f>+Cash_Flow_Qtr!AT15</f>
        <v>4016</v>
      </c>
      <c r="Z15" s="38">
        <f>+Cash_Flow_Qtr!AY15</f>
        <v>1508</v>
      </c>
      <c r="AA15" s="38">
        <f>+Cash_Flow_Qtr!BD15</f>
        <v>3418</v>
      </c>
      <c r="AB15" s="38">
        <f>+Cash_Flow_Qtr!BI15</f>
        <v>1276.3792899725995</v>
      </c>
      <c r="AC15" s="38">
        <f>(Balance_Sheet_Annual!AC29-Balance_Sheet_Annual!AB29)+(Balance_Sheet_Annual!AC30-Balance_Sheet_Annual!AB30)</f>
        <v>-121.32700650619336</v>
      </c>
      <c r="AD15" s="38">
        <f>(Balance_Sheet_Annual!AD29-Balance_Sheet_Annual!AC29)+(Balance_Sheet_Annual!AD30-Balance_Sheet_Annual!AC30)</f>
        <v>-213.69608879245243</v>
      </c>
      <c r="AE15" s="38">
        <f>(Balance_Sheet_Annual!AE29-Balance_Sheet_Annual!AD29)+(Balance_Sheet_Annual!AE30-Balance_Sheet_Annual!AD30)</f>
        <v>-44.022633588228928</v>
      </c>
      <c r="AF15" s="38">
        <f>(Balance_Sheet_Annual!AF29-Balance_Sheet_Annual!AE29)+(Balance_Sheet_Annual!AF30-Balance_Sheet_Annual!AE30)</f>
        <v>602.90006377404643</v>
      </c>
    </row>
    <row r="16" spans="1:33">
      <c r="A16" s="3" t="str">
        <f>Cash_Flow_Qtr!A16</f>
        <v>Contract Liabilities</v>
      </c>
      <c r="B16" s="43"/>
      <c r="C16" s="43"/>
      <c r="D16" s="43"/>
      <c r="E16" s="43"/>
      <c r="F16" s="43"/>
      <c r="G16" s="43"/>
      <c r="H16" s="43"/>
      <c r="I16" s="43"/>
      <c r="J16" s="43"/>
      <c r="K16" s="43"/>
      <c r="L16" s="43"/>
      <c r="M16" s="43"/>
      <c r="N16" s="43"/>
      <c r="O16" s="43"/>
      <c r="P16" s="43"/>
      <c r="Q16" s="38">
        <f>+Cash_Flow_Qtr!F16</f>
        <v>0</v>
      </c>
      <c r="R16" s="38">
        <f>+Cash_Flow_Qtr!K16</f>
        <v>0</v>
      </c>
      <c r="S16" s="38">
        <f>+Cash_Flow_Qtr!P16</f>
        <v>0</v>
      </c>
      <c r="T16" s="38">
        <f>+Cash_Flow_Qtr!U16</f>
        <v>0</v>
      </c>
      <c r="U16" s="38">
        <f>+Cash_Flow_Qtr!Z16</f>
        <v>1234</v>
      </c>
      <c r="V16" s="38">
        <f>+Cash_Flow_Qtr!AE16</f>
        <v>1129</v>
      </c>
      <c r="W16" s="38">
        <f>+Cash_Flow_Qtr!AJ16</f>
        <v>1372</v>
      </c>
      <c r="X16" s="38">
        <f>+Cash_Flow_Qtr!AO16</f>
        <v>846</v>
      </c>
      <c r="Y16" s="38">
        <f>+Cash_Flow_Qtr!AT16</f>
        <v>2322</v>
      </c>
      <c r="Z16" s="38">
        <f>+Cash_Flow_Qtr!AY16</f>
        <v>1872</v>
      </c>
      <c r="AA16" s="38">
        <f>+Cash_Flow_Qtr!BD16</f>
        <v>2773</v>
      </c>
      <c r="AB16" s="38">
        <f>+Cash_Flow_Qtr!BI16</f>
        <v>764.75094794520191</v>
      </c>
      <c r="AC16" s="38">
        <f>(Balance_Sheet_Annual!AC31-Balance_Sheet_Annual!AB31)</f>
        <v>-810.19472816356574</v>
      </c>
      <c r="AD16" s="38">
        <f>(Balance_Sheet_Annual!AD31-Balance_Sheet_Annual!AC31)</f>
        <v>-356.80932196293361</v>
      </c>
      <c r="AE16" s="38">
        <f>(Balance_Sheet_Annual!AE31-Balance_Sheet_Annual!AD31)</f>
        <v>188.65928307011563</v>
      </c>
      <c r="AF16" s="38">
        <f>(Balance_Sheet_Annual!AF31-Balance_Sheet_Annual!AE31)</f>
        <v>692.63904210666442</v>
      </c>
    </row>
    <row r="17" spans="1:39">
      <c r="A17" s="1" t="str">
        <f>Cash_Flow_Qtr!A17</f>
        <v>Working Capital</v>
      </c>
      <c r="B17" s="75"/>
      <c r="C17" s="75"/>
      <c r="D17" s="75"/>
      <c r="E17" s="75"/>
      <c r="F17" s="75"/>
      <c r="G17" s="75"/>
      <c r="H17" s="75"/>
      <c r="I17" s="75"/>
      <c r="J17" s="75"/>
      <c r="K17" s="75"/>
      <c r="L17" s="75"/>
      <c r="M17" s="75"/>
      <c r="N17" s="75"/>
      <c r="O17" s="75"/>
      <c r="P17" s="75"/>
      <c r="Q17" s="38">
        <f>+Cash_Flow_Qtr!F17</f>
        <v>0</v>
      </c>
      <c r="R17" s="38">
        <f>+Cash_Flow_Qtr!K17</f>
        <v>0</v>
      </c>
      <c r="S17" s="38">
        <f>+Cash_Flow_Qtr!P17</f>
        <v>0</v>
      </c>
      <c r="T17" s="38">
        <f>+Cash_Flow_Qtr!U17</f>
        <v>0</v>
      </c>
      <c r="U17" s="38">
        <f>+Cash_Flow_Qtr!Z17</f>
        <v>-497</v>
      </c>
      <c r="V17" s="38">
        <f>+Cash_Flow_Qtr!AE17</f>
        <v>811</v>
      </c>
      <c r="W17" s="38">
        <f>+Cash_Flow_Qtr!AJ17</f>
        <v>-278</v>
      </c>
      <c r="X17" s="38">
        <f>+Cash_Flow_Qtr!AO17</f>
        <v>522</v>
      </c>
      <c r="Y17" s="38">
        <f>+Cash_Flow_Qtr!AT17</f>
        <v>1515</v>
      </c>
      <c r="Z17" s="38">
        <f>+Cash_Flow_Qtr!AY17</f>
        <v>-1085</v>
      </c>
      <c r="AA17" s="38">
        <f>+Cash_Flow_Qtr!BD17</f>
        <v>-1274</v>
      </c>
      <c r="AB17" s="38">
        <f>+Cash_Flow_Qtr!BI17</f>
        <v>-1260.5547429808194</v>
      </c>
      <c r="AC17" s="22">
        <f>+SUM(AC11:AC16)</f>
        <v>217.16028065017872</v>
      </c>
      <c r="AD17" s="22">
        <f>+SUM(AD11:AD16)</f>
        <v>412.90465930289611</v>
      </c>
      <c r="AE17" s="22">
        <f>+SUM(AE11:AE16)</f>
        <v>108.12432871089277</v>
      </c>
      <c r="AF17" s="22">
        <f>+SUM(AF11:AF16)</f>
        <v>-211.36466441831362</v>
      </c>
    </row>
    <row r="18" spans="1:39">
      <c r="A18" s="1" t="str">
        <f>Cash_Flow_Qtr!A18</f>
        <v>Global Pension Contributions</v>
      </c>
      <c r="B18" s="75"/>
      <c r="C18" s="75"/>
      <c r="D18" s="75"/>
      <c r="E18" s="75"/>
      <c r="F18" s="75"/>
      <c r="G18" s="75"/>
      <c r="H18" s="75"/>
      <c r="I18" s="75"/>
      <c r="J18" s="75"/>
      <c r="K18" s="75"/>
      <c r="L18" s="75"/>
      <c r="M18" s="75"/>
      <c r="N18" s="75"/>
      <c r="O18" s="75"/>
      <c r="P18" s="75"/>
      <c r="Q18" s="38">
        <f>+Cash_Flow_Qtr!F18</f>
        <v>0</v>
      </c>
      <c r="R18" s="38">
        <f>+Cash_Flow_Qtr!K18</f>
        <v>0</v>
      </c>
      <c r="S18" s="38">
        <f>+Cash_Flow_Qtr!P18</f>
        <v>0</v>
      </c>
      <c r="T18" s="38">
        <f>+Cash_Flow_Qtr!U18</f>
        <v>0</v>
      </c>
      <c r="U18" s="38">
        <f>+Cash_Flow_Qtr!Z18</f>
        <v>-55</v>
      </c>
      <c r="V18" s="38">
        <f>+Cash_Flow_Qtr!AE18</f>
        <v>-1025</v>
      </c>
      <c r="W18" s="38">
        <f>+Cash_Flow_Qtr!AJ18</f>
        <v>-59</v>
      </c>
      <c r="X18" s="38">
        <f>+Cash_Flow_Qtr!AO18</f>
        <v>-94</v>
      </c>
      <c r="Y18" s="38">
        <f>+Cash_Flow_Qtr!AT18</f>
        <v>0</v>
      </c>
      <c r="Z18" s="38">
        <f>+Cash_Flow_Qtr!AY18</f>
        <v>0</v>
      </c>
      <c r="AA18" s="38">
        <f>+Cash_Flow_Qtr!BD18</f>
        <v>0</v>
      </c>
      <c r="AB18" s="38">
        <f>+Cash_Flow_Qtr!BI18</f>
        <v>0</v>
      </c>
      <c r="AC18" s="22">
        <f>-AC87</f>
        <v>0</v>
      </c>
      <c r="AD18" s="22">
        <f>-AD87</f>
        <v>0</v>
      </c>
      <c r="AE18" s="22">
        <f>-AE87</f>
        <v>0</v>
      </c>
      <c r="AF18" s="22">
        <f>-AF87</f>
        <v>0</v>
      </c>
    </row>
    <row r="19" spans="1:39">
      <c r="A19" s="1" t="str">
        <f>Cash_Flow_Qtr!A19</f>
        <v>Canadian Government Settlement</v>
      </c>
      <c r="B19" s="75"/>
      <c r="C19" s="75"/>
      <c r="D19" s="75"/>
      <c r="E19" s="75"/>
      <c r="F19" s="75"/>
      <c r="G19" s="75"/>
      <c r="H19" s="75"/>
      <c r="I19" s="75"/>
      <c r="J19" s="75"/>
      <c r="K19" s="75"/>
      <c r="L19" s="75"/>
      <c r="M19" s="75"/>
      <c r="N19" s="75"/>
      <c r="O19" s="75"/>
      <c r="P19" s="75"/>
      <c r="Q19" s="38">
        <f>+Cash_Flow_Qtr!F19</f>
        <v>0</v>
      </c>
      <c r="R19" s="38">
        <f>+Cash_Flow_Qtr!K19</f>
        <v>0</v>
      </c>
      <c r="S19" s="38">
        <f>+Cash_Flow_Qtr!P19</f>
        <v>0</v>
      </c>
      <c r="T19" s="38">
        <f>+Cash_Flow_Qtr!U19</f>
        <v>0</v>
      </c>
      <c r="U19" s="38">
        <f>+Cash_Flow_Qtr!Z19</f>
        <v>-38</v>
      </c>
      <c r="V19" s="38">
        <f>+Cash_Flow_Qtr!AE19</f>
        <v>0</v>
      </c>
      <c r="W19" s="38">
        <f>+Cash_Flow_Qtr!AJ19</f>
        <v>0</v>
      </c>
      <c r="X19" s="38">
        <f>+Cash_Flow_Qtr!AO19</f>
        <v>0</v>
      </c>
      <c r="Y19" s="38">
        <f>+Cash_Flow_Qtr!AT19</f>
        <v>0</v>
      </c>
      <c r="Z19" s="38">
        <f>+Cash_Flow_Qtr!AY19</f>
        <v>0</v>
      </c>
      <c r="AA19" s="38">
        <f>+Cash_Flow_Qtr!BD19</f>
        <v>0</v>
      </c>
      <c r="AB19" s="38">
        <f>+Cash_Flow_Qtr!BI19</f>
        <v>0</v>
      </c>
      <c r="AC19" s="43">
        <v>0</v>
      </c>
      <c r="AD19" s="43">
        <v>0</v>
      </c>
      <c r="AE19" s="43">
        <v>0</v>
      </c>
      <c r="AF19" s="43">
        <v>0</v>
      </c>
      <c r="AH19" s="112"/>
      <c r="AI19" s="112"/>
      <c r="AJ19" s="112"/>
      <c r="AK19" s="112"/>
      <c r="AL19" s="112"/>
      <c r="AM19" s="112"/>
    </row>
    <row r="20" spans="1:39">
      <c r="A20" s="1" t="str">
        <f>Cash_Flow_Qtr!A20</f>
        <v>Other, Net</v>
      </c>
      <c r="B20" s="43"/>
      <c r="C20" s="43"/>
      <c r="D20" s="43"/>
      <c r="E20" s="43"/>
      <c r="F20" s="43"/>
      <c r="G20" s="43"/>
      <c r="H20" s="43"/>
      <c r="I20" s="43"/>
      <c r="J20" s="43"/>
      <c r="K20" s="43"/>
      <c r="L20" s="43"/>
      <c r="M20" s="43"/>
      <c r="N20" s="43"/>
      <c r="O20" s="43"/>
      <c r="P20" s="43"/>
      <c r="Q20" s="38">
        <f>+Cash_Flow_Qtr!F20</f>
        <v>0</v>
      </c>
      <c r="R20" s="38">
        <f>+Cash_Flow_Qtr!K20</f>
        <v>0</v>
      </c>
      <c r="S20" s="38">
        <f>+Cash_Flow_Qtr!P20</f>
        <v>0</v>
      </c>
      <c r="T20" s="38">
        <f>+Cash_Flow_Qtr!U20</f>
        <v>0</v>
      </c>
      <c r="U20" s="38">
        <f>+Cash_Flow_Qtr!Z20</f>
        <v>232</v>
      </c>
      <c r="V20" s="38">
        <f>+Cash_Flow_Qtr!AE20</f>
        <v>319</v>
      </c>
      <c r="W20" s="38">
        <f>+Cash_Flow_Qtr!AJ20</f>
        <v>-163</v>
      </c>
      <c r="X20" s="38">
        <f>+Cash_Flow_Qtr!AO20</f>
        <v>-39</v>
      </c>
      <c r="Y20" s="38">
        <f>+Cash_Flow_Qtr!AT20</f>
        <v>309</v>
      </c>
      <c r="Z20" s="38">
        <f>+Cash_Flow_Qtr!AY20</f>
        <v>-197</v>
      </c>
      <c r="AA20" s="38">
        <f>+Cash_Flow_Qtr!BD20</f>
        <v>97</v>
      </c>
      <c r="AB20" s="38">
        <f>+Cash_Flow_Qtr!BI20</f>
        <v>370</v>
      </c>
      <c r="AC20" s="38">
        <f>+Balance_Sheet_Annual!AC38-Balance_Sheet_Annual!AB38</f>
        <v>0</v>
      </c>
      <c r="AD20" s="38">
        <f>+Balance_Sheet_Annual!AD38-Balance_Sheet_Annual!AC38</f>
        <v>0</v>
      </c>
      <c r="AE20" s="38">
        <f>+Balance_Sheet_Annual!AE38-Balance_Sheet_Annual!AD38</f>
        <v>0</v>
      </c>
      <c r="AF20" s="38">
        <f>+Balance_Sheet_Annual!AF38-Balance_Sheet_Annual!AE38</f>
        <v>0</v>
      </c>
      <c r="AH20" s="112"/>
      <c r="AI20" s="112"/>
      <c r="AJ20" s="112"/>
      <c r="AK20" s="112"/>
      <c r="AL20" s="112"/>
      <c r="AM20" s="112"/>
    </row>
    <row r="21" spans="1:39">
      <c r="A21" s="15" t="str">
        <f>Cash_Flow_Qtr!A21</f>
        <v>Net Cash from Operating Activities</v>
      </c>
      <c r="B21" s="24"/>
      <c r="C21" s="24"/>
      <c r="D21" s="24"/>
      <c r="E21" s="24"/>
      <c r="F21" s="24"/>
      <c r="G21" s="24"/>
      <c r="H21" s="24"/>
      <c r="I21" s="24"/>
      <c r="J21" s="24"/>
      <c r="K21" s="24"/>
      <c r="L21" s="24"/>
      <c r="M21" s="24"/>
      <c r="N21" s="24"/>
      <c r="O21" s="24"/>
      <c r="P21" s="24"/>
      <c r="Q21" s="182">
        <f>+Cash_Flow_Qtr!F21</f>
        <v>0</v>
      </c>
      <c r="R21" s="182">
        <f>+Cash_Flow_Qtr!K21</f>
        <v>0</v>
      </c>
      <c r="S21" s="182">
        <f>+Cash_Flow_Qtr!P21</f>
        <v>0</v>
      </c>
      <c r="T21" s="182">
        <f>+Cash_Flow_Qtr!U21</f>
        <v>0</v>
      </c>
      <c r="U21" s="182">
        <f>+Cash_Flow_Qtr!Z21</f>
        <v>5821</v>
      </c>
      <c r="V21" s="182">
        <f>+Cash_Flow_Qtr!AE21</f>
        <v>4334</v>
      </c>
      <c r="W21" s="182">
        <f>+Cash_Flow_Qtr!AJ21</f>
        <v>7142</v>
      </c>
      <c r="X21" s="182">
        <f>+Cash_Flow_Qtr!AO21</f>
        <v>7168</v>
      </c>
      <c r="Y21" s="182">
        <f>+Cash_Flow_Qtr!AT21</f>
        <v>7883</v>
      </c>
      <c r="Z21" s="182">
        <f>+Cash_Flow_Qtr!AY21</f>
        <v>7159</v>
      </c>
      <c r="AA21" s="182">
        <f>+Cash_Flow_Qtr!BD21</f>
        <v>10567</v>
      </c>
      <c r="AB21" s="182">
        <f>+Cash_Flow_Qtr!BI21</f>
        <v>11832.615429011681</v>
      </c>
      <c r="AC21" s="24">
        <f>+SUM(AC4:AC9,AC17:AC20)</f>
        <v>13333.143396389525</v>
      </c>
      <c r="AD21" s="24">
        <f>+SUM(AD4:AD9,AD17:AD20)</f>
        <v>14484.271259064399</v>
      </c>
      <c r="AE21" s="24">
        <f>+SUM(AE4:AE9,AE17:AE20)</f>
        <v>15122.205916711122</v>
      </c>
      <c r="AF21" s="24">
        <f>+SUM(AF4:AF9,AF17:AF20)</f>
        <v>15752.574767003882</v>
      </c>
    </row>
    <row r="22" spans="1:39">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06"/>
      <c r="AD22" s="206"/>
      <c r="AE22" s="206"/>
      <c r="AF22" s="206"/>
    </row>
    <row r="23" spans="1:39">
      <c r="A23" s="4" t="str">
        <f>Cash_Flow_Qtr!A23</f>
        <v>Investing Activities</v>
      </c>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460"/>
      <c r="AD23" s="460"/>
      <c r="AE23" s="460"/>
      <c r="AF23" s="460"/>
    </row>
    <row r="24" spans="1:39">
      <c r="A24" s="1" t="str">
        <f>Cash_Flow_Qtr!A24</f>
        <v>Capital Expenditures</v>
      </c>
      <c r="B24" s="43"/>
      <c r="C24" s="43"/>
      <c r="D24" s="43"/>
      <c r="E24" s="43"/>
      <c r="F24" s="43"/>
      <c r="G24" s="43"/>
      <c r="H24" s="43"/>
      <c r="I24" s="43"/>
      <c r="J24" s="43"/>
      <c r="K24" s="43"/>
      <c r="L24" s="43"/>
      <c r="M24" s="43"/>
      <c r="N24" s="43"/>
      <c r="O24" s="43"/>
      <c r="P24" s="43"/>
      <c r="Q24" s="38">
        <f>+Cash_Flow_Qtr!F24</f>
        <v>0</v>
      </c>
      <c r="R24" s="38">
        <f>+Cash_Flow_Qtr!K24</f>
        <v>0</v>
      </c>
      <c r="S24" s="38">
        <f>+Cash_Flow_Qtr!P24</f>
        <v>0</v>
      </c>
      <c r="T24" s="38" t="str">
        <f>+Cash_Flow_Qtr!U24</f>
        <v>ND</v>
      </c>
      <c r="U24" s="38">
        <f>+Cash_Flow_Qtr!Z24</f>
        <v>-1868</v>
      </c>
      <c r="V24" s="38">
        <f>+Cash_Flow_Qtr!AE24</f>
        <v>-1795</v>
      </c>
      <c r="W24" s="38">
        <f>+Cash_Flow_Qtr!AJ24</f>
        <v>-2134</v>
      </c>
      <c r="X24" s="38">
        <f>+Cash_Flow_Qtr!AO24</f>
        <v>-2288</v>
      </c>
      <c r="Y24" s="38">
        <f>+Cash_Flow_Qtr!AT24</f>
        <v>-2415</v>
      </c>
      <c r="Z24" s="38">
        <f>+Cash_Flow_Qtr!AY24</f>
        <v>-2625</v>
      </c>
      <c r="AA24" s="38">
        <f>+Cash_Flow_Qtr!BD24</f>
        <v>-2627</v>
      </c>
      <c r="AB24" s="38">
        <f>+Cash_Flow_Qtr!BI24</f>
        <v>-3119.8039274999996</v>
      </c>
      <c r="AC24" s="22">
        <f>-ProForma_IS_Annual!AC9*AC69</f>
        <v>-3250.3805397080928</v>
      </c>
      <c r="AD24" s="22">
        <f>-ProForma_IS_Annual!AD9*AD69</f>
        <v>-3324.1322668473736</v>
      </c>
      <c r="AE24" s="22">
        <f>-ProForma_IS_Annual!AE9*AE69</f>
        <v>-3442.7120238401781</v>
      </c>
      <c r="AF24" s="22">
        <f>-ProForma_IS_Annual!AF9*AF69</f>
        <v>-3627.4723940840654</v>
      </c>
      <c r="AG24" s="316"/>
    </row>
    <row r="25" spans="1:39">
      <c r="A25" s="1" t="str">
        <f>Cash_Flow_Qtr!A25</f>
        <v>Dispositions of Businesses</v>
      </c>
      <c r="B25" s="43"/>
      <c r="C25" s="43"/>
      <c r="D25" s="43"/>
      <c r="E25" s="43"/>
      <c r="F25" s="43"/>
      <c r="G25" s="43"/>
      <c r="H25" s="43"/>
      <c r="I25" s="43"/>
      <c r="J25" s="43"/>
      <c r="K25" s="43"/>
      <c r="L25" s="43"/>
      <c r="M25" s="43"/>
      <c r="N25" s="43"/>
      <c r="O25" s="43"/>
      <c r="P25" s="43"/>
      <c r="Q25" s="38">
        <f>+Cash_Flow_Qtr!F25</f>
        <v>0</v>
      </c>
      <c r="R25" s="38">
        <f>+Cash_Flow_Qtr!K25</f>
        <v>0</v>
      </c>
      <c r="S25" s="38">
        <f>+Cash_Flow_Qtr!P25</f>
        <v>0</v>
      </c>
      <c r="T25" s="38">
        <f>+Cash_Flow_Qtr!U25</f>
        <v>0</v>
      </c>
      <c r="U25" s="38">
        <f>+Cash_Flow_Qtr!Z25</f>
        <v>134</v>
      </c>
      <c r="V25" s="38">
        <f>+Cash_Flow_Qtr!AE25</f>
        <v>2556</v>
      </c>
      <c r="W25" s="38">
        <f>+Cash_Flow_Qtr!AJ25</f>
        <v>1879</v>
      </c>
      <c r="X25" s="38">
        <f>+Cash_Flow_Qtr!AO25</f>
        <v>94</v>
      </c>
      <c r="Y25" s="38">
        <f>+Cash_Flow_Qtr!AT25</f>
        <v>6</v>
      </c>
      <c r="Z25" s="38">
        <f>+Cash_Flow_Qtr!AY25</f>
        <v>1795</v>
      </c>
      <c r="AA25" s="38">
        <f>+Cash_Flow_Qtr!BD25</f>
        <v>1931</v>
      </c>
      <c r="AB25" s="38">
        <f>+Cash_Flow_Qtr!BI25</f>
        <v>620</v>
      </c>
      <c r="AC25" s="43">
        <v>0</v>
      </c>
      <c r="AD25" s="43">
        <v>0</v>
      </c>
      <c r="AE25" s="43">
        <v>0</v>
      </c>
      <c r="AF25" s="43">
        <v>0</v>
      </c>
      <c r="AI25" s="112"/>
      <c r="AJ25" s="112"/>
      <c r="AK25" s="112"/>
      <c r="AL25" s="112"/>
      <c r="AM25" s="112"/>
    </row>
    <row r="26" spans="1:39">
      <c r="A26" s="1" t="str">
        <f>Cash_Flow_Qtr!A26</f>
        <v>Cash Acquired in Raytheon Merger</v>
      </c>
      <c r="B26" s="43"/>
      <c r="C26" s="43"/>
      <c r="D26" s="43"/>
      <c r="E26" s="43"/>
      <c r="F26" s="43"/>
      <c r="G26" s="43"/>
      <c r="H26" s="43"/>
      <c r="I26" s="43"/>
      <c r="J26" s="43"/>
      <c r="K26" s="43"/>
      <c r="L26" s="43"/>
      <c r="M26" s="43"/>
      <c r="N26" s="43"/>
      <c r="O26" s="43"/>
      <c r="P26" s="43"/>
      <c r="Q26" s="38">
        <f>+Cash_Flow_Qtr!F26</f>
        <v>0</v>
      </c>
      <c r="R26" s="38">
        <f>+Cash_Flow_Qtr!K26</f>
        <v>0</v>
      </c>
      <c r="S26" s="38">
        <f>+Cash_Flow_Qtr!P26</f>
        <v>0</v>
      </c>
      <c r="T26" s="38">
        <f>+Cash_Flow_Qtr!U26</f>
        <v>0</v>
      </c>
      <c r="U26" s="38">
        <f>+Cash_Flow_Qtr!Z26</f>
        <v>0</v>
      </c>
      <c r="V26" s="38">
        <f>+Cash_Flow_Qtr!AE26</f>
        <v>3208</v>
      </c>
      <c r="W26" s="38">
        <f>+Cash_Flow_Qtr!AJ26</f>
        <v>0</v>
      </c>
      <c r="X26" s="38">
        <f>+Cash_Flow_Qtr!AO26</f>
        <v>0</v>
      </c>
      <c r="Y26" s="38">
        <f>+Cash_Flow_Qtr!AT26</f>
        <v>0</v>
      </c>
      <c r="Z26" s="38">
        <f>+Cash_Flow_Qtr!AY26</f>
        <v>0</v>
      </c>
      <c r="AA26" s="38">
        <f>+Cash_Flow_Qtr!BD26</f>
        <v>0</v>
      </c>
      <c r="AB26" s="38">
        <f>+Cash_Flow_Qtr!BI26</f>
        <v>0</v>
      </c>
      <c r="AC26" s="43">
        <v>0</v>
      </c>
      <c r="AD26" s="43">
        <v>0</v>
      </c>
      <c r="AE26" s="43">
        <v>0</v>
      </c>
      <c r="AF26" s="43">
        <v>0</v>
      </c>
    </row>
    <row r="27" spans="1:39">
      <c r="A27" s="1" t="str">
        <f>Cash_Flow_Qtr!A27</f>
        <v>Acquisitions of Businesses</v>
      </c>
      <c r="B27" s="43"/>
      <c r="C27" s="43"/>
      <c r="D27" s="43"/>
      <c r="E27" s="43"/>
      <c r="F27" s="43"/>
      <c r="G27" s="43"/>
      <c r="H27" s="43"/>
      <c r="I27" s="43"/>
      <c r="J27" s="43"/>
      <c r="K27" s="43"/>
      <c r="L27" s="43"/>
      <c r="M27" s="43"/>
      <c r="N27" s="43"/>
      <c r="O27" s="43"/>
      <c r="P27" s="43"/>
      <c r="Q27" s="38">
        <f>+Cash_Flow_Qtr!F27</f>
        <v>0</v>
      </c>
      <c r="R27" s="38">
        <f>+Cash_Flow_Qtr!K27</f>
        <v>0</v>
      </c>
      <c r="S27" s="38">
        <f>+Cash_Flow_Qtr!P27</f>
        <v>0</v>
      </c>
      <c r="T27" s="38">
        <f>+Cash_Flow_Qtr!U27</f>
        <v>0</v>
      </c>
      <c r="U27" s="38">
        <f>+Cash_Flow_Qtr!Z27</f>
        <v>-9</v>
      </c>
      <c r="V27" s="38">
        <f>+Cash_Flow_Qtr!AE27</f>
        <v>-419</v>
      </c>
      <c r="W27" s="38">
        <f>+Cash_Flow_Qtr!AJ27</f>
        <v>-1088</v>
      </c>
      <c r="X27" s="38">
        <f>+Cash_Flow_Qtr!AO27</f>
        <v>-66</v>
      </c>
      <c r="Y27" s="38">
        <f>+Cash_Flow_Qtr!AT27</f>
        <v>0</v>
      </c>
      <c r="Z27" s="38">
        <f>+Cash_Flow_Qtr!AY27</f>
        <v>0</v>
      </c>
      <c r="AA27" s="38">
        <f>+Cash_Flow_Qtr!BD27</f>
        <v>0</v>
      </c>
      <c r="AB27" s="38">
        <f>+Cash_Flow_Qtr!BI27</f>
        <v>0</v>
      </c>
      <c r="AC27" s="43">
        <v>0</v>
      </c>
      <c r="AD27" s="43">
        <v>0</v>
      </c>
      <c r="AE27" s="43">
        <v>0</v>
      </c>
      <c r="AF27" s="43">
        <v>0</v>
      </c>
    </row>
    <row r="28" spans="1:39">
      <c r="A28" s="1" t="str">
        <f>Cash_Flow_Qtr!A28</f>
        <v>Increase in Customer Financing Assets, net</v>
      </c>
      <c r="B28" s="43"/>
      <c r="C28" s="43"/>
      <c r="D28" s="43"/>
      <c r="E28" s="43"/>
      <c r="F28" s="43"/>
      <c r="G28" s="43"/>
      <c r="H28" s="43"/>
      <c r="I28" s="43"/>
      <c r="J28" s="43"/>
      <c r="K28" s="43"/>
      <c r="L28" s="43"/>
      <c r="M28" s="43"/>
      <c r="N28" s="43"/>
      <c r="O28" s="43"/>
      <c r="P28" s="43"/>
      <c r="Q28" s="38">
        <f>+Cash_Flow_Qtr!F28</f>
        <v>0</v>
      </c>
      <c r="R28" s="38">
        <f>+Cash_Flow_Qtr!K28</f>
        <v>0</v>
      </c>
      <c r="S28" s="38">
        <f>+Cash_Flow_Qtr!P28</f>
        <v>0</v>
      </c>
      <c r="T28" s="38">
        <f>+Cash_Flow_Qtr!U28</f>
        <v>0</v>
      </c>
      <c r="U28" s="38">
        <f>+Cash_Flow_Qtr!Z28</f>
        <v>-659</v>
      </c>
      <c r="V28" s="38">
        <f>+Cash_Flow_Qtr!AE28</f>
        <v>88</v>
      </c>
      <c r="W28" s="38">
        <f>+Cash_Flow_Qtr!AJ28</f>
        <v>158</v>
      </c>
      <c r="X28" s="38">
        <f>+Cash_Flow_Qtr!AO28</f>
        <v>29</v>
      </c>
      <c r="Y28" s="38">
        <f>+Cash_Flow_Qtr!AT28</f>
        <v>95</v>
      </c>
      <c r="Z28" s="38">
        <f>+Cash_Flow_Qtr!AY28</f>
        <v>0</v>
      </c>
      <c r="AA28" s="38">
        <f>+Cash_Flow_Qtr!BD28</f>
        <v>-72</v>
      </c>
      <c r="AB28" s="38">
        <f>+Cash_Flow_Qtr!BI28</f>
        <v>0</v>
      </c>
      <c r="AC28" s="43">
        <v>0</v>
      </c>
      <c r="AD28" s="43">
        <v>0</v>
      </c>
      <c r="AE28" s="43">
        <v>0</v>
      </c>
      <c r="AF28" s="43">
        <v>0</v>
      </c>
    </row>
    <row r="29" spans="1:39">
      <c r="A29" s="1" t="str">
        <f>Cash_Flow_Qtr!A29</f>
        <v>Increase in Collaboration Intangible Assets</v>
      </c>
      <c r="B29" s="43"/>
      <c r="C29" s="43"/>
      <c r="D29" s="43"/>
      <c r="E29" s="43"/>
      <c r="F29" s="43"/>
      <c r="G29" s="43"/>
      <c r="H29" s="43"/>
      <c r="I29" s="43"/>
      <c r="J29" s="43"/>
      <c r="K29" s="43"/>
      <c r="L29" s="43"/>
      <c r="M29" s="43"/>
      <c r="N29" s="43"/>
      <c r="O29" s="43"/>
      <c r="P29" s="43"/>
      <c r="Q29" s="38">
        <f>+Cash_Flow_Qtr!F29</f>
        <v>0</v>
      </c>
      <c r="R29" s="38">
        <f>+Cash_Flow_Qtr!K29</f>
        <v>0</v>
      </c>
      <c r="S29" s="38">
        <f>+Cash_Flow_Qtr!P29</f>
        <v>0</v>
      </c>
      <c r="T29" s="38">
        <f>+Cash_Flow_Qtr!U29</f>
        <v>0</v>
      </c>
      <c r="U29" s="38">
        <f>+Cash_Flow_Qtr!Z29</f>
        <v>-351</v>
      </c>
      <c r="V29" s="38">
        <f>+Cash_Flow_Qtr!AE29</f>
        <v>-172</v>
      </c>
      <c r="W29" s="38">
        <f>+Cash_Flow_Qtr!AJ29</f>
        <v>-188</v>
      </c>
      <c r="X29" s="38">
        <f>+Cash_Flow_Qtr!AO29</f>
        <v>-487</v>
      </c>
      <c r="Y29" s="38">
        <f>+Cash_Flow_Qtr!AT29</f>
        <v>-751</v>
      </c>
      <c r="Z29" s="38">
        <f>+Cash_Flow_Qtr!AY29</f>
        <v>-611</v>
      </c>
      <c r="AA29" s="38">
        <f>+Cash_Flow_Qtr!BD29</f>
        <v>-492</v>
      </c>
      <c r="AB29" s="38">
        <f>+Cash_Flow_Qtr!BI29</f>
        <v>-156</v>
      </c>
      <c r="AC29" s="43">
        <v>0</v>
      </c>
      <c r="AD29" s="43">
        <v>0</v>
      </c>
      <c r="AE29" s="43">
        <v>0</v>
      </c>
      <c r="AF29" s="43">
        <v>0</v>
      </c>
    </row>
    <row r="30" spans="1:39">
      <c r="A30" s="1" t="str">
        <f>Cash_Flow_Qtr!A30</f>
        <v>Receipts (Payments) from Settlements of Derivative Contracts</v>
      </c>
      <c r="B30" s="43"/>
      <c r="C30" s="43"/>
      <c r="D30" s="43"/>
      <c r="E30" s="43"/>
      <c r="F30" s="43"/>
      <c r="G30" s="43"/>
      <c r="H30" s="43"/>
      <c r="I30" s="43"/>
      <c r="J30" s="43"/>
      <c r="K30" s="43"/>
      <c r="L30" s="43"/>
      <c r="M30" s="43"/>
      <c r="N30" s="43"/>
      <c r="O30" s="43"/>
      <c r="P30" s="43"/>
      <c r="Q30" s="38">
        <f>+Cash_Flow_Qtr!F30</f>
        <v>0</v>
      </c>
      <c r="R30" s="38">
        <f>+Cash_Flow_Qtr!K30</f>
        <v>0</v>
      </c>
      <c r="S30" s="38">
        <f>+Cash_Flow_Qtr!P30</f>
        <v>0</v>
      </c>
      <c r="T30" s="38">
        <f>+Cash_Flow_Qtr!U30</f>
        <v>0</v>
      </c>
      <c r="U30" s="38">
        <f>+Cash_Flow_Qtr!Z30</f>
        <v>342</v>
      </c>
      <c r="V30" s="38">
        <f>+Cash_Flow_Qtr!AE30</f>
        <v>-32</v>
      </c>
      <c r="W30" s="38">
        <f>+Cash_Flow_Qtr!AJ30</f>
        <v>-16</v>
      </c>
      <c r="X30" s="38">
        <f>+Cash_Flow_Qtr!AO30</f>
        <v>-205</v>
      </c>
      <c r="Y30" s="38">
        <f>+Cash_Flow_Qtr!AT30</f>
        <v>14</v>
      </c>
      <c r="Z30" s="38">
        <f>+Cash_Flow_Qtr!AY30</f>
        <v>-142</v>
      </c>
      <c r="AA30" s="38">
        <f>+Cash_Flow_Qtr!BD30</f>
        <v>118</v>
      </c>
      <c r="AB30" s="38">
        <f>+Cash_Flow_Qtr!BI30</f>
        <v>1</v>
      </c>
      <c r="AC30" s="43">
        <v>0</v>
      </c>
      <c r="AD30" s="43">
        <v>0</v>
      </c>
      <c r="AE30" s="43">
        <v>0</v>
      </c>
      <c r="AF30" s="43">
        <v>0</v>
      </c>
    </row>
    <row r="31" spans="1:39">
      <c r="A31" s="1" t="str">
        <f>Cash_Flow_Qtr!A31</f>
        <v>Other, Net</v>
      </c>
      <c r="B31" s="43"/>
      <c r="C31" s="43"/>
      <c r="D31" s="43"/>
      <c r="E31" s="43"/>
      <c r="F31" s="43"/>
      <c r="G31" s="43"/>
      <c r="H31" s="43"/>
      <c r="I31" s="43"/>
      <c r="J31" s="43"/>
      <c r="K31" s="43"/>
      <c r="L31" s="43"/>
      <c r="M31" s="43"/>
      <c r="N31" s="43"/>
      <c r="O31" s="43"/>
      <c r="P31" s="43"/>
      <c r="Q31" s="38">
        <f>+Cash_Flow_Qtr!F31</f>
        <v>0</v>
      </c>
      <c r="R31" s="38">
        <f>+Cash_Flow_Qtr!K31</f>
        <v>0</v>
      </c>
      <c r="S31" s="38">
        <f>+Cash_Flow_Qtr!P31</f>
        <v>0</v>
      </c>
      <c r="T31" s="38">
        <f>+Cash_Flow_Qtr!U31</f>
        <v>0</v>
      </c>
      <c r="U31" s="38">
        <f>+Cash_Flow_Qtr!Z31</f>
        <v>-265</v>
      </c>
      <c r="V31" s="38">
        <f>+Cash_Flow_Qtr!AE31</f>
        <v>-91</v>
      </c>
      <c r="W31" s="38">
        <f>+Cash_Flow_Qtr!AJ31</f>
        <v>25</v>
      </c>
      <c r="X31" s="38">
        <f>+Cash_Flow_Qtr!AO31</f>
        <v>94</v>
      </c>
      <c r="Y31" s="38">
        <f>+Cash_Flow_Qtr!AT31</f>
        <v>12</v>
      </c>
      <c r="Z31" s="38">
        <f>+Cash_Flow_Qtr!AY31</f>
        <v>49</v>
      </c>
      <c r="AA31" s="38">
        <f>+Cash_Flow_Qtr!BD31</f>
        <v>-123</v>
      </c>
      <c r="AB31" s="38">
        <f>+Cash_Flow_Qtr!BI31</f>
        <v>-182</v>
      </c>
      <c r="AC31" s="43">
        <v>0</v>
      </c>
      <c r="AD31" s="43">
        <v>0</v>
      </c>
      <c r="AE31" s="43">
        <v>0</v>
      </c>
      <c r="AF31" s="43">
        <v>0</v>
      </c>
    </row>
    <row r="32" spans="1:39">
      <c r="A32" s="8" t="str">
        <f>Cash_Flow_Qtr!A32</f>
        <v>Net Cash from Investing</v>
      </c>
      <c r="B32" s="24"/>
      <c r="C32" s="24"/>
      <c r="D32" s="24"/>
      <c r="E32" s="24"/>
      <c r="F32" s="24"/>
      <c r="G32" s="24"/>
      <c r="H32" s="24"/>
      <c r="I32" s="24"/>
      <c r="J32" s="24"/>
      <c r="K32" s="24"/>
      <c r="L32" s="24"/>
      <c r="M32" s="24"/>
      <c r="N32" s="24"/>
      <c r="O32" s="24"/>
      <c r="P32" s="24"/>
      <c r="Q32" s="182">
        <f>+Cash_Flow_Qtr!F32</f>
        <v>0</v>
      </c>
      <c r="R32" s="182">
        <f>+Cash_Flow_Qtr!K32</f>
        <v>0</v>
      </c>
      <c r="S32" s="182">
        <f>+Cash_Flow_Qtr!P32</f>
        <v>0</v>
      </c>
      <c r="T32" s="182">
        <f>+Cash_Flow_Qtr!U32</f>
        <v>0</v>
      </c>
      <c r="U32" s="182">
        <f>+Cash_Flow_Qtr!Z32</f>
        <v>-2676</v>
      </c>
      <c r="V32" s="182">
        <f>+Cash_Flow_Qtr!AE32</f>
        <v>3343</v>
      </c>
      <c r="W32" s="182">
        <f>+Cash_Flow_Qtr!AJ32</f>
        <v>-1364</v>
      </c>
      <c r="X32" s="182">
        <f>+Cash_Flow_Qtr!AO32</f>
        <v>-2829</v>
      </c>
      <c r="Y32" s="182">
        <f>+Cash_Flow_Qtr!AT32</f>
        <v>-3039</v>
      </c>
      <c r="Z32" s="182">
        <f>+Cash_Flow_Qtr!AY32</f>
        <v>-1534</v>
      </c>
      <c r="AA32" s="182">
        <f>+Cash_Flow_Qtr!BD32</f>
        <v>-1265</v>
      </c>
      <c r="AB32" s="182">
        <f>+Cash_Flow_Qtr!BI32</f>
        <v>-2836.8039274999996</v>
      </c>
      <c r="AC32" s="24">
        <f>+SUM(AC24:AC31)</f>
        <v>-3250.3805397080928</v>
      </c>
      <c r="AD32" s="24">
        <f>+SUM(AD24:AD31)</f>
        <v>-3324.1322668473736</v>
      </c>
      <c r="AE32" s="24">
        <f>+SUM(AE24:AE31)</f>
        <v>-3442.7120238401781</v>
      </c>
      <c r="AF32" s="24">
        <f>+SUM(AF24:AF31)</f>
        <v>-3627.4723940840654</v>
      </c>
    </row>
    <row r="33" spans="1:33">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06"/>
      <c r="AD33" s="206"/>
      <c r="AE33" s="206"/>
      <c r="AF33" s="206"/>
    </row>
    <row r="34" spans="1:33">
      <c r="A34" s="13" t="str">
        <f>Cash_Flow_Qtr!A34</f>
        <v>Financing Activities</v>
      </c>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06"/>
      <c r="AD34" s="206"/>
      <c r="AE34" s="206"/>
      <c r="AF34" s="206"/>
    </row>
    <row r="35" spans="1:33">
      <c r="A35" s="1" t="str">
        <f>Cash_Flow_Qtr!A35</f>
        <v>Issuance of Long-Term Debt</v>
      </c>
      <c r="B35" s="43"/>
      <c r="C35" s="43"/>
      <c r="D35" s="43"/>
      <c r="E35" s="43"/>
      <c r="F35" s="43"/>
      <c r="G35" s="43"/>
      <c r="H35" s="43"/>
      <c r="I35" s="43"/>
      <c r="J35" s="43"/>
      <c r="K35" s="43"/>
      <c r="L35" s="43"/>
      <c r="M35" s="43"/>
      <c r="N35" s="43"/>
      <c r="O35" s="43"/>
      <c r="P35" s="43"/>
      <c r="Q35" s="38">
        <f>+Cash_Flow_Qtr!F35</f>
        <v>0</v>
      </c>
      <c r="R35" s="38">
        <f>+Cash_Flow_Qtr!K35</f>
        <v>0</v>
      </c>
      <c r="S35" s="38">
        <f>+Cash_Flow_Qtr!P35</f>
        <v>0</v>
      </c>
      <c r="T35" s="38">
        <f>+Cash_Flow_Qtr!U35</f>
        <v>0</v>
      </c>
      <c r="U35" s="38">
        <f>+Cash_Flow_Qtr!Z35</f>
        <v>-19</v>
      </c>
      <c r="V35" s="38">
        <f>+Cash_Flow_Qtr!AE35</f>
        <v>2004</v>
      </c>
      <c r="W35" s="38">
        <f>+Cash_Flow_Qtr!AJ35</f>
        <v>4062</v>
      </c>
      <c r="X35" s="38">
        <f>+Cash_Flow_Qtr!AO35</f>
        <v>1</v>
      </c>
      <c r="Y35" s="38">
        <f>+Cash_Flow_Qtr!AT35</f>
        <v>12914</v>
      </c>
      <c r="Z35" s="38">
        <f>+Cash_Flow_Qtr!AY35</f>
        <v>0</v>
      </c>
      <c r="AA35" s="38">
        <f>+Cash_Flow_Qtr!BD35</f>
        <v>0</v>
      </c>
      <c r="AB35" s="38">
        <f>+Cash_Flow_Qtr!BI35</f>
        <v>0</v>
      </c>
      <c r="AC35" s="38">
        <f>Debt_Annual!AC67</f>
        <v>0</v>
      </c>
      <c r="AD35" s="38">
        <f>Debt_Annual!AD67</f>
        <v>0</v>
      </c>
      <c r="AE35" s="38">
        <f>Debt_Annual!AE67</f>
        <v>0</v>
      </c>
      <c r="AF35" s="38">
        <f>Debt_Annual!AF67</f>
        <v>0</v>
      </c>
    </row>
    <row r="36" spans="1:33">
      <c r="A36" s="1" t="str">
        <f>Cash_Flow_Qtr!A36</f>
        <v>Dividend from Discontinued Operations</v>
      </c>
      <c r="B36" s="43"/>
      <c r="C36" s="43"/>
      <c r="D36" s="43"/>
      <c r="E36" s="43"/>
      <c r="F36" s="43"/>
      <c r="G36" s="43"/>
      <c r="H36" s="43"/>
      <c r="I36" s="43"/>
      <c r="J36" s="43"/>
      <c r="K36" s="43"/>
      <c r="L36" s="43"/>
      <c r="M36" s="43"/>
      <c r="N36" s="43"/>
      <c r="O36" s="43"/>
      <c r="P36" s="43"/>
      <c r="Q36" s="38">
        <f>+Cash_Flow_Qtr!F36</f>
        <v>0</v>
      </c>
      <c r="R36" s="38">
        <f>+Cash_Flow_Qtr!K36</f>
        <v>0</v>
      </c>
      <c r="S36" s="38">
        <f>+Cash_Flow_Qtr!P36</f>
        <v>0</v>
      </c>
      <c r="T36" s="38">
        <f>+Cash_Flow_Qtr!U36</f>
        <v>0</v>
      </c>
      <c r="U36" s="38">
        <f>+Cash_Flow_Qtr!Z36</f>
        <v>0</v>
      </c>
      <c r="V36" s="38">
        <f>+Cash_Flow_Qtr!AE36</f>
        <v>17207</v>
      </c>
      <c r="W36" s="38">
        <f>+Cash_Flow_Qtr!AJ36</f>
        <v>0</v>
      </c>
      <c r="X36" s="38">
        <f>+Cash_Flow_Qtr!AO36</f>
        <v>0</v>
      </c>
      <c r="Y36" s="38">
        <f>+Cash_Flow_Qtr!AT36</f>
        <v>0</v>
      </c>
      <c r="Z36" s="38">
        <f>+Cash_Flow_Qtr!AY36</f>
        <v>0</v>
      </c>
      <c r="AA36" s="38">
        <f>+Cash_Flow_Qtr!BD36</f>
        <v>0</v>
      </c>
      <c r="AB36" s="38">
        <f>+Cash_Flow_Qtr!BI36</f>
        <v>0</v>
      </c>
      <c r="AC36" s="43">
        <v>0</v>
      </c>
      <c r="AD36" s="43">
        <v>0</v>
      </c>
      <c r="AE36" s="43">
        <v>0</v>
      </c>
      <c r="AF36" s="43">
        <v>0</v>
      </c>
    </row>
    <row r="37" spans="1:33">
      <c r="A37" s="1" t="str">
        <f>Cash_Flow_Qtr!A37</f>
        <v>Repayments of Long-Term Debt</v>
      </c>
      <c r="B37" s="43"/>
      <c r="C37" s="43"/>
      <c r="D37" s="43"/>
      <c r="E37" s="43"/>
      <c r="F37" s="43"/>
      <c r="G37" s="43"/>
      <c r="H37" s="43"/>
      <c r="I37" s="43"/>
      <c r="J37" s="43"/>
      <c r="K37" s="43"/>
      <c r="L37" s="43"/>
      <c r="M37" s="43"/>
      <c r="N37" s="43"/>
      <c r="O37" s="43"/>
      <c r="P37" s="43"/>
      <c r="Q37" s="38">
        <f>+Cash_Flow_Qtr!F37</f>
        <v>0</v>
      </c>
      <c r="R37" s="38">
        <f>+Cash_Flow_Qtr!K37</f>
        <v>0</v>
      </c>
      <c r="S37" s="38">
        <f>+Cash_Flow_Qtr!P37</f>
        <v>0</v>
      </c>
      <c r="T37" s="38">
        <f>+Cash_Flow_Qtr!U37</f>
        <v>0</v>
      </c>
      <c r="U37" s="38">
        <f>+Cash_Flow_Qtr!Z37</f>
        <v>-2693</v>
      </c>
      <c r="V37" s="38">
        <f>+Cash_Flow_Qtr!AE37</f>
        <v>-16082</v>
      </c>
      <c r="W37" s="38">
        <f>+Cash_Flow_Qtr!AJ37</f>
        <v>-4254</v>
      </c>
      <c r="X37" s="38">
        <f>+Cash_Flow_Qtr!AO37</f>
        <v>-3</v>
      </c>
      <c r="Y37" s="38">
        <f>+Cash_Flow_Qtr!AT37</f>
        <v>-578</v>
      </c>
      <c r="Z37" s="38">
        <f>+Cash_Flow_Qtr!AY37</f>
        <v>-2500</v>
      </c>
      <c r="AA37" s="38">
        <f>+Cash_Flow_Qtr!BD37</f>
        <v>-3429</v>
      </c>
      <c r="AB37" s="38">
        <f>+Cash_Flow_Qtr!BI37</f>
        <v>-3393</v>
      </c>
      <c r="AC37" s="38">
        <f>Debt_Annual!AC68</f>
        <v>-1100</v>
      </c>
      <c r="AD37" s="38">
        <f>Debt_Annual!AD68</f>
        <v>0</v>
      </c>
      <c r="AE37" s="38">
        <f>Debt_Annual!AE68</f>
        <v>0</v>
      </c>
      <c r="AF37" s="38">
        <f>Debt_Annual!AF68</f>
        <v>0</v>
      </c>
    </row>
    <row r="38" spans="1:33">
      <c r="A38" s="1" t="str">
        <f>Cash_Flow_Qtr!A38</f>
        <v>Decrease in Short-Term Borrowings, net</v>
      </c>
      <c r="B38" s="43"/>
      <c r="C38" s="43"/>
      <c r="D38" s="43"/>
      <c r="E38" s="43"/>
      <c r="F38" s="43"/>
      <c r="G38" s="43"/>
      <c r="H38" s="43"/>
      <c r="I38" s="43"/>
      <c r="J38" s="43"/>
      <c r="K38" s="43"/>
      <c r="L38" s="43"/>
      <c r="M38" s="43"/>
      <c r="N38" s="43"/>
      <c r="O38" s="43"/>
      <c r="P38" s="43"/>
      <c r="Q38" s="38">
        <f>+Cash_Flow_Qtr!F38</f>
        <v>0</v>
      </c>
      <c r="R38" s="38">
        <f>+Cash_Flow_Qtr!K38</f>
        <v>0</v>
      </c>
      <c r="S38" s="38">
        <f>+Cash_Flow_Qtr!P38</f>
        <v>0</v>
      </c>
      <c r="T38" s="38">
        <f>+Cash_Flow_Qtr!U38</f>
        <v>0</v>
      </c>
      <c r="U38" s="38">
        <f>+Cash_Flow_Qtr!Z38</f>
        <v>896</v>
      </c>
      <c r="V38" s="38">
        <f>+Cash_Flow_Qtr!AE38</f>
        <v>-2041</v>
      </c>
      <c r="W38" s="38">
        <f>+Cash_Flow_Qtr!AJ38</f>
        <v>-113</v>
      </c>
      <c r="X38" s="38">
        <f>+Cash_Flow_Qtr!AO38</f>
        <v>-29</v>
      </c>
      <c r="Y38" s="38">
        <f>+Cash_Flow_Qtr!AT38</f>
        <v>87</v>
      </c>
      <c r="Z38" s="38">
        <f>+Cash_Flow_Qtr!AY38</f>
        <v>-4</v>
      </c>
      <c r="AA38" s="38">
        <f>+Cash_Flow_Qtr!BD38</f>
        <v>0</v>
      </c>
      <c r="AB38" s="38">
        <f>+Cash_Flow_Qtr!BI38</f>
        <v>0</v>
      </c>
      <c r="AC38" s="43">
        <v>0</v>
      </c>
      <c r="AD38" s="43">
        <v>0</v>
      </c>
      <c r="AE38" s="43">
        <v>0</v>
      </c>
      <c r="AF38" s="43">
        <v>0</v>
      </c>
    </row>
    <row r="39" spans="1:33">
      <c r="A39" s="1" t="str">
        <f>Cash_Flow_Qtr!A39</f>
        <v>Proceeds from Common Stock Issued Under Employee Stock Plans</v>
      </c>
      <c r="B39" s="43"/>
      <c r="C39" s="43"/>
      <c r="D39" s="43"/>
      <c r="E39" s="43"/>
      <c r="F39" s="43"/>
      <c r="G39" s="43"/>
      <c r="H39" s="43"/>
      <c r="I39" s="43"/>
      <c r="J39" s="43"/>
      <c r="K39" s="43"/>
      <c r="L39" s="43"/>
      <c r="M39" s="43"/>
      <c r="N39" s="43"/>
      <c r="O39" s="43"/>
      <c r="P39" s="43"/>
      <c r="Q39" s="38">
        <f>+Cash_Flow_Qtr!F39</f>
        <v>0</v>
      </c>
      <c r="R39" s="38">
        <f>+Cash_Flow_Qtr!K39</f>
        <v>0</v>
      </c>
      <c r="S39" s="38">
        <f>+Cash_Flow_Qtr!P39</f>
        <v>0</v>
      </c>
      <c r="T39" s="38">
        <f>+Cash_Flow_Qtr!U39</f>
        <v>0</v>
      </c>
      <c r="U39" s="38">
        <f>+Cash_Flow_Qtr!Z39</f>
        <v>27</v>
      </c>
      <c r="V39" s="38">
        <f>+Cash_Flow_Qtr!AE39</f>
        <v>15</v>
      </c>
      <c r="W39" s="38">
        <f>+Cash_Flow_Qtr!AJ39</f>
        <v>7</v>
      </c>
      <c r="X39" s="38">
        <f>+Cash_Flow_Qtr!AO39</f>
        <v>0</v>
      </c>
      <c r="Y39" s="38">
        <f>+Cash_Flow_Qtr!AT39</f>
        <v>0</v>
      </c>
      <c r="Z39" s="38">
        <f>+Cash_Flow_Qtr!AY39</f>
        <v>0</v>
      </c>
      <c r="AA39" s="38">
        <f>+Cash_Flow_Qtr!BD39</f>
        <v>0</v>
      </c>
      <c r="AB39" s="38">
        <f>+Cash_Flow_Qtr!BI39</f>
        <v>0</v>
      </c>
      <c r="AC39" s="43">
        <v>0</v>
      </c>
      <c r="AD39" s="43">
        <v>0</v>
      </c>
      <c r="AE39" s="43">
        <v>0</v>
      </c>
      <c r="AF39" s="43">
        <v>0</v>
      </c>
    </row>
    <row r="40" spans="1:33">
      <c r="A40" s="1" t="str">
        <f>Cash_Flow_Qtr!A40</f>
        <v>Dividends Paid on Common Stock</v>
      </c>
      <c r="B40" s="43"/>
      <c r="C40" s="43"/>
      <c r="D40" s="43"/>
      <c r="E40" s="43"/>
      <c r="F40" s="43"/>
      <c r="G40" s="43"/>
      <c r="H40" s="43"/>
      <c r="I40" s="43"/>
      <c r="J40" s="43"/>
      <c r="K40" s="43"/>
      <c r="L40" s="43"/>
      <c r="M40" s="43"/>
      <c r="N40" s="43"/>
      <c r="O40" s="43"/>
      <c r="P40" s="43"/>
      <c r="Q40" s="38">
        <f>+Cash_Flow_Qtr!F40</f>
        <v>0</v>
      </c>
      <c r="R40" s="38">
        <f>+Cash_Flow_Qtr!K40</f>
        <v>0</v>
      </c>
      <c r="S40" s="38">
        <f>+Cash_Flow_Qtr!P40</f>
        <v>0</v>
      </c>
      <c r="T40" s="38">
        <f>+Cash_Flow_Qtr!U40</f>
        <v>0</v>
      </c>
      <c r="U40" s="38">
        <f>+Cash_Flow_Qtr!Z40</f>
        <v>-2442</v>
      </c>
      <c r="V40" s="38">
        <f>+Cash_Flow_Qtr!AE40</f>
        <v>-2732</v>
      </c>
      <c r="W40" s="38">
        <f>+Cash_Flow_Qtr!AJ40</f>
        <v>-2957</v>
      </c>
      <c r="X40" s="38">
        <f>+Cash_Flow_Qtr!AO40</f>
        <v>-3128</v>
      </c>
      <c r="Y40" s="38">
        <f>+Cash_Flow_Qtr!AT40</f>
        <v>-3239</v>
      </c>
      <c r="Z40" s="38">
        <f>+Cash_Flow_Qtr!AY40</f>
        <v>-3217</v>
      </c>
      <c r="AA40" s="38">
        <f>+Cash_Flow_Qtr!BD40</f>
        <v>-3574</v>
      </c>
      <c r="AB40" s="38">
        <f>+Cash_Flow_Qtr!BI40</f>
        <v>-3875.597142749667</v>
      </c>
      <c r="AC40" s="38">
        <f>-AC79*ProForma_IS_Annual!AC67</f>
        <v>-4147.1367469239631</v>
      </c>
      <c r="AD40" s="38">
        <f>-AD79*ProForma_IS_Annual!AD67</f>
        <v>-4416.9068396489192</v>
      </c>
      <c r="AE40" s="38">
        <f>-AE79*ProForma_IS_Annual!AE67</f>
        <v>-4708.2949312036153</v>
      </c>
      <c r="AF40" s="38">
        <f>-AF79*ProForma_IS_Annual!AF67</f>
        <v>-5021.3166319088014</v>
      </c>
      <c r="AG40" s="315" t="s">
        <v>455</v>
      </c>
    </row>
    <row r="41" spans="1:33">
      <c r="A41" s="1" t="str">
        <f>Cash_Flow_Qtr!A41</f>
        <v>Repurchases of Common Stock</v>
      </c>
      <c r="B41" s="43"/>
      <c r="C41" s="43"/>
      <c r="D41" s="43"/>
      <c r="E41" s="43"/>
      <c r="F41" s="43"/>
      <c r="G41" s="43"/>
      <c r="H41" s="43"/>
      <c r="I41" s="43"/>
      <c r="J41" s="43"/>
      <c r="K41" s="43"/>
      <c r="L41" s="43"/>
      <c r="M41" s="43"/>
      <c r="N41" s="43"/>
      <c r="O41" s="43"/>
      <c r="P41" s="43"/>
      <c r="Q41" s="38">
        <f>+Cash_Flow_Qtr!F41</f>
        <v>0</v>
      </c>
      <c r="R41" s="38">
        <f>+Cash_Flow_Qtr!K41</f>
        <v>0</v>
      </c>
      <c r="S41" s="38">
        <f>+Cash_Flow_Qtr!P41</f>
        <v>0</v>
      </c>
      <c r="T41" s="38">
        <f>+Cash_Flow_Qtr!U41</f>
        <v>0</v>
      </c>
      <c r="U41" s="38">
        <f>+Cash_Flow_Qtr!Z41</f>
        <v>-151</v>
      </c>
      <c r="V41" s="38">
        <f>+Cash_Flow_Qtr!AE41</f>
        <v>-47</v>
      </c>
      <c r="W41" s="38">
        <f>+Cash_Flow_Qtr!AJ41</f>
        <v>-2327</v>
      </c>
      <c r="X41" s="38">
        <f>+Cash_Flow_Qtr!AO41</f>
        <v>-2803</v>
      </c>
      <c r="Y41" s="38">
        <f>+Cash_Flow_Qtr!AT41</f>
        <v>-12870</v>
      </c>
      <c r="Z41" s="38">
        <f>+Cash_Flow_Qtr!AY41</f>
        <v>-444</v>
      </c>
      <c r="AA41" s="38">
        <f>+Cash_Flow_Qtr!BD41</f>
        <v>-50</v>
      </c>
      <c r="AB41" s="38">
        <f>+Cash_Flow_Qtr!BI41</f>
        <v>0</v>
      </c>
      <c r="AC41" s="43">
        <v>-4000</v>
      </c>
      <c r="AD41" s="43">
        <v>-4000</v>
      </c>
      <c r="AE41" s="43">
        <v>-4000</v>
      </c>
      <c r="AF41" s="43">
        <v>-4000</v>
      </c>
    </row>
    <row r="42" spans="1:33">
      <c r="A42" s="1" t="str">
        <f>Cash_Flow_Qtr!A42</f>
        <v>Net Transfers (to) from Discontinued Operations</v>
      </c>
      <c r="B42" s="43"/>
      <c r="C42" s="43"/>
      <c r="D42" s="43"/>
      <c r="E42" s="43"/>
      <c r="F42" s="43"/>
      <c r="G42" s="43"/>
      <c r="H42" s="43"/>
      <c r="I42" s="43"/>
      <c r="J42" s="43"/>
      <c r="K42" s="43"/>
      <c r="L42" s="43"/>
      <c r="M42" s="43"/>
      <c r="N42" s="43"/>
      <c r="O42" s="43"/>
      <c r="P42" s="43"/>
      <c r="Q42" s="38">
        <f>+Cash_Flow_Qtr!F42</f>
        <v>0</v>
      </c>
      <c r="R42" s="38">
        <f>+Cash_Flow_Qtr!K42</f>
        <v>0</v>
      </c>
      <c r="S42" s="38">
        <f>+Cash_Flow_Qtr!P42</f>
        <v>0</v>
      </c>
      <c r="T42" s="38">
        <f>+Cash_Flow_Qtr!U42</f>
        <v>0</v>
      </c>
      <c r="U42" s="38">
        <f>+Cash_Flow_Qtr!Z42</f>
        <v>2387</v>
      </c>
      <c r="V42" s="38">
        <f>+Cash_Flow_Qtr!AE42</f>
        <v>-2033</v>
      </c>
      <c r="W42" s="38">
        <f>+Cash_Flow_Qtr!AJ42</f>
        <v>-71</v>
      </c>
      <c r="X42" s="38">
        <f>+Cash_Flow_Qtr!AO42</f>
        <v>0</v>
      </c>
      <c r="Y42" s="38">
        <f>+Cash_Flow_Qtr!AT42</f>
        <v>0</v>
      </c>
      <c r="Z42" s="38">
        <f>+Cash_Flow_Qtr!AY42</f>
        <v>0</v>
      </c>
      <c r="AA42" s="38">
        <f>+Cash_Flow_Qtr!BD42</f>
        <v>0</v>
      </c>
      <c r="AB42" s="38">
        <f>+Cash_Flow_Qtr!BI42</f>
        <v>0</v>
      </c>
      <c r="AC42" s="38">
        <f>Balance_Sheet_Annual!AB10-Balance_Sheet_Annual!AC10+Balance_Sheet_Annual!AC32-Balance_Sheet_Annual!AB32</f>
        <v>0</v>
      </c>
      <c r="AD42" s="38">
        <f>Balance_Sheet_Annual!AC10-Balance_Sheet_Annual!AD10+Balance_Sheet_Annual!AD32-Balance_Sheet_Annual!AC32</f>
        <v>0</v>
      </c>
      <c r="AE42" s="38">
        <f>Balance_Sheet_Annual!AD10-Balance_Sheet_Annual!AE10+Balance_Sheet_Annual!AE32-Balance_Sheet_Annual!AD32</f>
        <v>0</v>
      </c>
      <c r="AF42" s="38">
        <f>Balance_Sheet_Annual!AE10-Balance_Sheet_Annual!AF10+Balance_Sheet_Annual!AF32-Balance_Sheet_Annual!AE32</f>
        <v>0</v>
      </c>
    </row>
    <row r="43" spans="1:33">
      <c r="A43" s="1" t="str">
        <f>Cash_Flow_Qtr!A43</f>
        <v>Other, Net</v>
      </c>
      <c r="B43" s="43"/>
      <c r="C43" s="43"/>
      <c r="D43" s="43"/>
      <c r="E43" s="43"/>
      <c r="F43" s="43"/>
      <c r="G43" s="43"/>
      <c r="H43" s="43"/>
      <c r="I43" s="43"/>
      <c r="J43" s="43"/>
      <c r="K43" s="43"/>
      <c r="L43" s="43"/>
      <c r="M43" s="43"/>
      <c r="N43" s="43"/>
      <c r="O43" s="43"/>
      <c r="P43" s="43"/>
      <c r="Q43" s="38">
        <f>+Cash_Flow_Qtr!F43</f>
        <v>0</v>
      </c>
      <c r="R43" s="38">
        <f>+Cash_Flow_Qtr!K43</f>
        <v>0</v>
      </c>
      <c r="S43" s="38">
        <f>+Cash_Flow_Qtr!P43</f>
        <v>0</v>
      </c>
      <c r="T43" s="38">
        <f>+Cash_Flow_Qtr!U43</f>
        <v>0</v>
      </c>
      <c r="U43" s="38">
        <f>+Cash_Flow_Qtr!Z43</f>
        <v>82</v>
      </c>
      <c r="V43" s="38">
        <f>+Cash_Flow_Qtr!AE43</f>
        <v>-151</v>
      </c>
      <c r="W43" s="38">
        <f>+Cash_Flow_Qtr!AJ43</f>
        <v>-1103</v>
      </c>
      <c r="X43" s="38">
        <f>+Cash_Flow_Qtr!AO43</f>
        <v>103</v>
      </c>
      <c r="Y43" s="38">
        <f>+Cash_Flow_Qtr!AT43</f>
        <v>-841</v>
      </c>
      <c r="Z43" s="38">
        <f>+Cash_Flow_Qtr!AY43</f>
        <v>-452</v>
      </c>
      <c r="AA43" s="38">
        <f>+Cash_Flow_Qtr!BD43</f>
        <v>-433</v>
      </c>
      <c r="AB43" s="38">
        <f>+Cash_Flow_Qtr!BI43</f>
        <v>-487</v>
      </c>
      <c r="AC43" s="38">
        <f>Balance_Sheet_Annual!AC45-Balance_Sheet_Annual!AB45</f>
        <v>0</v>
      </c>
      <c r="AD43" s="38">
        <f>Balance_Sheet_Annual!AD45-Balance_Sheet_Annual!AC45</f>
        <v>0</v>
      </c>
      <c r="AE43" s="38">
        <f>Balance_Sheet_Annual!AE45-Balance_Sheet_Annual!AD45</f>
        <v>0</v>
      </c>
      <c r="AF43" s="38">
        <f>Balance_Sheet_Annual!AF45-Balance_Sheet_Annual!AE45</f>
        <v>0</v>
      </c>
    </row>
    <row r="44" spans="1:33">
      <c r="A44" s="8" t="str">
        <f>Cash_Flow_Qtr!A44</f>
        <v>Net Cash from Financing</v>
      </c>
      <c r="B44" s="24"/>
      <c r="C44" s="24"/>
      <c r="D44" s="24"/>
      <c r="E44" s="24"/>
      <c r="F44" s="24"/>
      <c r="G44" s="24"/>
      <c r="H44" s="24"/>
      <c r="I44" s="24"/>
      <c r="J44" s="24"/>
      <c r="K44" s="24"/>
      <c r="L44" s="24"/>
      <c r="M44" s="24"/>
      <c r="N44" s="24"/>
      <c r="O44" s="24"/>
      <c r="P44" s="24"/>
      <c r="Q44" s="182">
        <f>+Cash_Flow_Qtr!F44</f>
        <v>0</v>
      </c>
      <c r="R44" s="182">
        <f>+Cash_Flow_Qtr!K44</f>
        <v>0</v>
      </c>
      <c r="S44" s="182">
        <f>+Cash_Flow_Qtr!P44</f>
        <v>0</v>
      </c>
      <c r="T44" s="182">
        <f>+Cash_Flow_Qtr!U44</f>
        <v>0</v>
      </c>
      <c r="U44" s="182">
        <f>+Cash_Flow_Qtr!Z44</f>
        <v>-1913</v>
      </c>
      <c r="V44" s="182">
        <f>+Cash_Flow_Qtr!AE44</f>
        <v>-3860</v>
      </c>
      <c r="W44" s="182">
        <f>+Cash_Flow_Qtr!AJ44</f>
        <v>-6756</v>
      </c>
      <c r="X44" s="182">
        <f>+Cash_Flow_Qtr!AO44</f>
        <v>-5859</v>
      </c>
      <c r="Y44" s="182">
        <f>+Cash_Flow_Qtr!AT44</f>
        <v>-4527</v>
      </c>
      <c r="Z44" s="182">
        <f>+Cash_Flow_Qtr!AY44</f>
        <v>-6617</v>
      </c>
      <c r="AA44" s="182">
        <f>+Cash_Flow_Qtr!BD44</f>
        <v>-7486</v>
      </c>
      <c r="AB44" s="182">
        <f>+Cash_Flow_Qtr!BI44</f>
        <v>-7755.597142749667</v>
      </c>
      <c r="AC44" s="24">
        <f>+SUM(AC37:AC43)</f>
        <v>-9247.1367469239631</v>
      </c>
      <c r="AD44" s="24">
        <f>+SUM(AD37:AD43)</f>
        <v>-8416.9068396489201</v>
      </c>
      <c r="AE44" s="24">
        <f>+SUM(AE37:AE43)</f>
        <v>-8708.2949312036144</v>
      </c>
      <c r="AF44" s="24">
        <f>+SUM(AF37:AF43)</f>
        <v>-9021.3166319088014</v>
      </c>
    </row>
    <row r="45" spans="1:33">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06"/>
      <c r="AD45" s="206"/>
      <c r="AE45" s="206"/>
      <c r="AF45" s="206"/>
    </row>
    <row r="46" spans="1:33">
      <c r="A46" t="s">
        <v>284</v>
      </c>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06"/>
      <c r="AD46" s="206"/>
      <c r="AE46" s="206"/>
      <c r="AF46" s="206"/>
    </row>
    <row r="47" spans="1:33">
      <c r="A47" s="1" t="s">
        <v>285</v>
      </c>
      <c r="B47" s="43"/>
      <c r="C47" s="43"/>
      <c r="D47" s="43"/>
      <c r="E47" s="43"/>
      <c r="F47" s="43"/>
      <c r="G47" s="43"/>
      <c r="H47" s="43"/>
      <c r="I47" s="43"/>
      <c r="J47" s="43"/>
      <c r="K47" s="43"/>
      <c r="L47" s="43"/>
      <c r="M47" s="43"/>
      <c r="N47" s="43"/>
      <c r="O47" s="43"/>
      <c r="P47" s="43"/>
      <c r="Q47" s="38">
        <f>+Cash_Flow_Qtr!F47</f>
        <v>0</v>
      </c>
      <c r="R47" s="38">
        <f>+Cash_Flow_Qtr!K47</f>
        <v>0</v>
      </c>
      <c r="S47" s="38">
        <f>+Cash_Flow_Qtr!P47</f>
        <v>0</v>
      </c>
      <c r="T47" s="38">
        <f>+Cash_Flow_Qtr!U47</f>
        <v>0</v>
      </c>
      <c r="U47" s="38">
        <f>+Cash_Flow_Qtr!Z47</f>
        <v>3062</v>
      </c>
      <c r="V47" s="38">
        <f>+Cash_Flow_Qtr!AE47</f>
        <v>-728</v>
      </c>
      <c r="W47" s="38">
        <f>+Cash_Flow_Qtr!AJ47</f>
        <v>-71</v>
      </c>
      <c r="X47" s="38">
        <f>+Cash_Flow_Qtr!AO47</f>
        <v>0</v>
      </c>
      <c r="Y47" s="38">
        <f>+Cash_Flow_Qtr!AT47</f>
        <v>0</v>
      </c>
      <c r="Z47" s="38">
        <f>+Cash_Flow_Qtr!AY47</f>
        <v>0</v>
      </c>
      <c r="AA47" s="38">
        <f>+Cash_Flow_Qtr!BD47</f>
        <v>0</v>
      </c>
      <c r="AB47" s="38">
        <f>+Cash_Flow_Qtr!BI47</f>
        <v>0</v>
      </c>
      <c r="AC47" s="43">
        <v>0</v>
      </c>
      <c r="AD47" s="43">
        <v>0</v>
      </c>
      <c r="AE47" s="43">
        <v>0</v>
      </c>
      <c r="AF47" s="43">
        <v>0</v>
      </c>
    </row>
    <row r="48" spans="1:33">
      <c r="A48" s="1" t="s">
        <v>286</v>
      </c>
      <c r="B48" s="43"/>
      <c r="C48" s="43"/>
      <c r="D48" s="43"/>
      <c r="E48" s="43"/>
      <c r="F48" s="43"/>
      <c r="G48" s="43"/>
      <c r="H48" s="43"/>
      <c r="I48" s="43"/>
      <c r="J48" s="43"/>
      <c r="K48" s="43"/>
      <c r="L48" s="43"/>
      <c r="M48" s="43"/>
      <c r="N48" s="43"/>
      <c r="O48" s="43"/>
      <c r="P48" s="43"/>
      <c r="Q48" s="38">
        <f>+Cash_Flow_Qtr!F48</f>
        <v>0</v>
      </c>
      <c r="R48" s="38">
        <f>+Cash_Flow_Qtr!K48</f>
        <v>0</v>
      </c>
      <c r="S48" s="38">
        <f>+Cash_Flow_Qtr!P48</f>
        <v>0</v>
      </c>
      <c r="T48" s="38">
        <f>+Cash_Flow_Qtr!U48</f>
        <v>0</v>
      </c>
      <c r="U48" s="38">
        <f>+Cash_Flow_Qtr!Z48</f>
        <v>-416</v>
      </c>
      <c r="V48" s="38">
        <f>+Cash_Flow_Qtr!AE48</f>
        <v>-241</v>
      </c>
      <c r="W48" s="38">
        <f>+Cash_Flow_Qtr!AJ48</f>
        <v>0</v>
      </c>
      <c r="X48" s="38">
        <f>+Cash_Flow_Qtr!AO48</f>
        <v>0</v>
      </c>
      <c r="Y48" s="38">
        <f>+Cash_Flow_Qtr!AT48</f>
        <v>0</v>
      </c>
      <c r="Z48" s="38">
        <f>+Cash_Flow_Qtr!AY48</f>
        <v>0</v>
      </c>
      <c r="AA48" s="38">
        <f>+Cash_Flow_Qtr!BD48</f>
        <v>0</v>
      </c>
      <c r="AB48" s="38">
        <f>+Cash_Flow_Qtr!BI48</f>
        <v>0</v>
      </c>
      <c r="AC48" s="43">
        <v>0</v>
      </c>
      <c r="AD48" s="43">
        <v>0</v>
      </c>
      <c r="AE48" s="43">
        <v>0</v>
      </c>
      <c r="AF48" s="43">
        <v>0</v>
      </c>
    </row>
    <row r="49" spans="1:45">
      <c r="A49" s="1" t="s">
        <v>287</v>
      </c>
      <c r="B49" s="43"/>
      <c r="C49" s="43"/>
      <c r="D49" s="43"/>
      <c r="E49" s="43"/>
      <c r="F49" s="43"/>
      <c r="G49" s="43"/>
      <c r="H49" s="43"/>
      <c r="I49" s="43"/>
      <c r="J49" s="43"/>
      <c r="K49" s="43"/>
      <c r="L49" s="43"/>
      <c r="M49" s="43"/>
      <c r="N49" s="43"/>
      <c r="O49" s="43"/>
      <c r="P49" s="43"/>
      <c r="Q49" s="38">
        <f>+Cash_Flow_Qtr!F49</f>
        <v>0</v>
      </c>
      <c r="R49" s="38">
        <f>+Cash_Flow_Qtr!K49</f>
        <v>0</v>
      </c>
      <c r="S49" s="38">
        <f>+Cash_Flow_Qtr!P49</f>
        <v>0</v>
      </c>
      <c r="T49" s="38">
        <f>+Cash_Flow_Qtr!U49</f>
        <v>0</v>
      </c>
      <c r="U49" s="38">
        <f>+Cash_Flow_Qtr!Z49</f>
        <v>-2651</v>
      </c>
      <c r="V49" s="38">
        <f>+Cash_Flow_Qtr!AE49</f>
        <v>-1414</v>
      </c>
      <c r="W49" s="38">
        <f>+Cash_Flow_Qtr!AJ49</f>
        <v>71</v>
      </c>
      <c r="X49" s="38">
        <f>+Cash_Flow_Qtr!AO49</f>
        <v>0</v>
      </c>
      <c r="Y49" s="38">
        <f>+Cash_Flow_Qtr!AT49</f>
        <v>0</v>
      </c>
      <c r="Z49" s="38">
        <f>+Cash_Flow_Qtr!AY49</f>
        <v>0</v>
      </c>
      <c r="AA49" s="38">
        <f>+Cash_Flow_Qtr!BD49</f>
        <v>0</v>
      </c>
      <c r="AB49" s="38">
        <f>+Cash_Flow_Qtr!BI49</f>
        <v>0</v>
      </c>
      <c r="AC49" s="43">
        <v>0</v>
      </c>
      <c r="AD49" s="43">
        <v>0</v>
      </c>
      <c r="AE49" s="43">
        <v>0</v>
      </c>
      <c r="AF49" s="43">
        <v>0</v>
      </c>
    </row>
    <row r="50" spans="1:45">
      <c r="A50" s="8" t="s">
        <v>288</v>
      </c>
      <c r="B50" s="24"/>
      <c r="C50" s="24"/>
      <c r="D50" s="24"/>
      <c r="E50" s="24"/>
      <c r="F50" s="24"/>
      <c r="G50" s="24"/>
      <c r="H50" s="24"/>
      <c r="I50" s="24"/>
      <c r="J50" s="24"/>
      <c r="K50" s="24"/>
      <c r="L50" s="24"/>
      <c r="M50" s="24"/>
      <c r="N50" s="24"/>
      <c r="O50" s="24"/>
      <c r="P50" s="24"/>
      <c r="Q50" s="182">
        <f>+Cash_Flow_Qtr!F50</f>
        <v>0</v>
      </c>
      <c r="R50" s="182">
        <f>+Cash_Flow_Qtr!K50</f>
        <v>0</v>
      </c>
      <c r="S50" s="182">
        <f>+Cash_Flow_Qtr!P50</f>
        <v>0</v>
      </c>
      <c r="T50" s="182">
        <f>+Cash_Flow_Qtr!U50</f>
        <v>0</v>
      </c>
      <c r="U50" s="182">
        <f>+Cash_Flow_Qtr!Z50</f>
        <v>-5</v>
      </c>
      <c r="V50" s="182">
        <f>+Cash_Flow_Qtr!AE50</f>
        <v>-2383</v>
      </c>
      <c r="W50" s="182">
        <f>+Cash_Flow_Qtr!AJ50</f>
        <v>0</v>
      </c>
      <c r="X50" s="182">
        <f>+Cash_Flow_Qtr!AO50</f>
        <v>0</v>
      </c>
      <c r="Y50" s="182">
        <f>+Cash_Flow_Qtr!AT50</f>
        <v>0</v>
      </c>
      <c r="Z50" s="182">
        <f>+Cash_Flow_Qtr!AY50</f>
        <v>0</v>
      </c>
      <c r="AA50" s="182">
        <f>+Cash_Flow_Qtr!BD50</f>
        <v>0</v>
      </c>
      <c r="AB50" s="182">
        <f>+Cash_Flow_Qtr!BI50</f>
        <v>0</v>
      </c>
      <c r="AC50" s="24">
        <f>SUM(AC47:AC49)</f>
        <v>0</v>
      </c>
      <c r="AD50" s="24">
        <f>SUM(AD47:AD49)</f>
        <v>0</v>
      </c>
      <c r="AE50" s="24">
        <f>SUM(AE47:AE49)</f>
        <v>0</v>
      </c>
      <c r="AF50" s="24">
        <f>SUM(AF47:AF49)</f>
        <v>0</v>
      </c>
    </row>
    <row r="51" spans="1:45">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06"/>
      <c r="AD51" s="206"/>
      <c r="AE51" s="206"/>
      <c r="AF51" s="206"/>
    </row>
    <row r="52" spans="1:45" s="112" customFormat="1">
      <c r="A52" s="269" t="str">
        <f>Cash_Flow_Qtr!A52</f>
        <v>Effect of Exchange Rates on Cash &amp; Cash Equivalents</v>
      </c>
      <c r="B52" s="43"/>
      <c r="C52" s="43"/>
      <c r="D52" s="43"/>
      <c r="E52" s="43"/>
      <c r="F52" s="43"/>
      <c r="G52" s="43"/>
      <c r="H52" s="43"/>
      <c r="I52" s="43"/>
      <c r="J52" s="43"/>
      <c r="K52" s="43"/>
      <c r="L52" s="43"/>
      <c r="M52" s="43"/>
      <c r="N52" s="43"/>
      <c r="O52" s="43"/>
      <c r="P52" s="43"/>
      <c r="Q52" s="38">
        <f>+Cash_Flow_Qtr!F52</f>
        <v>0</v>
      </c>
      <c r="R52" s="38">
        <f>+Cash_Flow_Qtr!K52</f>
        <v>0</v>
      </c>
      <c r="S52" s="38">
        <f>+Cash_Flow_Qtr!P52</f>
        <v>0</v>
      </c>
      <c r="T52" s="38">
        <f>+Cash_Flow_Qtr!U52</f>
        <v>0</v>
      </c>
      <c r="U52" s="38">
        <f>+Cash_Flow_Qtr!Z52</f>
        <v>-19</v>
      </c>
      <c r="V52" s="38">
        <f>+Cash_Flow_Qtr!AE52</f>
        <v>-22</v>
      </c>
      <c r="W52" s="38">
        <f>+Cash_Flow_Qtr!AJ52</f>
        <v>-1</v>
      </c>
      <c r="X52" s="38">
        <f>+Cash_Flow_Qtr!AO52</f>
        <v>-42</v>
      </c>
      <c r="Y52" s="38">
        <f>+Cash_Flow_Qtr!AT52</f>
        <v>18</v>
      </c>
      <c r="Z52" s="38">
        <f>+Cash_Flow_Qtr!AY52</f>
        <v>-28</v>
      </c>
      <c r="AA52" s="38">
        <f>+Cash_Flow_Qtr!BD52</f>
        <v>48</v>
      </c>
      <c r="AB52" s="38">
        <f>+Cash_Flow_Qtr!BI52</f>
        <v>-19</v>
      </c>
      <c r="AC52" s="43">
        <v>0</v>
      </c>
      <c r="AD52" s="43">
        <v>0</v>
      </c>
      <c r="AE52" s="43">
        <v>0</v>
      </c>
      <c r="AF52" s="43">
        <v>0</v>
      </c>
      <c r="AG52" s="318"/>
      <c r="AN52"/>
      <c r="AO52"/>
      <c r="AP52"/>
      <c r="AQ52"/>
      <c r="AR52"/>
      <c r="AS52"/>
    </row>
    <row r="53" spans="1:45" s="112" customFormat="1">
      <c r="A53" s="269" t="str">
        <f>Cash_Flow_Qtr!A53</f>
        <v xml:space="preserve">Other Adjustments </v>
      </c>
      <c r="B53" s="43"/>
      <c r="C53" s="43"/>
      <c r="D53" s="43"/>
      <c r="E53" s="43"/>
      <c r="F53" s="43"/>
      <c r="G53" s="43"/>
      <c r="H53" s="43"/>
      <c r="I53" s="43"/>
      <c r="J53" s="43"/>
      <c r="K53" s="43"/>
      <c r="L53" s="43"/>
      <c r="M53" s="43"/>
      <c r="N53" s="43"/>
      <c r="O53" s="43"/>
      <c r="P53" s="43"/>
      <c r="Q53" s="38">
        <f>+Cash_Flow_Qtr!F53</f>
        <v>0</v>
      </c>
      <c r="R53" s="38">
        <f>+Cash_Flow_Qtr!K53</f>
        <v>0</v>
      </c>
      <c r="S53" s="38">
        <f>+Cash_Flow_Qtr!P53</f>
        <v>0</v>
      </c>
      <c r="T53" s="38">
        <f>+Cash_Flow_Qtr!U53</f>
        <v>0</v>
      </c>
      <c r="U53" s="38">
        <f>+Cash_Flow_Qtr!Z53</f>
        <v>0</v>
      </c>
      <c r="V53" s="38">
        <f>+Cash_Flow_Qtr!AE53</f>
        <v>0</v>
      </c>
      <c r="W53" s="38">
        <f>+Cash_Flow_Qtr!AJ53</f>
        <v>0</v>
      </c>
      <c r="X53" s="38">
        <f>+Cash_Flow_Qtr!AO53</f>
        <v>0</v>
      </c>
      <c r="Y53" s="38">
        <f>+Cash_Flow_Qtr!AT53</f>
        <v>0</v>
      </c>
      <c r="Z53" s="38">
        <f>+Cash_Flow_Qtr!AY53</f>
        <v>0</v>
      </c>
      <c r="AA53" s="38">
        <f>+Cash_Flow_Qtr!BD53</f>
        <v>0</v>
      </c>
      <c r="AB53" s="38">
        <f>+Cash_Flow_Qtr!BI53</f>
        <v>0</v>
      </c>
      <c r="AC53" s="43">
        <v>0</v>
      </c>
      <c r="AD53" s="43">
        <v>0</v>
      </c>
      <c r="AE53" s="43">
        <v>0</v>
      </c>
      <c r="AF53" s="43">
        <v>0</v>
      </c>
      <c r="AG53" s="318"/>
      <c r="AN53"/>
      <c r="AO53"/>
      <c r="AP53"/>
      <c r="AQ53"/>
      <c r="AR53"/>
      <c r="AS53"/>
    </row>
    <row r="54" spans="1:45">
      <c r="A54" s="16" t="str">
        <f>Cash_Flow_Qtr!A54</f>
        <v>Net Change in Cash and Cash Equivalents</v>
      </c>
      <c r="B54" s="79"/>
      <c r="C54" s="79"/>
      <c r="D54" s="79"/>
      <c r="E54" s="79"/>
      <c r="F54" s="79"/>
      <c r="G54" s="79"/>
      <c r="H54" s="79"/>
      <c r="I54" s="79"/>
      <c r="J54" s="79"/>
      <c r="K54" s="79"/>
      <c r="L54" s="79"/>
      <c r="M54" s="79"/>
      <c r="N54" s="79"/>
      <c r="O54" s="79"/>
      <c r="P54" s="79"/>
      <c r="Q54" s="169">
        <f>+Cash_Flow_Qtr!F54</f>
        <v>0</v>
      </c>
      <c r="R54" s="169">
        <f>+Cash_Flow_Qtr!K54</f>
        <v>0</v>
      </c>
      <c r="S54" s="169">
        <f>+Cash_Flow_Qtr!P54</f>
        <v>0</v>
      </c>
      <c r="T54" s="169">
        <f>+Cash_Flow_Qtr!U54</f>
        <v>0</v>
      </c>
      <c r="U54" s="169">
        <f>+Cash_Flow_Qtr!Z54</f>
        <v>1208</v>
      </c>
      <c r="V54" s="169">
        <f>+Cash_Flow_Qtr!AE54</f>
        <v>1412</v>
      </c>
      <c r="W54" s="169">
        <f>+Cash_Flow_Qtr!AJ54</f>
        <v>-979</v>
      </c>
      <c r="X54" s="169">
        <f>+Cash_Flow_Qtr!AO54</f>
        <v>-1562</v>
      </c>
      <c r="Y54" s="169">
        <f>+Cash_Flow_Qtr!AT54</f>
        <v>335</v>
      </c>
      <c r="Z54" s="169">
        <f>+Cash_Flow_Qtr!AY54</f>
        <v>-1020</v>
      </c>
      <c r="AA54" s="169">
        <f>+Cash_Flow_Qtr!BD54</f>
        <v>1864</v>
      </c>
      <c r="AB54" s="169">
        <f>+Cash_Flow_Qtr!BI54</f>
        <v>1221.2143587620139</v>
      </c>
      <c r="AC54" s="79">
        <f>+SUM(AC44,AC32,AC21,AC50,AC52,AC53)</f>
        <v>835.62610975746975</v>
      </c>
      <c r="AD54" s="79">
        <f>+SUM(AD44,AD32,AD21,AD50,AD52,AD53)</f>
        <v>2743.2321525681054</v>
      </c>
      <c r="AE54" s="79">
        <f>+SUM(AE44,AE32,AE21,AE50,AE52,AE53)</f>
        <v>2971.1989616673291</v>
      </c>
      <c r="AF54" s="79">
        <f>+SUM(AF44,AF32,AF21,AF50,AF52,AF53)</f>
        <v>3103.7857410110155</v>
      </c>
    </row>
    <row r="55" spans="1:45">
      <c r="A55" s="16"/>
      <c r="B55" s="79"/>
      <c r="C55" s="79"/>
      <c r="D55" s="79"/>
      <c r="E55" s="79"/>
      <c r="F55" s="79"/>
      <c r="G55" s="79"/>
      <c r="H55" s="79"/>
      <c r="I55" s="79"/>
      <c r="J55" s="79"/>
      <c r="K55" s="79"/>
      <c r="L55" s="79"/>
      <c r="M55" s="79"/>
      <c r="N55" s="79"/>
      <c r="O55" s="79"/>
      <c r="P55" s="79"/>
      <c r="Q55" s="79"/>
      <c r="R55" s="79"/>
      <c r="S55" s="79"/>
      <c r="T55" s="79"/>
      <c r="U55" s="79"/>
      <c r="V55" s="79"/>
      <c r="W55" s="79"/>
      <c r="X55" s="79"/>
      <c r="Y55" s="79"/>
      <c r="Z55" s="79"/>
      <c r="AA55" s="79"/>
      <c r="AB55" s="79"/>
      <c r="AC55" s="79"/>
      <c r="AD55" s="79"/>
      <c r="AE55" s="79"/>
      <c r="AF55" s="79"/>
    </row>
    <row r="56" spans="1:45">
      <c r="A56" s="15" t="str">
        <f>Cash_Flow_Qtr!A56</f>
        <v>Cash, Cash Equivalents and Restricted Cash at Beginning of Period</v>
      </c>
      <c r="B56" s="30"/>
      <c r="C56" s="24"/>
      <c r="D56" s="24"/>
      <c r="E56" s="24"/>
      <c r="F56" s="24"/>
      <c r="G56" s="24"/>
      <c r="H56" s="24"/>
      <c r="I56" s="24"/>
      <c r="J56" s="24"/>
      <c r="K56" s="24"/>
      <c r="L56" s="24"/>
      <c r="M56" s="24"/>
      <c r="N56" s="24"/>
      <c r="O56" s="24"/>
      <c r="P56" s="24"/>
      <c r="Q56" s="182">
        <f>+Cash_Flow_Qtr!F56</f>
        <v>0</v>
      </c>
      <c r="R56" s="182">
        <f>+Cash_Flow_Qtr!K56</f>
        <v>0</v>
      </c>
      <c r="S56" s="182">
        <f>+Cash_Flow_Qtr!P56</f>
        <v>0</v>
      </c>
      <c r="T56" s="182">
        <f>+Cash_Flow_Qtr!U56</f>
        <v>0</v>
      </c>
      <c r="U56" s="182">
        <f>+Cash_Flow_Qtr!Z56</f>
        <v>6212</v>
      </c>
      <c r="V56" s="182">
        <f>+Cash_Flow_Qtr!AE56</f>
        <v>7420</v>
      </c>
      <c r="W56" s="182">
        <f>+Cash_Flow_Qtr!AJ56</f>
        <v>8832</v>
      </c>
      <c r="X56" s="182">
        <f>+Cash_Flow_Qtr!AO56</f>
        <v>7853</v>
      </c>
      <c r="Y56" s="182">
        <f>+Cash_Flow_Qtr!AT56</f>
        <v>6291</v>
      </c>
      <c r="Z56" s="182">
        <f>+Cash_Flow_Qtr!AY56</f>
        <v>6626</v>
      </c>
      <c r="AA56" s="182">
        <f>+Cash_Flow_Qtr!BD56</f>
        <v>5606</v>
      </c>
      <c r="AB56" s="182">
        <f>+Cash_Flow_Qtr!BI56</f>
        <v>7470</v>
      </c>
      <c r="AC56" s="24">
        <f>+AB57</f>
        <v>8691.2143587620139</v>
      </c>
      <c r="AD56" s="24">
        <f>+AC57</f>
        <v>9526.8404685194837</v>
      </c>
      <c r="AE56" s="24">
        <f>+AD57</f>
        <v>12270.072621087589</v>
      </c>
      <c r="AF56" s="24">
        <f>+AE57</f>
        <v>15241.271582754918</v>
      </c>
    </row>
    <row r="57" spans="1:45">
      <c r="A57" s="15" t="str">
        <f>Cash_Flow_Qtr!A57</f>
        <v>Cash, Cash Equivalents and Restricted Cash at End of Period</v>
      </c>
      <c r="B57" s="24"/>
      <c r="C57" s="24"/>
      <c r="D57" s="24"/>
      <c r="E57" s="24"/>
      <c r="F57" s="24"/>
      <c r="G57" s="24"/>
      <c r="H57" s="24"/>
      <c r="I57" s="24"/>
      <c r="J57" s="24"/>
      <c r="K57" s="24"/>
      <c r="L57" s="24"/>
      <c r="M57" s="24"/>
      <c r="N57" s="24"/>
      <c r="O57" s="24"/>
      <c r="P57" s="24"/>
      <c r="Q57" s="182">
        <f>+Cash_Flow_Qtr!F57</f>
        <v>0</v>
      </c>
      <c r="R57" s="182">
        <f>+Cash_Flow_Qtr!K57</f>
        <v>0</v>
      </c>
      <c r="S57" s="182">
        <f>+Cash_Flow_Qtr!P57</f>
        <v>0</v>
      </c>
      <c r="T57" s="182">
        <f>+Cash_Flow_Qtr!U57</f>
        <v>0</v>
      </c>
      <c r="U57" s="182">
        <f>+Cash_Flow_Qtr!Z57</f>
        <v>7420</v>
      </c>
      <c r="V57" s="182">
        <f>+Cash_Flow_Qtr!AE57</f>
        <v>8832</v>
      </c>
      <c r="W57" s="182">
        <f>+Cash_Flow_Qtr!AJ57</f>
        <v>7853</v>
      </c>
      <c r="X57" s="182">
        <f>+Cash_Flow_Qtr!AO57</f>
        <v>6291</v>
      </c>
      <c r="Y57" s="182">
        <f>+Cash_Flow_Qtr!AT57</f>
        <v>6626</v>
      </c>
      <c r="Z57" s="182">
        <f>+Cash_Flow_Qtr!AY57</f>
        <v>5606</v>
      </c>
      <c r="AA57" s="182">
        <f>+Cash_Flow_Qtr!BD57</f>
        <v>7470</v>
      </c>
      <c r="AB57" s="182">
        <f>+Cash_Flow_Qtr!BI57</f>
        <v>8691.2143587620139</v>
      </c>
      <c r="AC57" s="24">
        <f>+SUM(AC54,AC56)</f>
        <v>9526.8404685194837</v>
      </c>
      <c r="AD57" s="24">
        <f>+SUM(AD54,AD56)</f>
        <v>12270.072621087589</v>
      </c>
      <c r="AE57" s="24">
        <f>+SUM(AE54,AE56)</f>
        <v>15241.271582754918</v>
      </c>
      <c r="AF57" s="24">
        <f>+SUM(AF54,AF56)</f>
        <v>18345.057323765934</v>
      </c>
    </row>
    <row r="58" spans="1:45">
      <c r="A58" s="15" t="str">
        <f>Cash_Flow_Qtr!A58</f>
        <v>Less: Restricted Cash Balance</v>
      </c>
      <c r="B58" s="30"/>
      <c r="C58" s="30"/>
      <c r="D58" s="30"/>
      <c r="E58" s="30"/>
      <c r="F58" s="30"/>
      <c r="G58" s="30"/>
      <c r="H58" s="30"/>
      <c r="I58" s="30"/>
      <c r="J58" s="30"/>
      <c r="K58" s="30"/>
      <c r="L58" s="30"/>
      <c r="M58" s="30"/>
      <c r="N58" s="30"/>
      <c r="O58" s="30"/>
      <c r="P58" s="30"/>
      <c r="Q58" s="182">
        <f>+Cash_Flow_Qtr!F58</f>
        <v>0</v>
      </c>
      <c r="R58" s="182">
        <f>+Cash_Flow_Qtr!K58</f>
        <v>0</v>
      </c>
      <c r="S58" s="182">
        <f>+Cash_Flow_Qtr!P58</f>
        <v>0</v>
      </c>
      <c r="T58" s="182">
        <f>+Cash_Flow_Qtr!U58</f>
        <v>0</v>
      </c>
      <c r="U58" s="182">
        <f>+Cash_Flow_Qtr!Z58</f>
        <v>24</v>
      </c>
      <c r="V58" s="182">
        <f>+Cash_Flow_Qtr!AE58</f>
        <v>30</v>
      </c>
      <c r="W58" s="182">
        <f>+Cash_Flow_Qtr!AJ58</f>
        <v>21</v>
      </c>
      <c r="X58" s="182">
        <f>+Cash_Flow_Qtr!AO58</f>
        <v>71</v>
      </c>
      <c r="Y58" s="182">
        <f>+Cash_Flow_Qtr!AT58</f>
        <v>39</v>
      </c>
      <c r="Z58" s="182">
        <f>+Cash_Flow_Qtr!AY58</f>
        <v>28</v>
      </c>
      <c r="AA58" s="182">
        <f>+Cash_Flow_Qtr!BD58</f>
        <v>35</v>
      </c>
      <c r="AB58" s="182">
        <f>+Cash_Flow_Qtr!BI58</f>
        <v>87</v>
      </c>
      <c r="AC58" s="30">
        <f>AB58</f>
        <v>87</v>
      </c>
      <c r="AD58" s="30">
        <f>AC58</f>
        <v>87</v>
      </c>
      <c r="AE58" s="30">
        <f>AD58</f>
        <v>87</v>
      </c>
      <c r="AF58" s="30">
        <f>AE58</f>
        <v>87</v>
      </c>
    </row>
    <row r="59" spans="1:45">
      <c r="A59" s="15" t="str">
        <f>Cash_Flow_Qtr!A59</f>
        <v>Less: Cash, Cash Equivalents and Restricted Cash for Discontinued Operations</v>
      </c>
      <c r="B59" s="30"/>
      <c r="C59" s="30"/>
      <c r="D59" s="30"/>
      <c r="E59" s="30"/>
      <c r="F59" s="30"/>
      <c r="G59" s="30"/>
      <c r="H59" s="30"/>
      <c r="I59" s="30"/>
      <c r="J59" s="30"/>
      <c r="K59" s="30"/>
      <c r="L59" s="30"/>
      <c r="M59" s="30"/>
      <c r="N59" s="30"/>
      <c r="O59" s="30"/>
      <c r="P59" s="30"/>
      <c r="Q59" s="182">
        <f>+Cash_Flow_Qtr!F59</f>
        <v>0</v>
      </c>
      <c r="R59" s="182">
        <f>+Cash_Flow_Qtr!K59</f>
        <v>0</v>
      </c>
      <c r="S59" s="182">
        <f>+Cash_Flow_Qtr!P59</f>
        <v>0</v>
      </c>
      <c r="T59" s="182">
        <f>+Cash_Flow_Qtr!U59</f>
        <v>0</v>
      </c>
      <c r="U59" s="182">
        <f>+Cash_Flow_Qtr!Z59</f>
        <v>2459</v>
      </c>
      <c r="V59" s="182">
        <f>+Cash_Flow_Qtr!AE59</f>
        <v>-2459</v>
      </c>
      <c r="W59" s="182">
        <f>+Cash_Flow_Qtr!AJ59</f>
        <v>0</v>
      </c>
      <c r="X59" s="182">
        <f>+Cash_Flow_Qtr!AO59</f>
        <v>0</v>
      </c>
      <c r="Y59" s="182">
        <f>+Cash_Flow_Qtr!AT59</f>
        <v>0</v>
      </c>
      <c r="Z59" s="182">
        <f>+Cash_Flow_Qtr!AY59</f>
        <v>0</v>
      </c>
      <c r="AA59" s="182">
        <f>+Cash_Flow_Qtr!BD59</f>
        <v>0</v>
      </c>
      <c r="AB59" s="182">
        <f>+Cash_Flow_Qtr!BI59</f>
        <v>0</v>
      </c>
      <c r="AC59" s="30">
        <v>0</v>
      </c>
      <c r="AD59" s="30">
        <v>0</v>
      </c>
      <c r="AE59" s="30">
        <v>0</v>
      </c>
      <c r="AF59" s="30">
        <v>0</v>
      </c>
    </row>
    <row r="60" spans="1:45">
      <c r="A60" s="15" t="s">
        <v>242</v>
      </c>
      <c r="B60" s="24"/>
      <c r="C60" s="24"/>
      <c r="D60" s="24"/>
      <c r="E60" s="24"/>
      <c r="F60" s="24"/>
      <c r="G60" s="24"/>
      <c r="H60" s="24"/>
      <c r="I60" s="24"/>
      <c r="J60" s="24"/>
      <c r="K60" s="24"/>
      <c r="L60" s="24"/>
      <c r="M60" s="24"/>
      <c r="N60" s="24"/>
      <c r="O60" s="24"/>
      <c r="P60" s="24"/>
      <c r="Q60" s="182">
        <f>+Cash_Flow_Qtr!F60</f>
        <v>0</v>
      </c>
      <c r="R60" s="182">
        <f>+Cash_Flow_Qtr!K60</f>
        <v>0</v>
      </c>
      <c r="S60" s="182">
        <f>+Cash_Flow_Qtr!P60</f>
        <v>0</v>
      </c>
      <c r="T60" s="182">
        <f>+Cash_Flow_Qtr!U60</f>
        <v>0</v>
      </c>
      <c r="U60" s="182">
        <f>+Cash_Flow_Qtr!Z60</f>
        <v>4937</v>
      </c>
      <c r="V60" s="182">
        <f>+Cash_Flow_Qtr!AE60</f>
        <v>8802</v>
      </c>
      <c r="W60" s="182">
        <f>+Cash_Flow_Qtr!AJ60</f>
        <v>7832</v>
      </c>
      <c r="X60" s="182">
        <f>+Cash_Flow_Qtr!AO60</f>
        <v>6220</v>
      </c>
      <c r="Y60" s="182">
        <f>+Cash_Flow_Qtr!AT60</f>
        <v>6587</v>
      </c>
      <c r="Z60" s="182">
        <f>+Cash_Flow_Qtr!AY60</f>
        <v>5578</v>
      </c>
      <c r="AA60" s="182">
        <f>+Cash_Flow_Qtr!BD60</f>
        <v>7435</v>
      </c>
      <c r="AB60" s="182">
        <f>+Cash_Flow_Qtr!BI60</f>
        <v>8604.2143587620139</v>
      </c>
      <c r="AC60" s="24">
        <f>+AC57-AC58-AC59</f>
        <v>9439.8404685194837</v>
      </c>
      <c r="AD60" s="24">
        <f>+AD57-AD58-AD59</f>
        <v>12183.072621087589</v>
      </c>
      <c r="AE60" s="24">
        <f>+AE57-AE58-AE59</f>
        <v>15154.271582754918</v>
      </c>
      <c r="AF60" s="24">
        <f>+AF57-AF58-AF59</f>
        <v>18258.057323765934</v>
      </c>
    </row>
    <row r="61" spans="1:45">
      <c r="A61" t="s">
        <v>38</v>
      </c>
      <c r="B61" s="26"/>
      <c r="C61" s="26"/>
      <c r="D61" s="26"/>
      <c r="E61" s="26"/>
      <c r="F61" s="26"/>
      <c r="G61" s="26"/>
      <c r="H61" s="26"/>
      <c r="I61" s="26"/>
      <c r="J61" s="26"/>
      <c r="K61" s="26"/>
      <c r="L61" s="26"/>
      <c r="M61" s="26"/>
      <c r="N61" s="26"/>
      <c r="O61" s="26"/>
      <c r="P61" s="26"/>
      <c r="Q61" s="26" t="b">
        <f>+Q60=Balance_Sheet_Annual!Q5</f>
        <v>1</v>
      </c>
      <c r="R61" s="26" t="b">
        <f>+R60=Balance_Sheet_Annual!R5</f>
        <v>1</v>
      </c>
      <c r="S61" s="26" t="b">
        <f>+S60=Balance_Sheet_Annual!S5</f>
        <v>1</v>
      </c>
      <c r="T61" s="26" t="b">
        <f>+T60=Balance_Sheet_Annual!T5</f>
        <v>0</v>
      </c>
      <c r="U61" s="26" t="b">
        <f>+U60=Balance_Sheet_Annual!U5</f>
        <v>1</v>
      </c>
      <c r="V61" s="26" t="b">
        <f>+V60=Balance_Sheet_Annual!V5</f>
        <v>1</v>
      </c>
      <c r="W61" s="26" t="b">
        <f>+W60=Balance_Sheet_Annual!W5</f>
        <v>1</v>
      </c>
      <c r="X61" s="26" t="b">
        <f>+X60=Balance_Sheet_Annual!X5</f>
        <v>1</v>
      </c>
      <c r="Y61" s="26" t="b">
        <f>+Y60=Balance_Sheet_Annual!Y5</f>
        <v>1</v>
      </c>
      <c r="Z61" s="26" t="b">
        <f>+Z60=Balance_Sheet_Annual!Z5</f>
        <v>1</v>
      </c>
      <c r="AA61" s="26" t="b">
        <f>+AA60=Balance_Sheet_Annual!AA5</f>
        <v>1</v>
      </c>
      <c r="AB61" s="26" t="b">
        <f>+AB60=Balance_Sheet_Annual!AB5</f>
        <v>1</v>
      </c>
      <c r="AC61" s="26" t="b">
        <f>+AC60=Balance_Sheet_Annual!AC5</f>
        <v>1</v>
      </c>
      <c r="AD61" s="26" t="b">
        <f>+AD60=Balance_Sheet_Annual!AD5</f>
        <v>1</v>
      </c>
      <c r="AE61" s="26" t="b">
        <f>+AE60=Balance_Sheet_Annual!AE5</f>
        <v>1</v>
      </c>
      <c r="AF61" s="26" t="b">
        <f>+AF60=Balance_Sheet_Annual!AF5</f>
        <v>1</v>
      </c>
    </row>
    <row r="62" spans="1:45">
      <c r="B62" s="26"/>
      <c r="C62" s="26"/>
      <c r="D62" s="26"/>
      <c r="E62" s="26"/>
      <c r="F62" s="26"/>
      <c r="G62" s="26"/>
      <c r="H62" s="26"/>
      <c r="I62" s="26"/>
      <c r="J62" s="26"/>
      <c r="K62" s="26"/>
      <c r="L62" s="26"/>
      <c r="M62" s="26"/>
      <c r="N62" s="26"/>
      <c r="O62" s="26"/>
      <c r="P62" s="26"/>
      <c r="Q62" s="26"/>
      <c r="R62" s="26"/>
      <c r="S62" s="26"/>
      <c r="T62" s="26"/>
      <c r="U62" s="26"/>
      <c r="V62" s="26"/>
      <c r="W62" s="26"/>
      <c r="X62" s="206"/>
      <c r="Y62" s="206"/>
      <c r="Z62" s="206"/>
      <c r="AA62" s="206"/>
      <c r="AB62" s="206"/>
      <c r="AC62" s="206"/>
      <c r="AD62" s="206"/>
      <c r="AE62" s="206"/>
      <c r="AF62" s="206"/>
      <c r="AG62" s="316"/>
      <c r="AH62" s="348"/>
      <c r="AI62" s="348"/>
      <c r="AJ62" s="348"/>
      <c r="AK62" s="348"/>
    </row>
    <row r="63" spans="1:45">
      <c r="A63" s="116" t="str">
        <f>Cash_Flow_Qtr!A63</f>
        <v>Financial Metrics</v>
      </c>
      <c r="B63" s="117"/>
      <c r="C63" s="117"/>
      <c r="D63" s="117"/>
      <c r="E63" s="117"/>
      <c r="F63" s="117"/>
      <c r="G63" s="117"/>
      <c r="H63" s="117"/>
      <c r="I63" s="117"/>
      <c r="J63" s="117"/>
      <c r="K63" s="117"/>
      <c r="L63" s="117"/>
      <c r="M63" s="117"/>
      <c r="N63" s="117"/>
      <c r="O63" s="117"/>
      <c r="P63" s="117"/>
      <c r="Q63" s="117"/>
      <c r="R63" s="117"/>
      <c r="S63" s="117"/>
      <c r="T63" s="117"/>
      <c r="U63" s="117"/>
      <c r="V63" s="117"/>
      <c r="W63" s="117"/>
      <c r="X63" s="117"/>
      <c r="Y63" s="117"/>
      <c r="Z63" s="117"/>
      <c r="AA63" s="117"/>
      <c r="AB63" s="117"/>
      <c r="AC63" s="117"/>
      <c r="AD63" s="117"/>
      <c r="AE63" s="117"/>
      <c r="AF63" s="117"/>
    </row>
    <row r="64" spans="1:45">
      <c r="A64" s="13" t="s">
        <v>222</v>
      </c>
      <c r="B64" s="43"/>
      <c r="C64" s="43"/>
      <c r="D64" s="43"/>
      <c r="E64" s="43"/>
      <c r="F64" s="43"/>
      <c r="G64" s="43"/>
      <c r="H64" s="43"/>
      <c r="I64" s="43"/>
      <c r="J64" s="43"/>
      <c r="K64" s="43"/>
      <c r="L64" s="43"/>
      <c r="M64" s="43"/>
      <c r="N64" s="43"/>
      <c r="O64" s="43"/>
      <c r="P64" s="43"/>
      <c r="Q64" s="38">
        <f>Cash_Flow_Qtr!F64</f>
        <v>0</v>
      </c>
      <c r="R64" s="38">
        <f>Cash_Flow_Qtr!K64</f>
        <v>0</v>
      </c>
      <c r="S64" s="38">
        <f>Cash_Flow_Qtr!P64</f>
        <v>0</v>
      </c>
      <c r="T64" s="38">
        <f>Cash_Flow_Qtr!U64</f>
        <v>0</v>
      </c>
      <c r="U64" s="38">
        <f>Cash_Flow_Qtr!Z64</f>
        <v>1464</v>
      </c>
      <c r="V64" s="38">
        <f>Cash_Flow_Qtr!AE64</f>
        <v>2031</v>
      </c>
      <c r="W64" s="38">
        <f>Cash_Flow_Qtr!AJ64</f>
        <v>2118</v>
      </c>
      <c r="X64" s="38">
        <f>Cash_Flow_Qtr!AO64</f>
        <v>2151</v>
      </c>
      <c r="Y64" s="38">
        <f>Cash_Flow_Qtr!AT64</f>
        <v>2126</v>
      </c>
      <c r="Z64" s="38">
        <f>Cash_Flow_Qtr!AY64</f>
        <v>2164</v>
      </c>
      <c r="AA64" s="38">
        <f>Cash_Flow_Qtr!BD64</f>
        <v>2278</v>
      </c>
      <c r="AB64" s="38">
        <f>Cash_Flow_Qtr!BI64</f>
        <v>2243.444</v>
      </c>
      <c r="AC64" s="22">
        <f>Balance_Sheet_Annual!AB17*AC65</f>
        <v>2356.9576903937505</v>
      </c>
      <c r="AD64" s="22">
        <f>Balance_Sheet_Annual!AC17*AD65</f>
        <v>2465.9953265394934</v>
      </c>
      <c r="AE64" s="22">
        <f>Balance_Sheet_Annual!AD17*AE65</f>
        <v>2559.7294829430111</v>
      </c>
      <c r="AF64" s="22">
        <f>Balance_Sheet_Annual!AE17*AF65</f>
        <v>2675.4001958005401</v>
      </c>
      <c r="AG64" s="317"/>
      <c r="AH64" s="25"/>
    </row>
    <row r="65" spans="1:37">
      <c r="A65" s="1" t="s">
        <v>25</v>
      </c>
      <c r="B65" s="137"/>
      <c r="C65" s="137"/>
      <c r="D65" s="137"/>
      <c r="E65" s="137"/>
      <c r="F65" s="137"/>
      <c r="G65" s="137"/>
      <c r="H65" s="137"/>
      <c r="I65" s="137"/>
      <c r="J65" s="137"/>
      <c r="K65" s="137"/>
      <c r="L65" s="137"/>
      <c r="M65" s="137"/>
      <c r="N65" s="137"/>
      <c r="O65" s="137"/>
      <c r="P65" s="137"/>
      <c r="Q65" s="137">
        <f>Cash_Flow_Qtr!F65</f>
        <v>0</v>
      </c>
      <c r="R65" s="137">
        <f>Cash_Flow_Qtr!K65</f>
        <v>0</v>
      </c>
      <c r="S65" s="137">
        <f>Cash_Flow_Qtr!P65</f>
        <v>0</v>
      </c>
      <c r="T65" s="137">
        <f>Cash_Flow_Qtr!U65</f>
        <v>0</v>
      </c>
      <c r="U65" s="137" t="str">
        <f>Cash_Flow_Qtr!Z65</f>
        <v>NM</v>
      </c>
      <c r="V65" s="137">
        <f>Cash_Flow_Qtr!AE65</f>
        <v>0.19676419298585546</v>
      </c>
      <c r="W65" s="137">
        <f>Cash_Flow_Qtr!AJ65</f>
        <v>0.14155861515840129</v>
      </c>
      <c r="X65" s="137">
        <f>Cash_Flow_Qtr!AO65</f>
        <v>0.14366818060379374</v>
      </c>
      <c r="Y65" s="137">
        <f>Cash_Flow_Qtr!AT65</f>
        <v>0.14014502307185234</v>
      </c>
      <c r="Z65" s="137">
        <f>Cash_Flow_Qtr!AY65</f>
        <v>0.13741427482854965</v>
      </c>
      <c r="AA65" s="137">
        <f>Cash_Flow_Qtr!BD65</f>
        <v>0.14158741997638138</v>
      </c>
      <c r="AB65" s="137">
        <f>Cash_Flow_Qtr!BI65</f>
        <v>0.13300000000000001</v>
      </c>
      <c r="AC65" s="218">
        <v>0.13250000000000001</v>
      </c>
      <c r="AD65" s="218">
        <v>0.13200000000000001</v>
      </c>
      <c r="AE65" s="218">
        <v>0.13100000000000001</v>
      </c>
      <c r="AF65" s="218">
        <v>0.13100000000000001</v>
      </c>
      <c r="AG65" s="317"/>
      <c r="AH65" s="25"/>
    </row>
    <row r="66" spans="1:37">
      <c r="A66" s="13" t="str">
        <f>Cash_Flow_Qtr!A66</f>
        <v>Amortization of Acquired Intangibles</v>
      </c>
      <c r="B66" s="43"/>
      <c r="C66" s="43"/>
      <c r="D66" s="43"/>
      <c r="E66" s="43"/>
      <c r="F66" s="43"/>
      <c r="G66" s="43"/>
      <c r="H66" s="43"/>
      <c r="I66" s="43"/>
      <c r="J66" s="43"/>
      <c r="K66" s="43"/>
      <c r="L66" s="43"/>
      <c r="M66" s="43"/>
      <c r="N66" s="43"/>
      <c r="O66" s="43"/>
      <c r="P66" s="43"/>
      <c r="Q66" s="38">
        <f>Cash_Flow_Qtr!F66</f>
        <v>0</v>
      </c>
      <c r="R66" s="38">
        <f>Cash_Flow_Qtr!K66</f>
        <v>0</v>
      </c>
      <c r="S66" s="38">
        <f>Cash_Flow_Qtr!P66</f>
        <v>0</v>
      </c>
      <c r="T66" s="38">
        <f>Cash_Flow_Qtr!U66</f>
        <v>0</v>
      </c>
      <c r="U66" s="38">
        <f>Cash_Flow_Qtr!Z66</f>
        <v>1244</v>
      </c>
      <c r="V66" s="38">
        <f>Cash_Flow_Qtr!AE66</f>
        <v>2125</v>
      </c>
      <c r="W66" s="38">
        <f>Cash_Flow_Qtr!AJ66</f>
        <v>2439</v>
      </c>
      <c r="X66" s="38">
        <f>Cash_Flow_Qtr!AO66</f>
        <v>1957</v>
      </c>
      <c r="Y66" s="38">
        <f>Cash_Flow_Qtr!AT66</f>
        <v>2085</v>
      </c>
      <c r="Z66" s="38">
        <f>Cash_Flow_Qtr!AY66</f>
        <v>2200</v>
      </c>
      <c r="AA66" s="38">
        <f>Cash_Flow_Qtr!BD66</f>
        <v>2100</v>
      </c>
      <c r="AB66" s="38">
        <f>Cash_Flow_Qtr!BI66</f>
        <v>1971</v>
      </c>
      <c r="AC66" s="43">
        <v>1911</v>
      </c>
      <c r="AD66" s="43">
        <v>1793</v>
      </c>
      <c r="AE66" s="43">
        <v>1634</v>
      </c>
      <c r="AF66" s="43">
        <v>1602</v>
      </c>
      <c r="AG66" s="317"/>
      <c r="AH66" s="25"/>
    </row>
    <row r="67" spans="1:37">
      <c r="A67" s="13"/>
      <c r="B67" s="251"/>
      <c r="C67" s="251"/>
      <c r="D67" s="251"/>
      <c r="E67" s="251"/>
      <c r="F67" s="251"/>
      <c r="G67" s="251"/>
      <c r="H67" s="251"/>
      <c r="I67" s="251"/>
      <c r="J67" s="251"/>
      <c r="K67" s="251"/>
      <c r="L67" s="251"/>
      <c r="M67" s="251"/>
      <c r="N67" s="251"/>
      <c r="O67" s="251"/>
      <c r="P67" s="251"/>
      <c r="Q67" s="169"/>
      <c r="R67" s="169"/>
      <c r="S67" s="169"/>
      <c r="T67" s="169"/>
      <c r="U67" s="169"/>
      <c r="V67" s="169"/>
      <c r="W67" s="169"/>
      <c r="X67" s="169"/>
      <c r="Y67" s="169"/>
      <c r="Z67" s="169"/>
      <c r="AA67" s="169"/>
      <c r="AB67" s="169"/>
      <c r="AC67" s="206"/>
      <c r="AD67" s="206"/>
      <c r="AE67" s="206"/>
      <c r="AF67" s="206"/>
    </row>
    <row r="68" spans="1:37">
      <c r="A68" s="13" t="str">
        <f>Cash_Flow_Qtr!A68</f>
        <v>Capital Expenditures</v>
      </c>
      <c r="B68" s="2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06"/>
      <c r="AD68" s="206"/>
      <c r="AE68" s="206"/>
      <c r="AF68" s="206"/>
    </row>
    <row r="69" spans="1:37">
      <c r="A69" s="1" t="str">
        <f>Cash_Flow_Qtr!A69</f>
        <v>As a % of Net Revenue</v>
      </c>
      <c r="B69" s="115"/>
      <c r="C69" s="115"/>
      <c r="D69" s="115"/>
      <c r="E69" s="115"/>
      <c r="F69" s="115"/>
      <c r="G69" s="115"/>
      <c r="H69" s="115"/>
      <c r="I69" s="115"/>
      <c r="J69" s="115"/>
      <c r="K69" s="115"/>
      <c r="L69" s="115"/>
      <c r="M69" s="115"/>
      <c r="N69" s="115"/>
      <c r="O69" s="115"/>
      <c r="P69" s="36"/>
      <c r="Q69" s="186">
        <f>+Cash_Flow_Qtr!F69</f>
        <v>0</v>
      </c>
      <c r="R69" s="186">
        <f>+Cash_Flow_Qtr!K69</f>
        <v>0</v>
      </c>
      <c r="S69" s="186">
        <f>+Cash_Flow_Qtr!P69</f>
        <v>0</v>
      </c>
      <c r="T69" s="186">
        <f>+Cash_Flow_Qtr!U69</f>
        <v>0</v>
      </c>
      <c r="U69" s="186">
        <f>+Cash_Flow_Qtr!Z69</f>
        <v>2.5162654740897395E-2</v>
      </c>
      <c r="V69" s="186">
        <f>+Cash_Flow_Qtr!AE69</f>
        <v>2.7758447382664503E-2</v>
      </c>
      <c r="W69" s="186">
        <f>+Cash_Flow_Qtr!AJ69</f>
        <v>3.3142821643784556E-2</v>
      </c>
      <c r="X69" s="186">
        <f>+Cash_Flow_Qtr!AO69</f>
        <v>3.4111578256850641E-2</v>
      </c>
      <c r="Y69" s="186">
        <f>+Cash_Flow_Qtr!AT69</f>
        <v>3.2501177578897783E-2</v>
      </c>
      <c r="Z69" s="186">
        <f>+Cash_Flow_Qtr!AY69</f>
        <v>3.2484407484407486E-2</v>
      </c>
      <c r="AA69" s="186">
        <f>+Cash_Flow_Qtr!BD69</f>
        <v>2.9649108946649662E-2</v>
      </c>
      <c r="AB69" s="186">
        <f>+Cash_Flow_Qtr!BI69</f>
        <v>3.2500000000000001E-2</v>
      </c>
      <c r="AC69" s="244">
        <v>3.15E-2</v>
      </c>
      <c r="AD69" s="244">
        <v>3.0499999999999999E-2</v>
      </c>
      <c r="AE69" s="244">
        <v>0.03</v>
      </c>
      <c r="AF69" s="244">
        <v>0.03</v>
      </c>
    </row>
    <row r="70" spans="1:37">
      <c r="A70" s="1" t="str">
        <f>Cash_Flow_Qtr!A70</f>
        <v>As a % of Beginning Net PP&amp;E</v>
      </c>
      <c r="B70" s="115"/>
      <c r="C70" s="115"/>
      <c r="D70" s="115"/>
      <c r="E70" s="115"/>
      <c r="F70" s="115"/>
      <c r="G70" s="115"/>
      <c r="H70" s="115"/>
      <c r="I70" s="115"/>
      <c r="J70" s="115"/>
      <c r="K70" s="115"/>
      <c r="L70" s="115"/>
      <c r="M70" s="115"/>
      <c r="N70" s="115"/>
      <c r="O70" s="115"/>
      <c r="P70" s="36"/>
      <c r="Q70" s="186">
        <f>+Cash_Flow_Qtr!F70</f>
        <v>0</v>
      </c>
      <c r="R70" s="186">
        <f>+Cash_Flow_Qtr!K70</f>
        <v>0</v>
      </c>
      <c r="S70" s="186">
        <f>+Cash_Flow_Qtr!P70</f>
        <v>0</v>
      </c>
      <c r="T70" s="186">
        <f>+Cash_Flow_Qtr!U70</f>
        <v>0</v>
      </c>
      <c r="U70" s="186" t="str">
        <f>+Cash_Flow_Qtr!Z70</f>
        <v>NM</v>
      </c>
      <c r="V70" s="186">
        <f>+Cash_Flow_Qtr!AE70</f>
        <v>0.17390040689788799</v>
      </c>
      <c r="W70" s="186">
        <f>+Cash_Flow_Qtr!AJ70</f>
        <v>0.14262799091030612</v>
      </c>
      <c r="X70" s="186">
        <f>+Cash_Flow_Qtr!AO70</f>
        <v>0.15281859471012557</v>
      </c>
      <c r="Y70" s="186">
        <f>+Cash_Flow_Qtr!AT70</f>
        <v>0.15919578114700067</v>
      </c>
      <c r="Z70" s="186">
        <f>+Cash_Flow_Qtr!AY70</f>
        <v>0.16668783337566676</v>
      </c>
      <c r="AA70" s="186">
        <f>+Cash_Flow_Qtr!BD70</f>
        <v>0.16327925912113866</v>
      </c>
      <c r="AB70" s="186">
        <f>+Cash_Flow_Qtr!BI70</f>
        <v>0.18495399143348351</v>
      </c>
      <c r="AC70" s="36">
        <f>-AC24/Balance_Sheet_Annual!AB17</f>
        <v>0.18272513896478737</v>
      </c>
      <c r="AD70" s="36">
        <f>-AD24/Balance_Sheet_Annual!AC17</f>
        <v>0.17793442449041319</v>
      </c>
      <c r="AE70" s="36">
        <f>-AE24/Balance_Sheet_Annual!AD17</f>
        <v>0.17618864732711451</v>
      </c>
      <c r="AF70" s="36">
        <f>-AF24/Balance_Sheet_Annual!AE17</f>
        <v>0.17761786979417574</v>
      </c>
    </row>
    <row r="71" spans="1:37">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06"/>
      <c r="AD71" s="206"/>
      <c r="AE71" s="206"/>
      <c r="AF71" s="206"/>
    </row>
    <row r="72" spans="1:37">
      <c r="A72" s="4" t="str">
        <f>Cash_Flow_Qtr!A72</f>
        <v>Free Cash Flow</v>
      </c>
      <c r="B72" s="81"/>
      <c r="C72" s="81"/>
      <c r="D72" s="81"/>
      <c r="E72" s="81"/>
      <c r="F72" s="81"/>
      <c r="G72" s="81"/>
      <c r="H72" s="81"/>
      <c r="I72" s="81"/>
      <c r="J72" s="81"/>
      <c r="K72" s="81"/>
      <c r="L72" s="81"/>
      <c r="M72" s="81"/>
      <c r="N72" s="81"/>
      <c r="O72" s="81"/>
      <c r="P72" s="81"/>
      <c r="Q72" s="188">
        <f>+Cash_Flow_Qtr!F72</f>
        <v>0</v>
      </c>
      <c r="R72" s="188">
        <f>+Cash_Flow_Qtr!K72</f>
        <v>0</v>
      </c>
      <c r="S72" s="188">
        <f>+Cash_Flow_Qtr!P72</f>
        <v>0</v>
      </c>
      <c r="T72" s="188">
        <f>+Cash_Flow_Qtr!U72</f>
        <v>0</v>
      </c>
      <c r="U72" s="188">
        <f>+Cash_Flow_Qtr!Z72</f>
        <v>3953</v>
      </c>
      <c r="V72" s="188">
        <f>+Cash_Flow_Qtr!AE72</f>
        <v>2539</v>
      </c>
      <c r="W72" s="188">
        <f>+Cash_Flow_Qtr!AJ72</f>
        <v>5008</v>
      </c>
      <c r="X72" s="188">
        <f>+Cash_Flow_Qtr!AO72</f>
        <v>4880</v>
      </c>
      <c r="Y72" s="188">
        <f>+Cash_Flow_Qtr!AT72</f>
        <v>5468</v>
      </c>
      <c r="Z72" s="188">
        <f>+Cash_Flow_Qtr!AY72</f>
        <v>4534</v>
      </c>
      <c r="AA72" s="188">
        <f>+Cash_Flow_Qtr!BD72</f>
        <v>7940</v>
      </c>
      <c r="AB72" s="188">
        <f>+Cash_Flow_Qtr!BI72</f>
        <v>8712.8115015116819</v>
      </c>
      <c r="AC72" s="81">
        <f>+AC21+AC24</f>
        <v>10082.762856681433</v>
      </c>
      <c r="AD72" s="81">
        <f>+AD21+AD24</f>
        <v>11160.138992217026</v>
      </c>
      <c r="AE72" s="81">
        <f>+AE21+AE24</f>
        <v>11679.493892870943</v>
      </c>
      <c r="AF72" s="81">
        <f>+AF21+AF24</f>
        <v>12125.102372919817</v>
      </c>
    </row>
    <row r="73" spans="1:37">
      <c r="A73" s="1" t="str">
        <f>Cash_Flow_Qtr!A73</f>
        <v>FCF Conversion %</v>
      </c>
      <c r="B73" s="36"/>
      <c r="C73" s="36"/>
      <c r="D73" s="36"/>
      <c r="E73" s="36"/>
      <c r="F73" s="36"/>
      <c r="G73" s="36"/>
      <c r="H73" s="36"/>
      <c r="I73" s="36"/>
      <c r="J73" s="36"/>
      <c r="K73" s="36"/>
      <c r="L73" s="36"/>
      <c r="M73" s="36"/>
      <c r="N73" s="36"/>
      <c r="O73" s="36"/>
      <c r="P73" s="36"/>
      <c r="Q73" s="186">
        <f>+Cash_Flow_Qtr!F73</f>
        <v>0</v>
      </c>
      <c r="R73" s="186">
        <f>+Cash_Flow_Qtr!K73</f>
        <v>0</v>
      </c>
      <c r="S73" s="186">
        <f>+Cash_Flow_Qtr!P73</f>
        <v>0</v>
      </c>
      <c r="T73" s="186">
        <f>+Cash_Flow_Qtr!U73</f>
        <v>0</v>
      </c>
      <c r="U73" s="186">
        <f>+Cash_Flow_Qtr!Z73</f>
        <v>1.0595014741356206</v>
      </c>
      <c r="V73" s="186">
        <f>+Cash_Flow_Qtr!AE73</f>
        <v>-0.86714480874316935</v>
      </c>
      <c r="W73" s="186">
        <f>+Cash_Flow_Qtr!AJ73</f>
        <v>1.2082026537997588</v>
      </c>
      <c r="X73" s="186">
        <f>+Cash_Flow_Qtr!AO73</f>
        <v>0.91608785432701334</v>
      </c>
      <c r="Y73" s="186">
        <f>+Cash_Flow_Qtr!AT73</f>
        <v>1.6177514792899408</v>
      </c>
      <c r="Z73" s="186">
        <f>+Cash_Flow_Qtr!AY73</f>
        <v>0.90444843407141429</v>
      </c>
      <c r="AA73" s="186">
        <f>+Cash_Flow_Qtr!BD73</f>
        <v>1.1232140331022775</v>
      </c>
      <c r="AB73" s="186">
        <f>+Cash_Flow_Qtr!BI73</f>
        <v>0.87979793090968172</v>
      </c>
      <c r="AC73" s="36">
        <f>+AC72/ProForma_IS_Annual!AC44</f>
        <v>0.9498900650538703</v>
      </c>
      <c r="AD73" s="36">
        <f>+AD72/ProForma_IS_Annual!AD44</f>
        <v>0.98465438725894738</v>
      </c>
      <c r="AE73" s="36">
        <f>+AE72/ProForma_IS_Annual!AE44</f>
        <v>0.96431401242434855</v>
      </c>
      <c r="AF73" s="36">
        <f>+AF72/ProForma_IS_Annual!AF44</f>
        <v>0.93714604341050922</v>
      </c>
    </row>
    <row r="74" spans="1:37">
      <c r="A74" s="13" t="str">
        <f>Cash_Flow_Qtr!A74</f>
        <v>Per Share</v>
      </c>
      <c r="B74" s="83"/>
      <c r="C74" s="83"/>
      <c r="D74" s="83"/>
      <c r="E74" s="83"/>
      <c r="F74" s="83"/>
      <c r="G74" s="83"/>
      <c r="H74" s="83"/>
      <c r="I74" s="83"/>
      <c r="J74" s="83"/>
      <c r="K74" s="83"/>
      <c r="L74" s="83"/>
      <c r="M74" s="83"/>
      <c r="N74" s="83"/>
      <c r="O74" s="83"/>
      <c r="P74" s="83"/>
      <c r="Q74" s="189">
        <f>+Cash_Flow_Qtr!F74</f>
        <v>0</v>
      </c>
      <c r="R74" s="189">
        <f>+Cash_Flow_Qtr!K74</f>
        <v>0</v>
      </c>
      <c r="S74" s="189">
        <f>+Cash_Flow_Qtr!P74</f>
        <v>0</v>
      </c>
      <c r="T74" s="189">
        <f>+Cash_Flow_Qtr!U74</f>
        <v>0</v>
      </c>
      <c r="U74" s="189">
        <f>+Cash_Flow_Qtr!Z74</f>
        <v>2.604255879833981</v>
      </c>
      <c r="V74" s="189">
        <f>+Cash_Flow_Qtr!AE74</f>
        <v>1.6790107128686684</v>
      </c>
      <c r="W74" s="189">
        <f>+Cash_Flow_Qtr!AJ74</f>
        <v>3.3200192253509457</v>
      </c>
      <c r="X74" s="189">
        <f>+Cash_Flow_Qtr!AO74</f>
        <v>3.2844811630293953</v>
      </c>
      <c r="Y74" s="189">
        <f>+Cash_Flow_Qtr!AT74</f>
        <v>3.8093911104918488</v>
      </c>
      <c r="Z74" s="189">
        <f>+Cash_Flow_Qtr!AY74</f>
        <v>3.3745162250669845</v>
      </c>
      <c r="AA74" s="189">
        <f>+Cash_Flow_Qtr!BD74</f>
        <v>5.853730462990268</v>
      </c>
      <c r="AB74" s="189">
        <f>+Cash_Flow_Qtr!BI74</f>
        <v>6.3806265063506142</v>
      </c>
      <c r="AC74" s="83">
        <f>+AC72/ProForma_IS_Annual!AC61</f>
        <v>7.4544522635232573</v>
      </c>
      <c r="AD74" s="83">
        <f>+AD72/ProForma_IS_Annual!AD61</f>
        <v>8.3668052594167257</v>
      </c>
      <c r="AE74" s="83">
        <f>+AE72/ProForma_IS_Annual!AE61</f>
        <v>8.8714052076522982</v>
      </c>
      <c r="AF74" s="83">
        <f>+AF72/ProForma_IS_Annual!AF61</f>
        <v>9.3266056418558811</v>
      </c>
      <c r="AH74" s="315"/>
      <c r="AI74" s="315"/>
      <c r="AJ74" s="315"/>
      <c r="AK74" s="315"/>
    </row>
    <row r="75" spans="1:37">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row>
    <row r="76" spans="1:37">
      <c r="A76" s="4" t="str">
        <f>Cash_Flow_Qtr!A76</f>
        <v>Free Cash Flow Returned to Shareholders</v>
      </c>
      <c r="B76" s="81"/>
      <c r="C76" s="81"/>
      <c r="D76" s="81"/>
      <c r="E76" s="81"/>
      <c r="F76" s="81"/>
      <c r="G76" s="81"/>
      <c r="H76" s="81"/>
      <c r="I76" s="81"/>
      <c r="J76" s="81"/>
      <c r="K76" s="81"/>
      <c r="L76" s="81"/>
      <c r="M76" s="81"/>
      <c r="N76" s="81"/>
      <c r="O76" s="81"/>
      <c r="P76" s="81"/>
      <c r="Q76" s="188">
        <f>+Cash_Flow_Qtr!F76</f>
        <v>0</v>
      </c>
      <c r="R76" s="188">
        <f>+Cash_Flow_Qtr!K76</f>
        <v>0</v>
      </c>
      <c r="S76" s="188">
        <f>+Cash_Flow_Qtr!P76</f>
        <v>0</v>
      </c>
      <c r="T76" s="188">
        <f>+Cash_Flow_Qtr!U76</f>
        <v>0</v>
      </c>
      <c r="U76" s="188">
        <f>+Cash_Flow_Qtr!Z76</f>
        <v>2593</v>
      </c>
      <c r="V76" s="188">
        <f>+Cash_Flow_Qtr!AE76</f>
        <v>2779</v>
      </c>
      <c r="W76" s="188">
        <f>+Cash_Flow_Qtr!AJ76</f>
        <v>5284</v>
      </c>
      <c r="X76" s="188">
        <f>+Cash_Flow_Qtr!AO76</f>
        <v>5931</v>
      </c>
      <c r="Y76" s="188">
        <f>+Cash_Flow_Qtr!AT76</f>
        <v>16109</v>
      </c>
      <c r="Z76" s="188">
        <f>+Cash_Flow_Qtr!AY76</f>
        <v>3661</v>
      </c>
      <c r="AA76" s="188">
        <f>+Cash_Flow_Qtr!BD76</f>
        <v>3624</v>
      </c>
      <c r="AB76" s="188">
        <f>+Cash_Flow_Qtr!BI76</f>
        <v>3875.597142749667</v>
      </c>
      <c r="AC76" s="81">
        <f>-AC40-AC41</f>
        <v>8147.1367469239631</v>
      </c>
      <c r="AD76" s="81">
        <f>-AD40-AD41</f>
        <v>8416.9068396489201</v>
      </c>
      <c r="AE76" s="81">
        <f>-AE40-AE41</f>
        <v>8708.2949312036144</v>
      </c>
      <c r="AF76" s="81">
        <f>-AF40-AF41</f>
        <v>9021.3166319088014</v>
      </c>
    </row>
    <row r="77" spans="1:37">
      <c r="A77" s="1" t="str">
        <f>Cash_Flow_Qtr!A77</f>
        <v>FCF Returned to Shareholders %</v>
      </c>
      <c r="B77" s="36"/>
      <c r="C77" s="36"/>
      <c r="D77" s="36"/>
      <c r="E77" s="36"/>
      <c r="F77" s="36"/>
      <c r="G77" s="36"/>
      <c r="H77" s="36"/>
      <c r="I77" s="36"/>
      <c r="J77" s="36"/>
      <c r="K77" s="36"/>
      <c r="L77" s="36"/>
      <c r="M77" s="36"/>
      <c r="N77" s="36"/>
      <c r="O77" s="36"/>
      <c r="P77" s="36"/>
      <c r="Q77" s="186">
        <f>+Cash_Flow_Qtr!F77</f>
        <v>0</v>
      </c>
      <c r="R77" s="186">
        <f>+Cash_Flow_Qtr!K77</f>
        <v>0</v>
      </c>
      <c r="S77" s="186">
        <f>+Cash_Flow_Qtr!P77</f>
        <v>0</v>
      </c>
      <c r="T77" s="186">
        <f>+Cash_Flow_Qtr!U77</f>
        <v>0</v>
      </c>
      <c r="U77" s="186">
        <f>+Cash_Flow_Qtr!Z77</f>
        <v>0.65595750063243108</v>
      </c>
      <c r="V77" s="186">
        <f>+Cash_Flow_Qtr!AE77</f>
        <v>1.0945254037022449</v>
      </c>
      <c r="W77" s="186">
        <f>+Cash_Flow_Qtr!AJ77</f>
        <v>1.055111821086262</v>
      </c>
      <c r="X77" s="186">
        <f>+Cash_Flow_Qtr!AO77</f>
        <v>1.2153688524590165</v>
      </c>
      <c r="Y77" s="186">
        <f>+Cash_Flow_Qtr!AT77</f>
        <v>2.9460497439648865</v>
      </c>
      <c r="Z77" s="186">
        <f>+Cash_Flow_Qtr!AY77</f>
        <v>0.8074547860608734</v>
      </c>
      <c r="AA77" s="186">
        <f>+Cash_Flow_Qtr!BD77</f>
        <v>0.45642317380352643</v>
      </c>
      <c r="AB77" s="186">
        <f>+Cash_Flow_Qtr!BI77</f>
        <v>0.44481590610301242</v>
      </c>
      <c r="AC77" s="36">
        <f>AC76/AC72</f>
        <v>0.8080262188776155</v>
      </c>
      <c r="AD77" s="36">
        <f>AD76/AD72</f>
        <v>0.75419372872674706</v>
      </c>
      <c r="AE77" s="36">
        <f>AE76/AE72</f>
        <v>0.74560550406375725</v>
      </c>
      <c r="AF77" s="36">
        <f>AF76/AF72</f>
        <v>0.74401983211762357</v>
      </c>
    </row>
    <row r="78" spans="1:37">
      <c r="A78" s="11"/>
      <c r="B78" s="189"/>
      <c r="C78" s="189"/>
      <c r="D78" s="189"/>
      <c r="E78" s="189"/>
      <c r="F78" s="189"/>
      <c r="G78" s="189"/>
      <c r="H78" s="189"/>
      <c r="I78" s="189"/>
      <c r="J78" s="189"/>
      <c r="K78" s="189"/>
      <c r="L78" s="189"/>
      <c r="M78" s="189"/>
      <c r="N78" s="189"/>
      <c r="O78" s="189"/>
      <c r="P78" s="189"/>
      <c r="Q78" s="189"/>
      <c r="R78" s="189"/>
      <c r="S78" s="189"/>
      <c r="T78" s="189"/>
      <c r="U78" s="189"/>
      <c r="V78" s="189"/>
      <c r="W78" s="189"/>
      <c r="X78" s="189"/>
      <c r="Y78" s="189"/>
      <c r="Z78" s="189"/>
      <c r="AA78" s="189"/>
      <c r="AB78" s="189"/>
      <c r="AC78" s="206"/>
      <c r="AD78" s="206"/>
      <c r="AE78" s="206"/>
      <c r="AF78" s="206"/>
    </row>
    <row r="79" spans="1:37">
      <c r="A79" s="4" t="str">
        <f>Cash_Flow_Qtr!A79</f>
        <v>Dividend Per Share</v>
      </c>
      <c r="B79" s="253"/>
      <c r="C79" s="253"/>
      <c r="D79" s="253"/>
      <c r="E79" s="253"/>
      <c r="F79" s="253"/>
      <c r="G79" s="253"/>
      <c r="H79" s="253"/>
      <c r="I79" s="253"/>
      <c r="J79" s="253"/>
      <c r="K79" s="253"/>
      <c r="L79" s="253"/>
      <c r="M79" s="253"/>
      <c r="N79" s="253"/>
      <c r="O79" s="253"/>
      <c r="P79" s="253"/>
      <c r="Q79" s="189">
        <f>Cash_Flow_Qtr!F79</f>
        <v>0</v>
      </c>
      <c r="R79" s="189">
        <f>Cash_Flow_Qtr!K79</f>
        <v>0</v>
      </c>
      <c r="S79" s="189">
        <f>Cash_Flow_Qtr!P79</f>
        <v>0</v>
      </c>
      <c r="T79" s="189">
        <f>Cash_Flow_Qtr!U79</f>
        <v>0</v>
      </c>
      <c r="U79" s="189">
        <f>Cash_Flow_Qtr!Z79</f>
        <v>2.94</v>
      </c>
      <c r="V79" s="189">
        <f>Cash_Flow_Qtr!AE79</f>
        <v>2.16</v>
      </c>
      <c r="W79" s="189">
        <f>Cash_Flow_Qtr!AJ79</f>
        <v>2.0049999999999999</v>
      </c>
      <c r="X79" s="189">
        <f>Cash_Flow_Qtr!AO79</f>
        <v>2.16</v>
      </c>
      <c r="Y79" s="189">
        <f>Cash_Flow_Qtr!AT79</f>
        <v>2.3199999999999998</v>
      </c>
      <c r="Z79" s="189">
        <f>Cash_Flow_Qtr!AY79</f>
        <v>2.48</v>
      </c>
      <c r="AA79" s="189">
        <f>Cash_Flow_Qtr!BD79</f>
        <v>2.6700000000000004</v>
      </c>
      <c r="AB79" s="189">
        <f>Cash_Flow_Qtr!BI79</f>
        <v>2.8702500000000004</v>
      </c>
      <c r="AC79" s="83">
        <f>AB79*(1+AC80)</f>
        <v>3.0998700000000006</v>
      </c>
      <c r="AD79" s="83">
        <f>AC79*(1+AD80)</f>
        <v>3.3478596000000009</v>
      </c>
      <c r="AE79" s="83">
        <f>AD79*(1+AE80)</f>
        <v>3.6156883680000012</v>
      </c>
      <c r="AF79" s="83">
        <f>AE79*(1+AF80)</f>
        <v>3.9049434374400014</v>
      </c>
    </row>
    <row r="80" spans="1:37">
      <c r="A80" s="1" t="s">
        <v>4</v>
      </c>
      <c r="B80" s="227"/>
      <c r="C80" s="115"/>
      <c r="D80" s="115"/>
      <c r="E80" s="115"/>
      <c r="F80" s="115"/>
      <c r="G80" s="115"/>
      <c r="H80" s="115"/>
      <c r="I80" s="115"/>
      <c r="J80" s="115"/>
      <c r="K80" s="115"/>
      <c r="L80" s="115"/>
      <c r="M80" s="115"/>
      <c r="N80" s="115"/>
      <c r="O80" s="115"/>
      <c r="P80" s="115"/>
      <c r="Q80" s="115" t="str">
        <f>IFERROR(Q79/P79-1,"NM")</f>
        <v>NM</v>
      </c>
      <c r="R80" s="186">
        <f>Cash_Flow_Qtr!K80</f>
        <v>0</v>
      </c>
      <c r="S80" s="186">
        <f>Cash_Flow_Qtr!P80</f>
        <v>0</v>
      </c>
      <c r="T80" s="186">
        <f>Cash_Flow_Qtr!U80</f>
        <v>0</v>
      </c>
      <c r="U80" s="186" t="str">
        <f>Cash_Flow_Qtr!Z80</f>
        <v>NM</v>
      </c>
      <c r="V80" s="186">
        <f>Cash_Flow_Qtr!AE80</f>
        <v>-0.26530612244897955</v>
      </c>
      <c r="W80" s="186">
        <f>Cash_Flow_Qtr!AJ80</f>
        <v>-7.1759259259259411E-2</v>
      </c>
      <c r="X80" s="186">
        <f>Cash_Flow_Qtr!AO80</f>
        <v>7.7306733167082475E-2</v>
      </c>
      <c r="Y80" s="186">
        <f>Cash_Flow_Qtr!AT80</f>
        <v>7.4074074074073959E-2</v>
      </c>
      <c r="Z80" s="186">
        <f>Cash_Flow_Qtr!AY80</f>
        <v>6.8965517241379448E-2</v>
      </c>
      <c r="AA80" s="186">
        <f>Cash_Flow_Qtr!BD80</f>
        <v>7.6612903225806717E-2</v>
      </c>
      <c r="AB80" s="186">
        <f>Cash_Flow_Qtr!BI80</f>
        <v>7.4999999999999997E-2</v>
      </c>
      <c r="AC80" s="230">
        <v>0.08</v>
      </c>
      <c r="AD80" s="230">
        <v>0.08</v>
      </c>
      <c r="AE80" s="230">
        <v>0.08</v>
      </c>
      <c r="AF80" s="230">
        <v>0.08</v>
      </c>
    </row>
    <row r="81" spans="1:37">
      <c r="A81" s="1"/>
      <c r="B81" s="43"/>
      <c r="C81" s="43"/>
      <c r="D81" s="43"/>
      <c r="E81" s="43"/>
      <c r="F81" s="43"/>
      <c r="G81" s="43"/>
      <c r="H81" s="43"/>
      <c r="I81" s="43"/>
      <c r="J81" s="43"/>
      <c r="K81" s="43"/>
      <c r="L81" s="43"/>
      <c r="M81" s="43"/>
      <c r="N81" s="43"/>
      <c r="O81" s="43"/>
      <c r="P81" s="43"/>
      <c r="Q81" s="38"/>
      <c r="R81" s="38"/>
      <c r="S81" s="38"/>
      <c r="T81" s="38"/>
      <c r="U81" s="38"/>
      <c r="V81" s="38"/>
      <c r="W81" s="38"/>
      <c r="X81" s="38"/>
      <c r="Y81" s="38"/>
      <c r="Z81" s="38"/>
      <c r="AA81" s="38"/>
      <c r="AB81" s="38"/>
      <c r="AC81" s="38"/>
      <c r="AD81" s="38"/>
      <c r="AE81" s="38"/>
      <c r="AF81" s="38"/>
    </row>
    <row r="82" spans="1:37">
      <c r="A82" s="4" t="str">
        <f>Cash_Flow_Qtr!A82</f>
        <v>Pension Contribution/Cash Reconciliation</v>
      </c>
      <c r="B82" s="43"/>
      <c r="C82" s="43"/>
      <c r="D82" s="43"/>
      <c r="E82" s="43"/>
      <c r="F82" s="43"/>
      <c r="G82" s="43"/>
      <c r="H82" s="43"/>
      <c r="I82" s="43"/>
      <c r="J82" s="43"/>
      <c r="K82" s="43"/>
      <c r="L82" s="43"/>
      <c r="M82" s="43"/>
      <c r="N82" s="43"/>
      <c r="O82" s="43"/>
      <c r="P82" s="43"/>
      <c r="Q82" s="38">
        <f>+Cash_Flow_Qtr!F82</f>
        <v>0</v>
      </c>
      <c r="R82" s="38">
        <f>+Cash_Flow_Qtr!K82</f>
        <v>0</v>
      </c>
      <c r="S82" s="38">
        <f>+Cash_Flow_Qtr!P82</f>
        <v>0</v>
      </c>
      <c r="T82" s="38">
        <f>+Cash_Flow_Qtr!U82</f>
        <v>0</v>
      </c>
      <c r="U82" s="38">
        <f>+Cash_Flow_Qtr!Z82</f>
        <v>0</v>
      </c>
      <c r="V82" s="38">
        <f>+Cash_Flow_Qtr!AE82</f>
        <v>0</v>
      </c>
      <c r="W82" s="38">
        <f>+Cash_Flow_Qtr!AJ82</f>
        <v>0</v>
      </c>
      <c r="X82" s="38">
        <f>+Cash_Flow_Qtr!AO82</f>
        <v>0</v>
      </c>
      <c r="Y82" s="38">
        <f>+Cash_Flow_Qtr!AT82</f>
        <v>0</v>
      </c>
      <c r="Z82" s="38">
        <f>+Cash_Flow_Qtr!AY82</f>
        <v>0</v>
      </c>
      <c r="AA82" s="38">
        <f>+Cash_Flow_Qtr!BD82</f>
        <v>0</v>
      </c>
      <c r="AB82" s="38">
        <f>+Cash_Flow_Qtr!BI82</f>
        <v>0</v>
      </c>
      <c r="AC82" s="22"/>
      <c r="AD82" s="22"/>
      <c r="AE82" s="22"/>
      <c r="AF82" s="22"/>
      <c r="AG82" s="112"/>
      <c r="AH82" s="112"/>
      <c r="AI82" s="112"/>
      <c r="AJ82" s="112"/>
      <c r="AK82" s="112"/>
    </row>
    <row r="83" spans="1:37">
      <c r="A83" s="1" t="str">
        <f>Cash_Flow_Qtr!A83</f>
        <v>Employer Contributions (Pension Plan)</v>
      </c>
      <c r="B83" s="43"/>
      <c r="C83" s="43"/>
      <c r="D83" s="43"/>
      <c r="E83" s="43"/>
      <c r="F83" s="43"/>
      <c r="G83" s="43"/>
      <c r="H83" s="43"/>
      <c r="I83" s="43"/>
      <c r="J83" s="43"/>
      <c r="K83" s="43"/>
      <c r="L83" s="43"/>
      <c r="M83" s="43"/>
      <c r="N83" s="43"/>
      <c r="O83" s="43"/>
      <c r="P83" s="43"/>
      <c r="Q83" s="38">
        <f>+Cash_Flow_Qtr!F83</f>
        <v>0</v>
      </c>
      <c r="R83" s="38">
        <f>+Cash_Flow_Qtr!K83</f>
        <v>0</v>
      </c>
      <c r="S83" s="38">
        <f>+Cash_Flow_Qtr!P83</f>
        <v>0</v>
      </c>
      <c r="T83" s="38">
        <f>+Cash_Flow_Qtr!U83</f>
        <v>0</v>
      </c>
      <c r="U83" s="38">
        <f>+Cash_Flow_Qtr!Z83</f>
        <v>0</v>
      </c>
      <c r="V83" s="38">
        <f>+Cash_Flow_Qtr!AE83</f>
        <v>0</v>
      </c>
      <c r="W83" s="38">
        <f>+Cash_Flow_Qtr!AJ83</f>
        <v>0</v>
      </c>
      <c r="X83" s="38">
        <f>+Cash_Flow_Qtr!AO83</f>
        <v>0</v>
      </c>
      <c r="Y83" s="38">
        <f>+Cash_Flow_Qtr!AT83</f>
        <v>0</v>
      </c>
      <c r="Z83" s="38">
        <f>+Cash_Flow_Qtr!AY83</f>
        <v>0</v>
      </c>
      <c r="AA83" s="38">
        <f>+Cash_Flow_Qtr!BD83</f>
        <v>0</v>
      </c>
      <c r="AB83" s="38">
        <f>+Cash_Flow_Qtr!BI83</f>
        <v>0</v>
      </c>
      <c r="AC83" s="43">
        <v>0</v>
      </c>
      <c r="AD83" s="43">
        <v>0</v>
      </c>
      <c r="AE83" s="43">
        <v>0</v>
      </c>
      <c r="AF83" s="43">
        <v>0</v>
      </c>
    </row>
    <row r="84" spans="1:37">
      <c r="A84" s="1" t="str">
        <f>Cash_Flow_Qtr!A84</f>
        <v>Employer Contributions (Postretirement Benefit Plans)</v>
      </c>
      <c r="B84" s="43"/>
      <c r="C84" s="43"/>
      <c r="D84" s="43"/>
      <c r="E84" s="43"/>
      <c r="F84" s="43"/>
      <c r="G84" s="43"/>
      <c r="H84" s="43"/>
      <c r="I84" s="43"/>
      <c r="J84" s="43"/>
      <c r="K84" s="43"/>
      <c r="L84" s="43"/>
      <c r="M84" s="43"/>
      <c r="N84" s="43"/>
      <c r="O84" s="43"/>
      <c r="P84" s="43"/>
      <c r="Q84" s="38">
        <f>+Cash_Flow_Qtr!F84</f>
        <v>0</v>
      </c>
      <c r="R84" s="38">
        <f>+Cash_Flow_Qtr!K84</f>
        <v>0</v>
      </c>
      <c r="S84" s="38">
        <f>+Cash_Flow_Qtr!P84</f>
        <v>0</v>
      </c>
      <c r="T84" s="38">
        <f>+Cash_Flow_Qtr!U84</f>
        <v>0</v>
      </c>
      <c r="U84" s="38">
        <f>+Cash_Flow_Qtr!Z84</f>
        <v>0</v>
      </c>
      <c r="V84" s="38">
        <f>+Cash_Flow_Qtr!AE84</f>
        <v>0</v>
      </c>
      <c r="W84" s="38">
        <f>+Cash_Flow_Qtr!AJ84</f>
        <v>0</v>
      </c>
      <c r="X84" s="38">
        <f>+Cash_Flow_Qtr!AO84</f>
        <v>0</v>
      </c>
      <c r="Y84" s="38">
        <f>+Cash_Flow_Qtr!AT84</f>
        <v>0</v>
      </c>
      <c r="Z84" s="38">
        <f>+Cash_Flow_Qtr!AY84</f>
        <v>0</v>
      </c>
      <c r="AA84" s="38">
        <f>+Cash_Flow_Qtr!BD84</f>
        <v>0</v>
      </c>
      <c r="AB84" s="38">
        <f>+Cash_Flow_Qtr!BI84</f>
        <v>0</v>
      </c>
      <c r="AC84" s="43">
        <f t="shared" ref="AC84:AF84" si="2">+AB84</f>
        <v>0</v>
      </c>
      <c r="AD84" s="43">
        <f t="shared" si="2"/>
        <v>0</v>
      </c>
      <c r="AE84" s="43">
        <f t="shared" si="2"/>
        <v>0</v>
      </c>
      <c r="AF84" s="43">
        <f t="shared" si="2"/>
        <v>0</v>
      </c>
    </row>
    <row r="85" spans="1:37">
      <c r="A85" s="349" t="s">
        <v>425</v>
      </c>
      <c r="B85" s="43"/>
      <c r="C85" s="43"/>
      <c r="D85" s="43"/>
      <c r="E85" s="43"/>
      <c r="F85" s="43"/>
      <c r="G85" s="43"/>
      <c r="H85" s="43"/>
      <c r="I85" s="43"/>
      <c r="J85" s="43"/>
      <c r="K85" s="43"/>
      <c r="L85" s="43"/>
      <c r="M85" s="43"/>
      <c r="N85" s="43"/>
      <c r="O85" s="43"/>
      <c r="P85" s="43"/>
      <c r="Q85" s="38"/>
      <c r="R85" s="38"/>
      <c r="S85" s="38"/>
      <c r="T85" s="38"/>
      <c r="U85" s="38"/>
      <c r="V85" s="38"/>
      <c r="W85" s="38">
        <f>Cash_Flow_Qtr!AJ85</f>
        <v>0</v>
      </c>
      <c r="X85" s="38">
        <f>Cash_Flow_Qtr!AO85</f>
        <v>0</v>
      </c>
      <c r="Y85" s="38">
        <f>Cash_Flow_Qtr!AT85</f>
        <v>0</v>
      </c>
      <c r="Z85" s="38">
        <f>Cash_Flow_Qtr!AY85</f>
        <v>-303.36</v>
      </c>
      <c r="AA85" s="38">
        <f>Cash_Flow_Qtr!BD85</f>
        <v>-933.78</v>
      </c>
      <c r="AB85" s="38">
        <f>Cash_Flow_Qtr!BI85</f>
        <v>-1106</v>
      </c>
      <c r="AC85" s="75">
        <f>ProForma_IS_Annual!AC32*(1-0.21)</f>
        <v>-1106</v>
      </c>
      <c r="AD85" s="75">
        <f>ProForma_IS_Annual!AD32*(1-0.21)</f>
        <v>-967.75</v>
      </c>
      <c r="AE85" s="75">
        <f>ProForma_IS_Annual!AE32*(1-0.21)</f>
        <v>-876.90000000000009</v>
      </c>
      <c r="AF85" s="75">
        <f>ProForma_IS_Annual!AF32*(1-0.21)</f>
        <v>-876.90000000000009</v>
      </c>
    </row>
    <row r="86" spans="1:37">
      <c r="A86" s="1"/>
      <c r="B86" s="43"/>
      <c r="C86" s="43"/>
      <c r="D86" s="43"/>
      <c r="E86" s="43"/>
      <c r="F86" s="43"/>
      <c r="G86" s="43"/>
      <c r="H86" s="43"/>
      <c r="I86" s="43"/>
      <c r="J86" s="43"/>
      <c r="K86" s="43"/>
      <c r="L86" s="43"/>
      <c r="M86" s="43"/>
      <c r="N86" s="43"/>
      <c r="O86" s="43"/>
      <c r="P86" s="43"/>
      <c r="Q86" s="38"/>
      <c r="R86" s="38"/>
      <c r="S86" s="38"/>
      <c r="T86" s="38"/>
      <c r="U86" s="38"/>
      <c r="V86" s="38"/>
      <c r="W86" s="38"/>
      <c r="X86" s="38"/>
      <c r="Y86" s="38"/>
      <c r="Z86" s="38"/>
      <c r="AA86" s="38"/>
      <c r="AB86" s="38"/>
      <c r="AC86" s="452">
        <v>0</v>
      </c>
      <c r="AD86" s="452">
        <v>0</v>
      </c>
      <c r="AE86" s="452">
        <v>0</v>
      </c>
      <c r="AF86" s="452">
        <v>0</v>
      </c>
    </row>
    <row r="87" spans="1:37">
      <c r="A87" s="1" t="str">
        <f>Cash_Flow_Qtr!A87</f>
        <v>Global Defined Benefit Pension Plans</v>
      </c>
      <c r="B87" s="43"/>
      <c r="C87" s="43"/>
      <c r="D87" s="43"/>
      <c r="E87" s="43"/>
      <c r="F87" s="43"/>
      <c r="G87" s="43"/>
      <c r="H87" s="43"/>
      <c r="I87" s="43"/>
      <c r="J87" s="43"/>
      <c r="K87" s="43"/>
      <c r="L87" s="43"/>
      <c r="M87" s="43"/>
      <c r="N87" s="43"/>
      <c r="O87" s="43"/>
      <c r="P87" s="43"/>
      <c r="Q87" s="38">
        <f>+Cash_Flow_Qtr!F87</f>
        <v>0</v>
      </c>
      <c r="R87" s="38">
        <f>+Cash_Flow_Qtr!K87</f>
        <v>0</v>
      </c>
      <c r="S87" s="38">
        <f>+Cash_Flow_Qtr!P87</f>
        <v>0</v>
      </c>
      <c r="T87" s="38">
        <f>+Cash_Flow_Qtr!U87</f>
        <v>0</v>
      </c>
      <c r="U87" s="38">
        <f>+Cash_Flow_Qtr!Z87</f>
        <v>0</v>
      </c>
      <c r="V87" s="38">
        <f>+Cash_Flow_Qtr!AE87</f>
        <v>589</v>
      </c>
      <c r="W87" s="38">
        <f>+Cash_Flow_Qtr!AJ87</f>
        <v>557</v>
      </c>
      <c r="X87" s="38">
        <f>+Cash_Flow_Qtr!AO87</f>
        <v>550</v>
      </c>
      <c r="Y87" s="38">
        <f>+Cash_Flow_Qtr!AT87</f>
        <v>550</v>
      </c>
      <c r="Z87" s="38">
        <f>+Cash_Flow_Qtr!AY87</f>
        <v>93.75</v>
      </c>
      <c r="AA87" s="38">
        <f>+Cash_Flow_Qtr!BD87</f>
        <v>75</v>
      </c>
      <c r="AB87" s="38">
        <f>+Cash_Flow_Qtr!BI87</f>
        <v>0</v>
      </c>
      <c r="AC87" s="22">
        <f>AC88+AC89</f>
        <v>0</v>
      </c>
      <c r="AD87" s="22">
        <f>AD88+AD89</f>
        <v>0</v>
      </c>
      <c r="AE87" s="22">
        <f>AE88+AE89</f>
        <v>0</v>
      </c>
      <c r="AF87" s="22">
        <f>AF88+AF89</f>
        <v>0</v>
      </c>
    </row>
    <row r="88" spans="1:37">
      <c r="A88" s="1" t="str">
        <f>Cash_Flow_Qtr!A88</f>
        <v>Pension Contribution</v>
      </c>
      <c r="B88" s="43"/>
      <c r="C88" s="43"/>
      <c r="D88" s="43"/>
      <c r="E88" s="43"/>
      <c r="F88" s="43"/>
      <c r="G88" s="43"/>
      <c r="H88" s="43"/>
      <c r="I88" s="43"/>
      <c r="J88" s="43"/>
      <c r="K88" s="43"/>
      <c r="L88" s="43"/>
      <c r="M88" s="43"/>
      <c r="N88" s="43"/>
      <c r="O88" s="43"/>
      <c r="P88" s="43"/>
      <c r="Q88" s="38">
        <f>+Cash_Flow_Qtr!F88</f>
        <v>0</v>
      </c>
      <c r="R88" s="38">
        <f>+Cash_Flow_Qtr!K88</f>
        <v>0</v>
      </c>
      <c r="S88" s="38">
        <f>+Cash_Flow_Qtr!P88</f>
        <v>0</v>
      </c>
      <c r="T88" s="38">
        <f>+Cash_Flow_Qtr!U88</f>
        <v>0</v>
      </c>
      <c r="U88" s="38">
        <f>+Cash_Flow_Qtr!Z88</f>
        <v>0</v>
      </c>
      <c r="V88" s="38">
        <f>+Cash_Flow_Qtr!AE88</f>
        <v>589</v>
      </c>
      <c r="W88" s="38">
        <f>+Cash_Flow_Qtr!AJ88</f>
        <v>557</v>
      </c>
      <c r="X88" s="38">
        <f>+Cash_Flow_Qtr!AO88</f>
        <v>550</v>
      </c>
      <c r="Y88" s="38">
        <f>+Cash_Flow_Qtr!AT88</f>
        <v>550</v>
      </c>
      <c r="Z88" s="38">
        <f>+Cash_Flow_Qtr!AY88</f>
        <v>93.75</v>
      </c>
      <c r="AA88" s="38">
        <f>+Cash_Flow_Qtr!BD88</f>
        <v>75</v>
      </c>
      <c r="AB88" s="38">
        <f>+Cash_Flow_Qtr!BI88</f>
        <v>0</v>
      </c>
      <c r="AC88" s="445">
        <v>0</v>
      </c>
      <c r="AD88" s="445">
        <v>0</v>
      </c>
      <c r="AE88" s="445">
        <v>0</v>
      </c>
      <c r="AF88" s="445">
        <v>0</v>
      </c>
    </row>
    <row r="89" spans="1:37">
      <c r="A89" s="1" t="str">
        <f>Cash_Flow_Qtr!A89</f>
        <v>PRB contributions</v>
      </c>
      <c r="B89" s="43"/>
      <c r="C89" s="43"/>
      <c r="D89" s="43"/>
      <c r="E89" s="43"/>
      <c r="F89" s="43"/>
      <c r="G89" s="43"/>
      <c r="H89" s="43"/>
      <c r="I89" s="43"/>
      <c r="J89" s="43"/>
      <c r="K89" s="43"/>
      <c r="L89" s="43"/>
      <c r="M89" s="43"/>
      <c r="N89" s="43"/>
      <c r="O89" s="43"/>
      <c r="P89" s="43"/>
      <c r="Q89" s="38">
        <f>+Cash_Flow_Qtr!F89</f>
        <v>0</v>
      </c>
      <c r="R89" s="38">
        <f>+Cash_Flow_Qtr!K89</f>
        <v>0</v>
      </c>
      <c r="S89" s="38">
        <f>+Cash_Flow_Qtr!P89</f>
        <v>0</v>
      </c>
      <c r="T89" s="38">
        <f>+Cash_Flow_Qtr!U89</f>
        <v>0</v>
      </c>
      <c r="U89" s="38">
        <f>+Cash_Flow_Qtr!Z89</f>
        <v>0</v>
      </c>
      <c r="V89" s="38">
        <f>+Cash_Flow_Qtr!AE89</f>
        <v>0</v>
      </c>
      <c r="W89" s="38">
        <f>+Cash_Flow_Qtr!AJ89</f>
        <v>0</v>
      </c>
      <c r="X89" s="38">
        <f>+Cash_Flow_Qtr!AO89</f>
        <v>0</v>
      </c>
      <c r="Y89" s="38">
        <f>+Cash_Flow_Qtr!AT89</f>
        <v>0</v>
      </c>
      <c r="Z89" s="38">
        <f>+Cash_Flow_Qtr!AY89</f>
        <v>0</v>
      </c>
      <c r="AA89" s="38">
        <f>+Cash_Flow_Qtr!BD89</f>
        <v>0</v>
      </c>
      <c r="AB89" s="38">
        <f>+Cash_Flow_Qtr!BI89</f>
        <v>0</v>
      </c>
      <c r="AC89" s="43">
        <f>+AB89</f>
        <v>0</v>
      </c>
      <c r="AD89" s="43">
        <f>+AC89</f>
        <v>0</v>
      </c>
      <c r="AE89" s="43">
        <f>+AD89</f>
        <v>0</v>
      </c>
      <c r="AF89" s="43">
        <f>+AE89</f>
        <v>0</v>
      </c>
    </row>
    <row r="106" spans="1:33">
      <c r="B106"/>
      <c r="C106"/>
      <c r="D106"/>
      <c r="E106"/>
      <c r="F106"/>
      <c r="G106"/>
      <c r="H106"/>
      <c r="I106"/>
      <c r="J106"/>
      <c r="K106"/>
      <c r="L106"/>
      <c r="M106"/>
      <c r="N106"/>
      <c r="O106"/>
      <c r="P106"/>
      <c r="Q106"/>
      <c r="R106"/>
      <c r="S106"/>
      <c r="T106"/>
      <c r="U106"/>
      <c r="V106"/>
      <c r="AG106"/>
    </row>
    <row r="107" spans="1:33">
      <c r="A107" s="259"/>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row>
  </sheetData>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theme="4" tint="0.39997558519241921"/>
  </sheetPr>
  <dimension ref="A1:BX108"/>
  <sheetViews>
    <sheetView showGridLines="0" zoomScaleNormal="100" workbookViewId="0">
      <pane xSplit="1" ySplit="2" topLeftCell="AU3" activePane="bottomRight" state="frozen"/>
      <selection activeCell="Q2" sqref="Q2"/>
      <selection pane="topRight" activeCell="Q2" sqref="Q2"/>
      <selection pane="bottomLeft" activeCell="Q2" sqref="Q2"/>
      <selection pane="bottomRight" activeCell="BM15" sqref="BM15"/>
    </sheetView>
  </sheetViews>
  <sheetFormatPr defaultRowHeight="15" outlineLevelCol="2"/>
  <cols>
    <col min="1" max="1" width="48" customWidth="1"/>
    <col min="2" max="5" width="12.140625" style="25" customWidth="1" outlineLevel="1"/>
    <col min="6" max="6" width="12.140625" style="25" customWidth="1" outlineLevel="1" collapsed="1"/>
    <col min="7" max="10" width="12.140625" style="25" hidden="1" customWidth="1" outlineLevel="2"/>
    <col min="11" max="11" width="12.140625" style="25" customWidth="1" outlineLevel="1" collapsed="1"/>
    <col min="12" max="15" width="12.140625" style="25" hidden="1" customWidth="1" outlineLevel="2"/>
    <col min="16" max="16" width="12.140625" style="25" customWidth="1" outlineLevel="1" collapsed="1"/>
    <col min="17" max="20" width="12.140625" style="25" customWidth="1" outlineLevel="2"/>
    <col min="21" max="25" width="12.140625" style="25" customWidth="1" outlineLevel="1"/>
    <col min="26" max="26" width="12.140625" style="25" customWidth="1"/>
    <col min="27" max="30" width="12.140625" style="25" customWidth="1" outlineLevel="1"/>
    <col min="31" max="31" width="12.140625" style="25" customWidth="1"/>
    <col min="32" max="35" width="12.140625" style="25" customWidth="1" outlineLevel="1"/>
    <col min="36" max="41" width="12.140625" style="25" customWidth="1"/>
    <col min="42" max="45" width="12.140625" style="25" customWidth="1" outlineLevel="1"/>
    <col min="46" max="46" width="12.140625" style="25" customWidth="1"/>
    <col min="47" max="50" width="12.140625" style="25" customWidth="1" outlineLevel="1"/>
    <col min="51" max="51" width="12.140625" style="25" customWidth="1"/>
    <col min="52" max="55" width="12.140625" style="25" customWidth="1" outlineLevel="1"/>
    <col min="56" max="56" width="12.140625" style="25" customWidth="1"/>
    <col min="57" max="60" width="12.140625" style="25" customWidth="1" outlineLevel="1"/>
    <col min="61" max="61" width="12.140625" style="25" customWidth="1"/>
    <col min="62" max="62" width="9.42578125" style="324" customWidth="1"/>
    <col min="63" max="63" width="9.140625" customWidth="1"/>
    <col min="64" max="64" width="56.5703125" customWidth="1"/>
    <col min="65" max="67" width="9.140625" customWidth="1"/>
    <col min="68" max="68" width="63.7109375" hidden="1" customWidth="1" outlineLevel="1"/>
    <col min="69" max="69" width="9.140625" hidden="1" customWidth="1" outlineLevel="1"/>
    <col min="70" max="70" width="12.85546875" hidden="1" customWidth="1" outlineLevel="1"/>
    <col min="71" max="73" width="9.140625" hidden="1" customWidth="1" outlineLevel="1"/>
    <col min="74" max="74" width="9.140625" customWidth="1" collapsed="1"/>
    <col min="75" max="77" width="9.140625" customWidth="1"/>
    <col min="79" max="79" width="29.42578125" customWidth="1"/>
  </cols>
  <sheetData>
    <row r="1" spans="1:66">
      <c r="A1" s="14" t="s">
        <v>20</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row>
    <row r="2" spans="1:66">
      <c r="B2" s="105" t="str">
        <f>ProForma_IS_Qtr!B2</f>
        <v>1Q15A</v>
      </c>
      <c r="C2" s="105" t="str">
        <f>ProForma_IS_Qtr!C2</f>
        <v>2Q15A</v>
      </c>
      <c r="D2" s="105" t="str">
        <f>ProForma_IS_Qtr!D2</f>
        <v>3Q15A</v>
      </c>
      <c r="E2" s="105" t="str">
        <f>ProForma_IS_Qtr!E2</f>
        <v>4Q15A</v>
      </c>
      <c r="F2" s="106" t="str">
        <f>ProForma_IS_Qtr!F2</f>
        <v>CY2015A</v>
      </c>
      <c r="G2" s="105" t="str">
        <f>ProForma_IS_Qtr!G2</f>
        <v>1Q16A</v>
      </c>
      <c r="H2" s="105" t="str">
        <f>ProForma_IS_Qtr!H2</f>
        <v>2Q16A</v>
      </c>
      <c r="I2" s="105" t="str">
        <f>ProForma_IS_Qtr!I2</f>
        <v>3Q16A</v>
      </c>
      <c r="J2" s="105" t="str">
        <f>ProForma_IS_Qtr!J2</f>
        <v>4Q16A</v>
      </c>
      <c r="K2" s="106" t="str">
        <f>ProForma_IS_Qtr!K2</f>
        <v>CY2016A</v>
      </c>
      <c r="L2" s="105" t="str">
        <f>ProForma_IS_Qtr!L2</f>
        <v>1Q17A</v>
      </c>
      <c r="M2" s="105" t="str">
        <f>ProForma_IS_Qtr!M2</f>
        <v>2Q17A</v>
      </c>
      <c r="N2" s="105" t="str">
        <f>ProForma_IS_Qtr!N2</f>
        <v>3Q17A</v>
      </c>
      <c r="O2" s="105" t="str">
        <f>ProForma_IS_Qtr!O2</f>
        <v>4Q17A</v>
      </c>
      <c r="P2" s="106" t="str">
        <f>ProForma_IS_Qtr!P2</f>
        <v>CY2017A</v>
      </c>
      <c r="Q2" s="105" t="str">
        <f>ProForma_IS_Qtr!Q2</f>
        <v>1Q18A</v>
      </c>
      <c r="R2" s="105" t="str">
        <f>ProForma_IS_Qtr!R2</f>
        <v>2Q18A</v>
      </c>
      <c r="S2" s="105" t="str">
        <f>ProForma_IS_Qtr!S2</f>
        <v>3Q18A</v>
      </c>
      <c r="T2" s="105" t="str">
        <f>ProForma_IS_Qtr!T2</f>
        <v>4Q18A</v>
      </c>
      <c r="U2" s="106" t="str">
        <f>ProForma_IS_Qtr!U2</f>
        <v>CY2018A</v>
      </c>
      <c r="V2" s="105" t="str">
        <f>ProForma_IS_Qtr!V2</f>
        <v>1Q19A</v>
      </c>
      <c r="W2" s="105" t="str">
        <f>ProForma_IS_Qtr!W2</f>
        <v>2Q19A</v>
      </c>
      <c r="X2" s="105" t="str">
        <f>ProForma_IS_Qtr!X2</f>
        <v>3Q19A</v>
      </c>
      <c r="Y2" s="105" t="str">
        <f>ProForma_IS_Qtr!Y2</f>
        <v>4Q19A</v>
      </c>
      <c r="Z2" s="106" t="str">
        <f>ProForma_IS_Qtr!Z2</f>
        <v>CY2019A</v>
      </c>
      <c r="AA2" s="105" t="str">
        <f>ProForma_IS_Qtr!AA2</f>
        <v>1Q20A</v>
      </c>
      <c r="AB2" s="105" t="str">
        <f>ProForma_IS_Qtr!AB2</f>
        <v>2Q20A</v>
      </c>
      <c r="AC2" s="105" t="str">
        <f>ProForma_IS_Qtr!AC2</f>
        <v>3Q20A</v>
      </c>
      <c r="AD2" s="105" t="str">
        <f>ProForma_IS_Qtr!AD2</f>
        <v>4Q20A</v>
      </c>
      <c r="AE2" s="106" t="str">
        <f>ProForma_IS_Qtr!AE2</f>
        <v>CY2020A</v>
      </c>
      <c r="AF2" s="105" t="str">
        <f>ProForma_IS_Qtr!AF2</f>
        <v>1Q21A</v>
      </c>
      <c r="AG2" s="105" t="str">
        <f>ProForma_IS_Qtr!AG2</f>
        <v>2Q21A</v>
      </c>
      <c r="AH2" s="105" t="str">
        <f>ProForma_IS_Qtr!AH2</f>
        <v>3Q21A</v>
      </c>
      <c r="AI2" s="105" t="str">
        <f>ProForma_IS_Qtr!AI2</f>
        <v>4Q21A</v>
      </c>
      <c r="AJ2" s="106" t="str">
        <f>ProForma_IS_Qtr!AJ2</f>
        <v>CY2021A</v>
      </c>
      <c r="AK2" s="105" t="str">
        <f>ProForma_IS_Qtr!AK2</f>
        <v>1Q22A</v>
      </c>
      <c r="AL2" s="105" t="str">
        <f>ProForma_IS_Qtr!AL2</f>
        <v>2Q22A</v>
      </c>
      <c r="AM2" s="105" t="str">
        <f>ProForma_IS_Qtr!AM2</f>
        <v>3Q22A</v>
      </c>
      <c r="AN2" s="105" t="str">
        <f>ProForma_IS_Qtr!AN2</f>
        <v>4Q22A</v>
      </c>
      <c r="AO2" s="106" t="str">
        <f>ProForma_IS_Qtr!AO2</f>
        <v>CY2022A</v>
      </c>
      <c r="AP2" s="105" t="str">
        <f>ProForma_IS_Qtr!AP2</f>
        <v>1Q23A</v>
      </c>
      <c r="AQ2" s="105" t="str">
        <f>ProForma_IS_Qtr!AQ2</f>
        <v>2Q23A</v>
      </c>
      <c r="AR2" s="105" t="str">
        <f>ProForma_IS_Qtr!AR2</f>
        <v>3Q23A</v>
      </c>
      <c r="AS2" s="105" t="str">
        <f>ProForma_IS_Qtr!AS2</f>
        <v>4Q23A</v>
      </c>
      <c r="AT2" s="106" t="str">
        <f>ProForma_IS_Qtr!AT2</f>
        <v>CY2023A</v>
      </c>
      <c r="AU2" s="105" t="str">
        <f>ProForma_IS_Qtr!AU2</f>
        <v>1Q24A</v>
      </c>
      <c r="AV2" s="105" t="str">
        <f>ProForma_IS_Qtr!AV2</f>
        <v>2Q24A</v>
      </c>
      <c r="AW2" s="105" t="str">
        <f>ProForma_IS_Qtr!AW2</f>
        <v>3Q24A</v>
      </c>
      <c r="AX2" s="105" t="str">
        <f>ProForma_IS_Qtr!AX2</f>
        <v>4Q24A</v>
      </c>
      <c r="AY2" s="106" t="str">
        <f>ProForma_IS_Qtr!AY2</f>
        <v>CY2024A</v>
      </c>
      <c r="AZ2" s="105" t="str">
        <f>ProForma_IS_Qtr!AZ2</f>
        <v>1Q25A</v>
      </c>
      <c r="BA2" s="105" t="str">
        <f>ProForma_IS_Qtr!BA2</f>
        <v>2Q25A</v>
      </c>
      <c r="BB2" s="105" t="str">
        <f>ProForma_IS_Qtr!BB2</f>
        <v>3Q25A</v>
      </c>
      <c r="BC2" s="105" t="str">
        <f>ProForma_IS_Qtr!BC2</f>
        <v>4Q25A</v>
      </c>
      <c r="BD2" s="106" t="str">
        <f>ProForma_IS_Qtr!BD2</f>
        <v>CY2025A</v>
      </c>
      <c r="BE2" s="105" t="str">
        <f>ProForma_IS_Qtr!BE2</f>
        <v>1Q26A</v>
      </c>
      <c r="BF2" s="105" t="str">
        <f>ProForma_IS_Qtr!BF2</f>
        <v>2Q26A</v>
      </c>
      <c r="BG2" s="105" t="str">
        <f>ProForma_IS_Qtr!BG2</f>
        <v>3Q26E</v>
      </c>
      <c r="BH2" s="105" t="str">
        <f>ProForma_IS_Qtr!BH2</f>
        <v>4Q26E</v>
      </c>
      <c r="BI2" s="106" t="str">
        <f>ProForma_IS_Qtr!BI2</f>
        <v>CY2026E</v>
      </c>
      <c r="BJ2" s="314" t="s">
        <v>507</v>
      </c>
    </row>
    <row r="3" spans="1:66">
      <c r="A3" s="4" t="s">
        <v>29</v>
      </c>
      <c r="F3" s="26"/>
      <c r="K3" s="26"/>
      <c r="P3" s="26"/>
      <c r="U3" s="26"/>
      <c r="V3" s="77"/>
      <c r="X3" s="21"/>
      <c r="Z3" s="22"/>
      <c r="AB3" s="77"/>
      <c r="AC3" s="77"/>
      <c r="AE3" s="22"/>
      <c r="AJ3" s="26"/>
      <c r="AO3" s="26"/>
      <c r="AT3" s="26"/>
      <c r="AY3" s="26"/>
      <c r="BD3" s="26"/>
      <c r="BI3" s="26"/>
    </row>
    <row r="4" spans="1:66">
      <c r="A4" s="1" t="s">
        <v>69</v>
      </c>
      <c r="B4" s="37"/>
      <c r="C4" s="37"/>
      <c r="D4" s="37"/>
      <c r="E4" s="37"/>
      <c r="F4" s="38"/>
      <c r="G4" s="37"/>
      <c r="H4" s="37"/>
      <c r="I4" s="37"/>
      <c r="J4" s="37"/>
      <c r="K4" s="38"/>
      <c r="L4" s="37"/>
      <c r="M4" s="37"/>
      <c r="N4" s="37"/>
      <c r="O4" s="37"/>
      <c r="P4" s="38"/>
      <c r="Q4" s="37"/>
      <c r="R4" s="37"/>
      <c r="S4" s="37"/>
      <c r="T4" s="37"/>
      <c r="U4" s="38"/>
      <c r="V4" s="41">
        <v>1425</v>
      </c>
      <c r="W4" s="41">
        <f>1989-V4</f>
        <v>564</v>
      </c>
      <c r="X4" s="41">
        <f>3000-W4-V4</f>
        <v>1011</v>
      </c>
      <c r="Y4" s="21">
        <f t="shared" ref="Y4:Y9" si="0">+Z4-SUM(V4:X4)</f>
        <v>731</v>
      </c>
      <c r="Z4" s="43">
        <v>3731</v>
      </c>
      <c r="AA4" s="41">
        <v>14</v>
      </c>
      <c r="AB4" s="41">
        <f>-3328-AA4</f>
        <v>-3342</v>
      </c>
      <c r="AC4" s="41">
        <f>-3143-AB4-AA4</f>
        <v>185</v>
      </c>
      <c r="AD4" s="21">
        <f t="shared" ref="AD4:AD9" si="1">+AE4-SUM(AA4:AC4)</f>
        <v>215</v>
      </c>
      <c r="AE4" s="43">
        <v>-2928</v>
      </c>
      <c r="AF4" s="41">
        <v>813</v>
      </c>
      <c r="AG4" s="41">
        <f>1901-AF4</f>
        <v>1088</v>
      </c>
      <c r="AH4" s="41">
        <f>3374-AG4-AF4</f>
        <v>1473</v>
      </c>
      <c r="AI4" s="21">
        <f t="shared" ref="AI4:AI9" si="2">+AJ4-SUM(AF4:AH4)</f>
        <v>771</v>
      </c>
      <c r="AJ4" s="43">
        <v>4145</v>
      </c>
      <c r="AK4" s="41">
        <v>1126</v>
      </c>
      <c r="AL4" s="41">
        <f>2464-AK4</f>
        <v>1338</v>
      </c>
      <c r="AM4" s="41">
        <f>3859-AL4-AK4</f>
        <v>1395</v>
      </c>
      <c r="AN4" s="21">
        <f t="shared" ref="AN4:AN9" si="3">+AO4-SUM(AK4:AM4)</f>
        <v>1468</v>
      </c>
      <c r="AO4" s="43">
        <v>5327</v>
      </c>
      <c r="AP4" s="41">
        <v>1481</v>
      </c>
      <c r="AQ4" s="41">
        <v>1359</v>
      </c>
      <c r="AR4" s="41">
        <v>-933</v>
      </c>
      <c r="AS4" s="21">
        <f t="shared" ref="AS4:AS9" si="4">+AT4-SUM(AP4:AR4)</f>
        <v>1473</v>
      </c>
      <c r="AT4" s="43">
        <v>3380</v>
      </c>
      <c r="AU4" s="41">
        <v>1743</v>
      </c>
      <c r="AV4" s="41">
        <v>175</v>
      </c>
      <c r="AW4" s="41">
        <v>1535</v>
      </c>
      <c r="AX4" s="21">
        <f t="shared" ref="AX4:AX9" si="5">+AY4-SUM(AU4:AW4)</f>
        <v>1560</v>
      </c>
      <c r="AY4" s="43">
        <v>5013</v>
      </c>
      <c r="AZ4" s="41">
        <v>1625</v>
      </c>
      <c r="BA4" s="41">
        <v>1725</v>
      </c>
      <c r="BB4" s="41">
        <v>2006</v>
      </c>
      <c r="BC4" s="21">
        <f t="shared" ref="BC4:BC9" si="6">+BD4-SUM(AZ4:BB4)</f>
        <v>1713</v>
      </c>
      <c r="BD4" s="43">
        <v>7069</v>
      </c>
      <c r="BE4" s="41">
        <v>2157</v>
      </c>
      <c r="BF4" s="41">
        <v>2249</v>
      </c>
      <c r="BG4" s="37">
        <f>+ProForma_IS_Qtr!BG49-ProForma_IS_Qtr!BG43-ProForma_IS_Qtr!BG48</f>
        <v>2178.2573477249998</v>
      </c>
      <c r="BH4" s="37">
        <f>+ProForma_IS_Qtr!BH49-ProForma_IS_Qtr!BH43-ProForma_IS_Qtr!BH48</f>
        <v>2174.4688242674993</v>
      </c>
      <c r="BI4" s="22">
        <f>SUM(BE4:BH4)</f>
        <v>8758.7261719924991</v>
      </c>
      <c r="BJ4" s="372"/>
    </row>
    <row r="5" spans="1:66">
      <c r="A5" s="1" t="s">
        <v>70</v>
      </c>
      <c r="B5" s="41"/>
      <c r="C5" s="41"/>
      <c r="D5" s="41"/>
      <c r="E5" s="21"/>
      <c r="F5" s="43"/>
      <c r="G5" s="41"/>
      <c r="H5" s="41"/>
      <c r="I5" s="41"/>
      <c r="J5" s="21"/>
      <c r="K5" s="43"/>
      <c r="L5" s="41"/>
      <c r="M5" s="41"/>
      <c r="N5" s="41"/>
      <c r="O5" s="21"/>
      <c r="P5" s="43"/>
      <c r="Q5" s="41"/>
      <c r="R5" s="41"/>
      <c r="S5" s="41"/>
      <c r="T5" s="21"/>
      <c r="U5" s="43" t="s">
        <v>310</v>
      </c>
      <c r="V5" s="41">
        <v>942</v>
      </c>
      <c r="W5" s="41">
        <f>1330-V5</f>
        <v>388</v>
      </c>
      <c r="X5" s="41">
        <f>2022-W5-V5</f>
        <v>692</v>
      </c>
      <c r="Y5" s="21">
        <f t="shared" si="0"/>
        <v>686</v>
      </c>
      <c r="Z5" s="43">
        <v>2708</v>
      </c>
      <c r="AA5" s="41">
        <v>980</v>
      </c>
      <c r="AB5" s="41">
        <f>1839-AA5</f>
        <v>859</v>
      </c>
      <c r="AC5" s="41">
        <f>3003-AB5-AA5</f>
        <v>1164</v>
      </c>
      <c r="AD5" s="21">
        <f t="shared" si="1"/>
        <v>1153</v>
      </c>
      <c r="AE5" s="43">
        <v>4156</v>
      </c>
      <c r="AF5" s="41">
        <v>1123</v>
      </c>
      <c r="AG5" s="41">
        <f>2255-AF5</f>
        <v>1132</v>
      </c>
      <c r="AH5" s="41">
        <f>3413-AG5-AF5</f>
        <v>1158</v>
      </c>
      <c r="AI5" s="21">
        <f t="shared" si="2"/>
        <v>1144</v>
      </c>
      <c r="AJ5" s="43">
        <v>4557</v>
      </c>
      <c r="AK5" s="41">
        <v>1014</v>
      </c>
      <c r="AL5" s="41">
        <f>2013-AK5</f>
        <v>999</v>
      </c>
      <c r="AM5" s="41">
        <f>3060-AL5-AK5</f>
        <v>1047</v>
      </c>
      <c r="AN5" s="21">
        <f t="shared" si="3"/>
        <v>1048</v>
      </c>
      <c r="AO5" s="43">
        <v>4108</v>
      </c>
      <c r="AP5" s="41">
        <v>1034</v>
      </c>
      <c r="AQ5" s="41">
        <v>1044</v>
      </c>
      <c r="AR5" s="41">
        <v>1074</v>
      </c>
      <c r="AS5" s="21">
        <f t="shared" si="4"/>
        <v>1059</v>
      </c>
      <c r="AT5" s="43">
        <v>4211</v>
      </c>
      <c r="AU5" s="41">
        <v>1059</v>
      </c>
      <c r="AV5" s="41">
        <v>1072</v>
      </c>
      <c r="AW5" s="41">
        <v>1094</v>
      </c>
      <c r="AX5" s="21">
        <f t="shared" si="5"/>
        <v>1139</v>
      </c>
      <c r="AY5" s="43">
        <v>4364</v>
      </c>
      <c r="AZ5" s="41">
        <v>1052</v>
      </c>
      <c r="BA5" s="41">
        <v>1076</v>
      </c>
      <c r="BB5" s="41">
        <v>1091</v>
      </c>
      <c r="BC5" s="21">
        <f t="shared" si="6"/>
        <v>1159</v>
      </c>
      <c r="BD5" s="43">
        <v>4378</v>
      </c>
      <c r="BE5" s="41">
        <v>1071</v>
      </c>
      <c r="BF5" s="41">
        <v>1079</v>
      </c>
      <c r="BG5" s="42">
        <f t="shared" ref="BG5" si="7">BG64+BG66</f>
        <v>1055.5862500000001</v>
      </c>
      <c r="BH5" s="42">
        <f t="shared" ref="BH5" si="8">BH64+BH66</f>
        <v>1008.8577499999999</v>
      </c>
      <c r="BI5" s="22">
        <f>SUM(BE5:BH5)</f>
        <v>4214.4440000000004</v>
      </c>
    </row>
    <row r="6" spans="1:66">
      <c r="A6" s="1" t="s">
        <v>72</v>
      </c>
      <c r="B6" s="41"/>
      <c r="C6" s="41"/>
      <c r="D6" s="41"/>
      <c r="E6" s="21"/>
      <c r="F6" s="43"/>
      <c r="G6" s="41"/>
      <c r="H6" s="41"/>
      <c r="I6" s="41"/>
      <c r="J6" s="21"/>
      <c r="K6" s="43"/>
      <c r="L6" s="41"/>
      <c r="M6" s="41"/>
      <c r="N6" s="41"/>
      <c r="O6" s="21"/>
      <c r="P6" s="43"/>
      <c r="Q6" s="41"/>
      <c r="R6" s="41"/>
      <c r="S6" s="41"/>
      <c r="T6" s="21"/>
      <c r="U6" s="43"/>
      <c r="V6" s="41">
        <v>21</v>
      </c>
      <c r="W6" s="41">
        <f>10-V6</f>
        <v>-11</v>
      </c>
      <c r="X6" s="41">
        <f>19-W6-V6</f>
        <v>9</v>
      </c>
      <c r="Y6" s="21">
        <f t="shared" si="0"/>
        <v>19</v>
      </c>
      <c r="Z6" s="43">
        <v>38</v>
      </c>
      <c r="AA6" s="41">
        <v>485</v>
      </c>
      <c r="AB6" s="41">
        <f>118-AA6</f>
        <v>-367</v>
      </c>
      <c r="AC6" s="41">
        <f>-34-AB6-AA6</f>
        <v>-152</v>
      </c>
      <c r="AD6" s="21">
        <f t="shared" si="1"/>
        <v>-65</v>
      </c>
      <c r="AE6" s="43">
        <v>-99</v>
      </c>
      <c r="AF6" s="41">
        <v>153</v>
      </c>
      <c r="AG6" s="41">
        <f>175-AF6</f>
        <v>22</v>
      </c>
      <c r="AH6" s="41">
        <f>-142-AG6-AF6</f>
        <v>-317</v>
      </c>
      <c r="AI6" s="21">
        <f t="shared" si="2"/>
        <v>54</v>
      </c>
      <c r="AJ6" s="43">
        <v>-88</v>
      </c>
      <c r="AK6" s="41">
        <v>-601</v>
      </c>
      <c r="AL6" s="41">
        <f>-1147-AK6</f>
        <v>-546</v>
      </c>
      <c r="AM6" s="41">
        <f>-1681-AL6-AK6</f>
        <v>-534</v>
      </c>
      <c r="AN6" s="21">
        <f t="shared" si="3"/>
        <v>18</v>
      </c>
      <c r="AO6" s="43">
        <v>-1663</v>
      </c>
      <c r="AP6" s="41">
        <v>-329</v>
      </c>
      <c r="AQ6" s="41">
        <v>-371</v>
      </c>
      <c r="AR6" s="41">
        <v>-28</v>
      </c>
      <c r="AS6" s="21">
        <f t="shared" si="4"/>
        <v>326</v>
      </c>
      <c r="AT6" s="43">
        <v>-402</v>
      </c>
      <c r="AU6" s="41">
        <v>-114</v>
      </c>
      <c r="AV6" s="41">
        <v>299</v>
      </c>
      <c r="AW6" s="41">
        <v>-304</v>
      </c>
      <c r="AX6" s="21">
        <f t="shared" si="5"/>
        <v>72</v>
      </c>
      <c r="AY6" s="43">
        <v>-47</v>
      </c>
      <c r="AZ6" s="41">
        <v>67</v>
      </c>
      <c r="BA6" s="41">
        <v>54</v>
      </c>
      <c r="BB6" s="41">
        <v>477</v>
      </c>
      <c r="BC6" s="21">
        <f t="shared" si="6"/>
        <v>191</v>
      </c>
      <c r="BD6" s="43">
        <v>789</v>
      </c>
      <c r="BE6" s="41">
        <v>26</v>
      </c>
      <c r="BF6" s="41">
        <v>-56</v>
      </c>
      <c r="BG6" s="41">
        <f t="shared" ref="BG6:BG9" si="9">$BI6/4</f>
        <v>50</v>
      </c>
      <c r="BH6" s="21">
        <f>BI6-SUM(BE6:BG6)</f>
        <v>180</v>
      </c>
      <c r="BI6" s="43">
        <v>200</v>
      </c>
    </row>
    <row r="7" spans="1:66">
      <c r="A7" s="1" t="s">
        <v>71</v>
      </c>
      <c r="B7" s="41"/>
      <c r="C7" s="41"/>
      <c r="D7" s="41"/>
      <c r="E7" s="21"/>
      <c r="F7" s="43"/>
      <c r="G7" s="41"/>
      <c r="H7" s="41"/>
      <c r="I7" s="41"/>
      <c r="J7" s="21"/>
      <c r="K7" s="43"/>
      <c r="L7" s="41"/>
      <c r="M7" s="41"/>
      <c r="N7" s="41"/>
      <c r="O7" s="21"/>
      <c r="P7" s="43"/>
      <c r="Q7" s="41"/>
      <c r="R7" s="41"/>
      <c r="S7" s="41"/>
      <c r="T7" s="21"/>
      <c r="U7" s="43"/>
      <c r="V7" s="41">
        <v>64</v>
      </c>
      <c r="W7" s="41">
        <f>118-V7</f>
        <v>54</v>
      </c>
      <c r="X7" s="41">
        <f>192-W7-V7</f>
        <v>74</v>
      </c>
      <c r="Y7" s="21">
        <f t="shared" si="0"/>
        <v>76</v>
      </c>
      <c r="Z7" s="43">
        <v>268</v>
      </c>
      <c r="AA7" s="41">
        <v>87</v>
      </c>
      <c r="AB7" s="41">
        <f>135-AA7</f>
        <v>48</v>
      </c>
      <c r="AC7" s="41">
        <f>253-AB7-AA7</f>
        <v>118</v>
      </c>
      <c r="AD7" s="21">
        <f t="shared" si="1"/>
        <v>77</v>
      </c>
      <c r="AE7" s="43">
        <v>330</v>
      </c>
      <c r="AF7" s="41">
        <v>84</v>
      </c>
      <c r="AG7" s="41">
        <f>227-AF7</f>
        <v>143</v>
      </c>
      <c r="AH7" s="41">
        <f>343-AG7-AF7</f>
        <v>116</v>
      </c>
      <c r="AI7" s="21">
        <f t="shared" si="2"/>
        <v>99</v>
      </c>
      <c r="AJ7" s="43">
        <v>442</v>
      </c>
      <c r="AK7" s="41">
        <v>103</v>
      </c>
      <c r="AL7" s="41">
        <f>212-AK7</f>
        <v>109</v>
      </c>
      <c r="AM7" s="41">
        <f>318-AL7-AK7</f>
        <v>106</v>
      </c>
      <c r="AN7" s="21">
        <f t="shared" si="3"/>
        <v>102</v>
      </c>
      <c r="AO7" s="43">
        <v>420</v>
      </c>
      <c r="AP7" s="41">
        <v>100</v>
      </c>
      <c r="AQ7" s="41">
        <v>112</v>
      </c>
      <c r="AR7" s="41">
        <v>107</v>
      </c>
      <c r="AS7" s="21">
        <f t="shared" si="4"/>
        <v>106</v>
      </c>
      <c r="AT7" s="43">
        <v>425</v>
      </c>
      <c r="AU7" s="41">
        <v>112</v>
      </c>
      <c r="AV7" s="41">
        <v>111</v>
      </c>
      <c r="AW7" s="41">
        <v>105</v>
      </c>
      <c r="AX7" s="21">
        <f t="shared" si="5"/>
        <v>109</v>
      </c>
      <c r="AY7" s="43">
        <v>437</v>
      </c>
      <c r="AZ7" s="41">
        <v>111</v>
      </c>
      <c r="BA7" s="41">
        <v>113</v>
      </c>
      <c r="BB7" s="41">
        <v>113</v>
      </c>
      <c r="BC7" s="21">
        <f t="shared" si="6"/>
        <v>182</v>
      </c>
      <c r="BD7" s="43">
        <v>519</v>
      </c>
      <c r="BE7" s="41">
        <v>132</v>
      </c>
      <c r="BF7" s="41">
        <v>164</v>
      </c>
      <c r="BG7" s="41">
        <f t="shared" si="9"/>
        <v>150</v>
      </c>
      <c r="BH7" s="21">
        <f>BI7-SUM(BE7:BG7)</f>
        <v>154</v>
      </c>
      <c r="BI7" s="43">
        <v>600</v>
      </c>
    </row>
    <row r="8" spans="1:66">
      <c r="A8" s="1" t="s">
        <v>269</v>
      </c>
      <c r="B8" s="41"/>
      <c r="C8" s="41"/>
      <c r="D8" s="41"/>
      <c r="E8" s="21"/>
      <c r="F8" s="43"/>
      <c r="G8" s="41"/>
      <c r="H8" s="41"/>
      <c r="I8" s="41"/>
      <c r="J8" s="21"/>
      <c r="K8" s="43"/>
      <c r="L8" s="41"/>
      <c r="M8" s="41"/>
      <c r="N8" s="41"/>
      <c r="O8" s="21"/>
      <c r="P8" s="43"/>
      <c r="Q8" s="41"/>
      <c r="R8" s="41"/>
      <c r="S8" s="41"/>
      <c r="T8" s="21"/>
      <c r="U8" s="43"/>
      <c r="V8" s="41">
        <v>-120</v>
      </c>
      <c r="W8" s="41">
        <f>-244-V8</f>
        <v>-124</v>
      </c>
      <c r="X8" s="41">
        <f>-471-W8-V8</f>
        <v>-227</v>
      </c>
      <c r="Y8" s="21">
        <f t="shared" si="0"/>
        <v>-95</v>
      </c>
      <c r="Z8" s="43">
        <v>-566</v>
      </c>
      <c r="AA8" s="41">
        <v>-136</v>
      </c>
      <c r="AB8" s="41">
        <f>-223-AA8</f>
        <v>-87</v>
      </c>
      <c r="AC8" s="41">
        <f>-325-AB8-AA8</f>
        <v>-102</v>
      </c>
      <c r="AD8" s="21">
        <f t="shared" si="1"/>
        <v>-88</v>
      </c>
      <c r="AE8" s="43">
        <v>-413</v>
      </c>
      <c r="AF8" s="41">
        <v>-358</v>
      </c>
      <c r="AG8" s="41">
        <f>-715-AF8</f>
        <v>-357</v>
      </c>
      <c r="AH8" s="41">
        <f>-1073-AG8-AF8</f>
        <v>-358</v>
      </c>
      <c r="AI8" s="21">
        <f t="shared" si="2"/>
        <v>-341</v>
      </c>
      <c r="AJ8" s="43">
        <v>-1414</v>
      </c>
      <c r="AK8" s="41">
        <v>-360</v>
      </c>
      <c r="AL8" s="41">
        <f>-714-AK8</f>
        <v>-354</v>
      </c>
      <c r="AM8" s="41">
        <f>-1062-AL8-AK8</f>
        <v>-348</v>
      </c>
      <c r="AN8" s="21">
        <f t="shared" si="3"/>
        <v>-351</v>
      </c>
      <c r="AO8" s="43">
        <v>-1413</v>
      </c>
      <c r="AP8" s="41">
        <v>-388</v>
      </c>
      <c r="AQ8" s="41">
        <v>-390</v>
      </c>
      <c r="AR8" s="41">
        <v>-386</v>
      </c>
      <c r="AS8" s="21">
        <f t="shared" si="4"/>
        <v>-391</v>
      </c>
      <c r="AT8" s="43">
        <v>-1555</v>
      </c>
      <c r="AU8" s="41">
        <v>-338</v>
      </c>
      <c r="AV8" s="41">
        <v>-328</v>
      </c>
      <c r="AW8" s="41">
        <v>-326</v>
      </c>
      <c r="AX8" s="21">
        <f t="shared" si="5"/>
        <v>-334</v>
      </c>
      <c r="AY8" s="43">
        <v>-1326</v>
      </c>
      <c r="AZ8" s="41">
        <v>-324</v>
      </c>
      <c r="BA8" s="41">
        <v>-312</v>
      </c>
      <c r="BB8" s="41">
        <v>-320</v>
      </c>
      <c r="BC8" s="21">
        <f t="shared" si="6"/>
        <v>-55</v>
      </c>
      <c r="BD8" s="43">
        <v>-1011</v>
      </c>
      <c r="BE8" s="41">
        <v>-313</v>
      </c>
      <c r="BF8" s="41">
        <v>-303</v>
      </c>
      <c r="BG8" s="41">
        <f>(BI8-SUM(BE8:BF8))/2</f>
        <v>-217</v>
      </c>
      <c r="BH8" s="41">
        <f>BI8-SUM(BE8:BG8)</f>
        <v>-217</v>
      </c>
      <c r="BI8" s="43">
        <v>-1050</v>
      </c>
    </row>
    <row r="9" spans="1:66">
      <c r="A9" s="1" t="s">
        <v>270</v>
      </c>
      <c r="B9" s="41"/>
      <c r="C9" s="41"/>
      <c r="D9" s="41"/>
      <c r="E9" s="21"/>
      <c r="F9" s="43"/>
      <c r="G9" s="41"/>
      <c r="H9" s="41"/>
      <c r="I9" s="41"/>
      <c r="J9" s="21"/>
      <c r="K9" s="43"/>
      <c r="L9" s="41"/>
      <c r="M9" s="41"/>
      <c r="N9" s="41"/>
      <c r="O9" s="21"/>
      <c r="P9" s="43"/>
      <c r="Q9" s="41"/>
      <c r="R9" s="41"/>
      <c r="S9" s="41"/>
      <c r="T9" s="21"/>
      <c r="U9" s="43"/>
      <c r="V9" s="41">
        <v>0</v>
      </c>
      <c r="W9" s="41">
        <v>0</v>
      </c>
      <c r="X9" s="41">
        <v>0</v>
      </c>
      <c r="Y9" s="21">
        <f t="shared" si="0"/>
        <v>0</v>
      </c>
      <c r="Z9" s="43">
        <v>0</v>
      </c>
      <c r="AA9" s="41">
        <v>0</v>
      </c>
      <c r="AB9" s="41">
        <f>3183-AA9</f>
        <v>3183</v>
      </c>
      <c r="AC9" s="41">
        <f>3183-AB9-AA9</f>
        <v>0</v>
      </c>
      <c r="AD9" s="21">
        <f t="shared" si="1"/>
        <v>0</v>
      </c>
      <c r="AE9" s="43">
        <v>3183</v>
      </c>
      <c r="AF9" s="41">
        <v>0</v>
      </c>
      <c r="AG9" s="41">
        <f>0-AF9</f>
        <v>0</v>
      </c>
      <c r="AH9" s="41">
        <f>0-AG9-AF9</f>
        <v>0</v>
      </c>
      <c r="AI9" s="21">
        <f t="shared" si="2"/>
        <v>0</v>
      </c>
      <c r="AJ9" s="43">
        <v>0</v>
      </c>
      <c r="AK9" s="41">
        <v>0</v>
      </c>
      <c r="AL9" s="41">
        <f>0-AK9</f>
        <v>0</v>
      </c>
      <c r="AM9" s="41">
        <f>0-AL9-AK9</f>
        <v>0</v>
      </c>
      <c r="AN9" s="21">
        <f t="shared" si="3"/>
        <v>0</v>
      </c>
      <c r="AO9" s="43">
        <v>0</v>
      </c>
      <c r="AP9" s="41">
        <v>0</v>
      </c>
      <c r="AQ9" s="41">
        <f>0-AP9</f>
        <v>0</v>
      </c>
      <c r="AR9" s="41">
        <v>0</v>
      </c>
      <c r="AS9" s="21">
        <f t="shared" si="4"/>
        <v>0</v>
      </c>
      <c r="AT9" s="43">
        <v>0</v>
      </c>
      <c r="AU9" s="41">
        <v>0</v>
      </c>
      <c r="AV9" s="41">
        <v>0</v>
      </c>
      <c r="AW9" s="41">
        <v>0</v>
      </c>
      <c r="AX9" s="21">
        <f t="shared" si="5"/>
        <v>0</v>
      </c>
      <c r="AY9" s="43">
        <v>0</v>
      </c>
      <c r="AZ9" s="41">
        <v>0</v>
      </c>
      <c r="BA9" s="41">
        <v>0</v>
      </c>
      <c r="BB9" s="41">
        <v>0</v>
      </c>
      <c r="BC9" s="21">
        <f t="shared" si="6"/>
        <v>0</v>
      </c>
      <c r="BD9" s="43">
        <v>0</v>
      </c>
      <c r="BE9" s="41">
        <v>0</v>
      </c>
      <c r="BF9" s="41">
        <v>0</v>
      </c>
      <c r="BG9" s="41">
        <f t="shared" si="9"/>
        <v>0</v>
      </c>
      <c r="BH9" s="21">
        <f>BI9-SUM(BE9:BG9)</f>
        <v>0</v>
      </c>
      <c r="BI9" s="43">
        <v>0</v>
      </c>
    </row>
    <row r="10" spans="1:66">
      <c r="A10" s="1" t="s">
        <v>73</v>
      </c>
      <c r="B10" s="41"/>
      <c r="C10" s="41"/>
      <c r="D10" s="41"/>
      <c r="E10" s="21"/>
      <c r="F10" s="43"/>
      <c r="G10" s="41"/>
      <c r="H10" s="41"/>
      <c r="I10" s="41"/>
      <c r="J10" s="21"/>
      <c r="K10" s="43"/>
      <c r="L10" s="41"/>
      <c r="M10" s="41"/>
      <c r="N10" s="41"/>
      <c r="O10" s="21"/>
      <c r="P10" s="43"/>
      <c r="Q10" s="41"/>
      <c r="R10" s="41"/>
      <c r="S10" s="41"/>
      <c r="T10" s="21"/>
      <c r="U10" s="43"/>
      <c r="V10" s="41"/>
      <c r="W10" s="41"/>
      <c r="X10" s="41"/>
      <c r="Y10" s="21"/>
      <c r="Z10" s="43"/>
      <c r="AA10" s="41"/>
      <c r="AB10" s="41"/>
      <c r="AC10" s="41"/>
      <c r="AD10" s="21"/>
      <c r="AE10" s="43"/>
      <c r="AF10" s="41"/>
      <c r="AG10" s="41"/>
      <c r="AH10" s="41"/>
      <c r="AI10" s="21"/>
      <c r="AJ10" s="43"/>
      <c r="AK10" s="41"/>
      <c r="AL10" s="41"/>
      <c r="AM10" s="41"/>
      <c r="AN10" s="21"/>
      <c r="AO10" s="43"/>
      <c r="AP10" s="41"/>
      <c r="AQ10" s="41"/>
      <c r="AR10" s="41"/>
      <c r="AS10" s="21"/>
      <c r="AT10" s="43"/>
      <c r="AU10" s="41"/>
      <c r="AV10" s="41"/>
      <c r="AW10" s="41"/>
      <c r="AX10" s="21"/>
      <c r="AY10" s="43"/>
      <c r="AZ10" s="41"/>
      <c r="BA10" s="41"/>
      <c r="BB10" s="41"/>
      <c r="BC10" s="21"/>
      <c r="BD10" s="43"/>
      <c r="BE10" s="41"/>
      <c r="BF10" s="41"/>
      <c r="BG10" s="41"/>
      <c r="BH10" s="21"/>
      <c r="BI10" s="43"/>
    </row>
    <row r="11" spans="1:66">
      <c r="A11" s="3" t="s">
        <v>74</v>
      </c>
      <c r="B11" s="41"/>
      <c r="C11" s="41"/>
      <c r="D11" s="41"/>
      <c r="E11" s="21"/>
      <c r="F11" s="43"/>
      <c r="G11" s="41"/>
      <c r="H11" s="41"/>
      <c r="I11" s="41"/>
      <c r="J11" s="21"/>
      <c r="K11" s="43"/>
      <c r="L11" s="41"/>
      <c r="M11" s="41"/>
      <c r="N11" s="41"/>
      <c r="O11" s="21"/>
      <c r="P11" s="43"/>
      <c r="Q11" s="41"/>
      <c r="R11" s="41"/>
      <c r="S11" s="41"/>
      <c r="T11" s="21"/>
      <c r="U11" s="43"/>
      <c r="V11" s="41">
        <v>849</v>
      </c>
      <c r="W11" s="41">
        <f>736-V11</f>
        <v>-113</v>
      </c>
      <c r="X11" s="41">
        <f>-38-W11-V11</f>
        <v>-774</v>
      </c>
      <c r="Y11" s="21">
        <f t="shared" ref="Y11:Y20" si="10">+Z11-SUM(V11:X11)</f>
        <v>126</v>
      </c>
      <c r="Z11" s="43">
        <v>88</v>
      </c>
      <c r="AA11" s="41">
        <v>196</v>
      </c>
      <c r="AB11" s="41">
        <f>1163-AA11</f>
        <v>967</v>
      </c>
      <c r="AC11" s="41">
        <f>567-AB11-AA11</f>
        <v>-596</v>
      </c>
      <c r="AD11" s="21">
        <f t="shared" ref="AD11:AD20" si="11">+AE11-SUM(AA11:AC11)</f>
        <v>751</v>
      </c>
      <c r="AE11" s="43">
        <v>1318</v>
      </c>
      <c r="AF11" s="41">
        <v>-799</v>
      </c>
      <c r="AG11" s="41">
        <f>293-AF11</f>
        <v>1092</v>
      </c>
      <c r="AH11" s="41">
        <f>-397-AG11-AF11</f>
        <v>-690</v>
      </c>
      <c r="AI11" s="21">
        <f t="shared" ref="AI11:AI20" si="12">+AJ11-SUM(AF11:AH11)</f>
        <v>-173</v>
      </c>
      <c r="AJ11" s="43">
        <v>-570</v>
      </c>
      <c r="AK11" s="41">
        <v>556</v>
      </c>
      <c r="AL11" s="41">
        <f>-790-AK11</f>
        <v>-1346</v>
      </c>
      <c r="AM11" s="41">
        <f>321-AL11-AK11</f>
        <v>1111</v>
      </c>
      <c r="AN11" s="21">
        <f t="shared" ref="AN11:AN20" si="13">+AO11-SUM(AK11:AM11)</f>
        <v>116</v>
      </c>
      <c r="AO11" s="43">
        <v>437</v>
      </c>
      <c r="AP11" s="41">
        <v>-962</v>
      </c>
      <c r="AQ11" s="41">
        <v>263</v>
      </c>
      <c r="AR11" s="41">
        <v>-214</v>
      </c>
      <c r="AS11" s="21">
        <f t="shared" ref="AS11:AS20" si="14">+AT11-SUM(AP11:AR11)</f>
        <v>-892</v>
      </c>
      <c r="AT11" s="43">
        <v>-1805</v>
      </c>
      <c r="AU11" s="41">
        <v>431</v>
      </c>
      <c r="AV11" s="41">
        <v>156</v>
      </c>
      <c r="AW11" s="41">
        <v>349</v>
      </c>
      <c r="AX11" s="21">
        <f t="shared" ref="AX11:AX20" si="15">+AY11-SUM(AU11:AW11)</f>
        <v>-1111</v>
      </c>
      <c r="AY11" s="43">
        <v>-175</v>
      </c>
      <c r="AZ11" s="41">
        <v>-372</v>
      </c>
      <c r="BA11" s="41">
        <v>-765</v>
      </c>
      <c r="BB11" s="41">
        <v>-351</v>
      </c>
      <c r="BC11" s="21">
        <f t="shared" ref="BC11:BC20" si="16">+BD11-SUM(AZ11:BB11)</f>
        <v>-1747</v>
      </c>
      <c r="BD11" s="43">
        <v>-3235</v>
      </c>
      <c r="BE11" s="41">
        <v>1823</v>
      </c>
      <c r="BF11" s="41">
        <v>-729</v>
      </c>
      <c r="BG11" s="42">
        <f>(Balance_Sheet_Qtr!BF7-Balance_Sheet_Qtr!BG7)</f>
        <v>-1295.6996164383545</v>
      </c>
      <c r="BH11" s="42">
        <f>(Balance_Sheet_Qtr!BG7-Balance_Sheet_Qtr!BH7)</f>
        <v>-542.130575342464</v>
      </c>
      <c r="BI11" s="22">
        <f t="shared" ref="BI11:BI13" si="17">SUM(BE11:BH11)</f>
        <v>-743.8301917808185</v>
      </c>
    </row>
    <row r="12" spans="1:66">
      <c r="A12" s="3" t="s">
        <v>75</v>
      </c>
      <c r="B12" s="41"/>
      <c r="C12" s="41"/>
      <c r="D12" s="41"/>
      <c r="E12" s="21"/>
      <c r="F12" s="43"/>
      <c r="G12" s="41"/>
      <c r="H12" s="41"/>
      <c r="I12" s="41"/>
      <c r="J12" s="21"/>
      <c r="K12" s="43"/>
      <c r="L12" s="41"/>
      <c r="M12" s="41"/>
      <c r="N12" s="41"/>
      <c r="O12" s="21"/>
      <c r="P12" s="43"/>
      <c r="Q12" s="41"/>
      <c r="R12" s="41"/>
      <c r="S12" s="41"/>
      <c r="T12" s="21"/>
      <c r="U12" s="43"/>
      <c r="V12" s="41">
        <v>-215</v>
      </c>
      <c r="W12" s="41">
        <f>-573-V12</f>
        <v>-358</v>
      </c>
      <c r="X12" s="41">
        <f>-702-W12-V12</f>
        <v>-129</v>
      </c>
      <c r="Y12" s="21">
        <f t="shared" si="10"/>
        <v>23</v>
      </c>
      <c r="Z12" s="43">
        <v>-679</v>
      </c>
      <c r="AA12" s="41">
        <v>-220</v>
      </c>
      <c r="AB12" s="41">
        <f>376-AA12</f>
        <v>596</v>
      </c>
      <c r="AC12" s="41">
        <f>699-AB12-AA12</f>
        <v>323</v>
      </c>
      <c r="AD12" s="21">
        <f t="shared" si="11"/>
        <v>-636</v>
      </c>
      <c r="AE12" s="43">
        <v>63</v>
      </c>
      <c r="AF12" s="41">
        <v>-311</v>
      </c>
      <c r="AG12" s="41">
        <f>-557-AF12</f>
        <v>-246</v>
      </c>
      <c r="AH12" s="41">
        <f>-1117-AG12-AF12</f>
        <v>-560</v>
      </c>
      <c r="AI12" s="21">
        <f t="shared" si="12"/>
        <v>-477</v>
      </c>
      <c r="AJ12" s="43">
        <v>-1594</v>
      </c>
      <c r="AK12" s="41">
        <v>-219</v>
      </c>
      <c r="AL12" s="41">
        <f>-525-AK12</f>
        <v>-306</v>
      </c>
      <c r="AM12" s="41">
        <f>-999-AL12-AK12</f>
        <v>-474</v>
      </c>
      <c r="AN12" s="21">
        <f t="shared" si="13"/>
        <v>765</v>
      </c>
      <c r="AO12" s="43">
        <v>-234</v>
      </c>
      <c r="AP12" s="41">
        <v>-1198</v>
      </c>
      <c r="AQ12" s="41">
        <v>-232</v>
      </c>
      <c r="AR12" s="41">
        <v>267</v>
      </c>
      <c r="AS12" s="21">
        <f t="shared" si="14"/>
        <v>410</v>
      </c>
      <c r="AT12" s="43">
        <v>-753</v>
      </c>
      <c r="AU12" s="41">
        <v>-978</v>
      </c>
      <c r="AV12" s="41">
        <v>-479</v>
      </c>
      <c r="AW12" s="41">
        <v>-996</v>
      </c>
      <c r="AX12" s="21">
        <f t="shared" si="15"/>
        <v>39</v>
      </c>
      <c r="AY12" s="43">
        <v>-2414</v>
      </c>
      <c r="AZ12" s="41">
        <v>-706</v>
      </c>
      <c r="BA12" s="41">
        <v>-484</v>
      </c>
      <c r="BB12" s="41">
        <v>-934</v>
      </c>
      <c r="BC12" s="21">
        <f t="shared" si="16"/>
        <v>-519</v>
      </c>
      <c r="BD12" s="43">
        <v>-2643</v>
      </c>
      <c r="BE12" s="41">
        <v>-979</v>
      </c>
      <c r="BF12" s="41">
        <v>-963</v>
      </c>
      <c r="BG12" s="42">
        <f>(Balance_Sheet_Qtr!BF8-Balance_Sheet_Qtr!BG8)</f>
        <v>589.67287671233134</v>
      </c>
      <c r="BH12" s="42">
        <f>(Balance_Sheet_Qtr!BG8-Balance_Sheet_Qtr!BH8)</f>
        <v>506.51957260274139</v>
      </c>
      <c r="BI12" s="22">
        <f t="shared" si="17"/>
        <v>-845.80755068492726</v>
      </c>
    </row>
    <row r="13" spans="1:66">
      <c r="A13" s="3" t="s">
        <v>22</v>
      </c>
      <c r="B13" s="41"/>
      <c r="C13" s="41"/>
      <c r="D13" s="41"/>
      <c r="E13" s="21"/>
      <c r="F13" s="43"/>
      <c r="G13" s="41"/>
      <c r="H13" s="41"/>
      <c r="I13" s="41"/>
      <c r="J13" s="21"/>
      <c r="K13" s="43"/>
      <c r="L13" s="41"/>
      <c r="M13" s="41"/>
      <c r="N13" s="41"/>
      <c r="O13" s="21"/>
      <c r="P13" s="43"/>
      <c r="Q13" s="41"/>
      <c r="R13" s="41"/>
      <c r="S13" s="41"/>
      <c r="T13" s="21"/>
      <c r="U13" s="43"/>
      <c r="V13" s="41">
        <v>-697</v>
      </c>
      <c r="W13" s="41">
        <f>-795-V13</f>
        <v>-98</v>
      </c>
      <c r="X13" s="41">
        <f>-1256-W13-V13</f>
        <v>-461</v>
      </c>
      <c r="Y13" s="21">
        <f t="shared" si="10"/>
        <v>-11</v>
      </c>
      <c r="Z13" s="43">
        <v>-1267</v>
      </c>
      <c r="AA13" s="41">
        <v>-707</v>
      </c>
      <c r="AB13" s="41">
        <f>-550-AA13</f>
        <v>157</v>
      </c>
      <c r="AC13" s="41">
        <f>-111-AB13-AA13</f>
        <v>439</v>
      </c>
      <c r="AD13" s="21">
        <f t="shared" si="11"/>
        <v>523</v>
      </c>
      <c r="AE13" s="43">
        <v>412</v>
      </c>
      <c r="AF13" s="41">
        <v>-113</v>
      </c>
      <c r="AG13" s="41">
        <f>-133-AF13</f>
        <v>-20</v>
      </c>
      <c r="AH13" s="41">
        <f>-57-AG13-AF13</f>
        <v>76</v>
      </c>
      <c r="AI13" s="21">
        <f t="shared" si="12"/>
        <v>220</v>
      </c>
      <c r="AJ13" s="43">
        <v>163</v>
      </c>
      <c r="AK13" s="41">
        <v>-587</v>
      </c>
      <c r="AL13" s="41">
        <f>-1033-AK13</f>
        <v>-446</v>
      </c>
      <c r="AM13" s="41">
        <f>-1434-AL13-AK13</f>
        <v>-401</v>
      </c>
      <c r="AN13" s="21">
        <f t="shared" si="13"/>
        <v>-141</v>
      </c>
      <c r="AO13" s="43">
        <v>-1575</v>
      </c>
      <c r="AP13" s="41">
        <v>-720</v>
      </c>
      <c r="AQ13" s="41">
        <v>-602</v>
      </c>
      <c r="AR13" s="41">
        <v>-108</v>
      </c>
      <c r="AS13" s="21">
        <f t="shared" si="14"/>
        <v>326</v>
      </c>
      <c r="AT13" s="43">
        <v>-1104</v>
      </c>
      <c r="AU13" s="41">
        <v>-646</v>
      </c>
      <c r="AV13" s="41">
        <v>-715</v>
      </c>
      <c r="AW13" s="41">
        <v>-344</v>
      </c>
      <c r="AX13" s="21">
        <f t="shared" si="15"/>
        <v>231</v>
      </c>
      <c r="AY13" s="43">
        <v>-1474</v>
      </c>
      <c r="AZ13" s="41">
        <v>-813</v>
      </c>
      <c r="BA13" s="41">
        <v>-384</v>
      </c>
      <c r="BB13" s="41">
        <v>182</v>
      </c>
      <c r="BC13" s="21">
        <f t="shared" si="16"/>
        <v>483</v>
      </c>
      <c r="BD13" s="43">
        <v>-532</v>
      </c>
      <c r="BE13" s="41">
        <v>-813</v>
      </c>
      <c r="BF13" s="41">
        <v>-330</v>
      </c>
      <c r="BG13" s="42">
        <f>(Balance_Sheet_Qtr!BF9-Balance_Sheet_Qtr!BG9)</f>
        <v>-93.086531506849497</v>
      </c>
      <c r="BH13" s="42">
        <f>(Balance_Sheet_Qtr!BG9-Balance_Sheet_Qtr!BH9)</f>
        <v>-25.877131726027073</v>
      </c>
      <c r="BI13" s="22">
        <f t="shared" si="17"/>
        <v>-1261.9636632328766</v>
      </c>
      <c r="BL13" s="112"/>
    </row>
    <row r="14" spans="1:66">
      <c r="A14" s="3" t="s">
        <v>90</v>
      </c>
      <c r="B14" s="41"/>
      <c r="C14" s="41"/>
      <c r="D14" s="41"/>
      <c r="E14" s="21"/>
      <c r="F14" s="43"/>
      <c r="G14" s="41"/>
      <c r="H14" s="41"/>
      <c r="I14" s="41"/>
      <c r="J14" s="21"/>
      <c r="K14" s="43"/>
      <c r="L14" s="41"/>
      <c r="M14" s="41"/>
      <c r="N14" s="41"/>
      <c r="O14" s="21"/>
      <c r="P14" s="43"/>
      <c r="Q14" s="41"/>
      <c r="R14" s="41"/>
      <c r="S14" s="41"/>
      <c r="T14" s="21"/>
      <c r="U14" s="43"/>
      <c r="V14" s="41">
        <v>-165</v>
      </c>
      <c r="W14" s="41">
        <f>-322-V14</f>
        <v>-157</v>
      </c>
      <c r="X14" s="41">
        <f>-640-W14-V14</f>
        <v>-318</v>
      </c>
      <c r="Y14" s="21">
        <f t="shared" si="10"/>
        <v>-344</v>
      </c>
      <c r="Z14" s="43">
        <v>-984</v>
      </c>
      <c r="AA14" s="41">
        <v>-191</v>
      </c>
      <c r="AB14" s="41">
        <f>-180-AA14</f>
        <v>11</v>
      </c>
      <c r="AC14" s="41">
        <f>-381-AB14-AA14</f>
        <v>-201</v>
      </c>
      <c r="AD14" s="21">
        <f t="shared" si="11"/>
        <v>-64</v>
      </c>
      <c r="AE14" s="43">
        <v>-445</v>
      </c>
      <c r="AF14" s="41">
        <v>-193</v>
      </c>
      <c r="AG14" s="41">
        <f>-258-AF14</f>
        <v>-65</v>
      </c>
      <c r="AH14" s="41">
        <f>-275-AG14-AF14</f>
        <v>-17</v>
      </c>
      <c r="AI14" s="21">
        <f t="shared" si="12"/>
        <v>-291</v>
      </c>
      <c r="AJ14" s="43">
        <v>-566</v>
      </c>
      <c r="AK14" s="41">
        <v>-281</v>
      </c>
      <c r="AL14" s="41">
        <f>-353-AK14</f>
        <v>-72</v>
      </c>
      <c r="AM14" s="41">
        <f>-584-AL14-AK14</f>
        <v>-231</v>
      </c>
      <c r="AN14" s="21">
        <f t="shared" si="13"/>
        <v>-443</v>
      </c>
      <c r="AO14" s="43">
        <v>-1027</v>
      </c>
      <c r="AP14" s="41">
        <v>-526</v>
      </c>
      <c r="AQ14" s="41">
        <v>-108</v>
      </c>
      <c r="AR14" s="41">
        <v>-244</v>
      </c>
      <c r="AS14" s="21">
        <f t="shared" si="14"/>
        <v>-283</v>
      </c>
      <c r="AT14" s="43">
        <v>-1161</v>
      </c>
      <c r="AU14" s="41">
        <v>-225</v>
      </c>
      <c r="AV14" s="41">
        <v>442</v>
      </c>
      <c r="AW14" s="41">
        <v>-459</v>
      </c>
      <c r="AX14" s="21">
        <f t="shared" si="15"/>
        <v>-160</v>
      </c>
      <c r="AY14" s="43">
        <v>-402</v>
      </c>
      <c r="AZ14" s="41">
        <v>-125</v>
      </c>
      <c r="BA14" s="41">
        <v>25</v>
      </c>
      <c r="BB14" s="41">
        <v>-879</v>
      </c>
      <c r="BC14" s="21">
        <f t="shared" si="16"/>
        <v>-76</v>
      </c>
      <c r="BD14" s="43">
        <v>-1055</v>
      </c>
      <c r="BE14" s="41">
        <v>-469</v>
      </c>
      <c r="BF14" s="41">
        <v>47</v>
      </c>
      <c r="BG14" s="42">
        <f>(Balance_Sheet_Qtr!BF11-Balance_Sheet_Qtr!BG11)</f>
        <v>-19.391152000000147</v>
      </c>
      <c r="BH14" s="42">
        <f>(Balance_Sheet_Qtr!BG11-Balance_Sheet_Qtr!BH11)</f>
        <v>-8.6924231999983022</v>
      </c>
      <c r="BI14" s="22">
        <f>SUM(BE14:BH14)</f>
        <v>-450.08357519999845</v>
      </c>
    </row>
    <row r="15" spans="1:66">
      <c r="A15" s="3" t="s">
        <v>271</v>
      </c>
      <c r="B15" s="41"/>
      <c r="C15" s="41"/>
      <c r="D15" s="41"/>
      <c r="E15" s="21"/>
      <c r="F15" s="43"/>
      <c r="G15" s="41"/>
      <c r="H15" s="41"/>
      <c r="I15" s="41"/>
      <c r="J15" s="21"/>
      <c r="K15" s="43"/>
      <c r="L15" s="41"/>
      <c r="M15" s="41"/>
      <c r="N15" s="41"/>
      <c r="O15" s="21"/>
      <c r="P15" s="43"/>
      <c r="Q15" s="41"/>
      <c r="R15" s="41"/>
      <c r="S15" s="41"/>
      <c r="T15" s="21"/>
      <c r="U15" s="43"/>
      <c r="V15" s="41">
        <v>-588</v>
      </c>
      <c r="W15" s="41">
        <f>-218-V15</f>
        <v>370</v>
      </c>
      <c r="X15" s="41">
        <f>1170-W15-V15</f>
        <v>1388</v>
      </c>
      <c r="Y15" s="21">
        <f t="shared" si="10"/>
        <v>-59</v>
      </c>
      <c r="Z15" s="43">
        <v>1111</v>
      </c>
      <c r="AA15" s="41">
        <v>-318</v>
      </c>
      <c r="AB15" s="41">
        <f>-1395-AA15</f>
        <v>-1077</v>
      </c>
      <c r="AC15" s="41">
        <f>-866-AB15-AA15</f>
        <v>529</v>
      </c>
      <c r="AD15" s="21">
        <f t="shared" si="11"/>
        <v>-800</v>
      </c>
      <c r="AE15" s="43">
        <v>-1666</v>
      </c>
      <c r="AF15" s="41">
        <v>538</v>
      </c>
      <c r="AG15" s="41">
        <f>-733-AF15</f>
        <v>-1271</v>
      </c>
      <c r="AH15" s="41">
        <f>425-AG15-AF15</f>
        <v>1158</v>
      </c>
      <c r="AI15" s="21">
        <f t="shared" si="12"/>
        <v>492</v>
      </c>
      <c r="AJ15" s="43">
        <v>917</v>
      </c>
      <c r="AK15" s="41">
        <v>-316</v>
      </c>
      <c r="AL15" s="41">
        <f>2109-AK15</f>
        <v>2425</v>
      </c>
      <c r="AM15" s="41">
        <f>1298-AL15-AK15</f>
        <v>-811</v>
      </c>
      <c r="AN15" s="21">
        <f t="shared" si="13"/>
        <v>777</v>
      </c>
      <c r="AO15" s="43">
        <v>2075</v>
      </c>
      <c r="AP15" s="41">
        <v>490</v>
      </c>
      <c r="AQ15" s="41">
        <v>-639</v>
      </c>
      <c r="AR15" s="41">
        <v>3571</v>
      </c>
      <c r="AS15" s="21">
        <f t="shared" si="14"/>
        <v>594</v>
      </c>
      <c r="AT15" s="43">
        <v>4016</v>
      </c>
      <c r="AU15" s="41">
        <v>-218</v>
      </c>
      <c r="AV15" s="41">
        <v>1463</v>
      </c>
      <c r="AW15" s="41">
        <v>1082</v>
      </c>
      <c r="AX15" s="21">
        <f t="shared" si="15"/>
        <v>-819</v>
      </c>
      <c r="AY15" s="43">
        <v>1508</v>
      </c>
      <c r="AZ15" s="41">
        <v>397</v>
      </c>
      <c r="BA15" s="41">
        <v>-538</v>
      </c>
      <c r="BB15" s="41">
        <v>2237</v>
      </c>
      <c r="BC15" s="21">
        <f t="shared" si="16"/>
        <v>1322</v>
      </c>
      <c r="BD15" s="43">
        <v>3418</v>
      </c>
      <c r="BE15" s="41">
        <v>-1155</v>
      </c>
      <c r="BF15" s="41">
        <v>2102</v>
      </c>
      <c r="BG15" s="42">
        <f>(Balance_Sheet_Qtr!BG29-Balance_Sheet_Qtr!BF29)+(Balance_Sheet_Qtr!BG30-Balance_Sheet_Qtr!BF30)</f>
        <v>-180.93977424657351</v>
      </c>
      <c r="BH15" s="42">
        <f>(Balance_Sheet_Qtr!BH29-Balance_Sheet_Qtr!BG29)+(Balance_Sheet_Qtr!BH30-Balance_Sheet_Qtr!BG30)</f>
        <v>510.31906421917301</v>
      </c>
      <c r="BI15" s="22">
        <f t="shared" ref="BI15:BI17" si="18">SUM(BE15:BH15)</f>
        <v>1276.3792899725995</v>
      </c>
      <c r="BJ15" s="324" t="s">
        <v>513</v>
      </c>
      <c r="BM15" s="112">
        <f>BD15-1000</f>
        <v>2418</v>
      </c>
      <c r="BN15" s="112">
        <f>BM15-700</f>
        <v>1718</v>
      </c>
    </row>
    <row r="16" spans="1:66">
      <c r="A16" s="3" t="s">
        <v>77</v>
      </c>
      <c r="B16" s="41"/>
      <c r="C16" s="41"/>
      <c r="D16" s="41"/>
      <c r="E16" s="21"/>
      <c r="F16" s="43"/>
      <c r="G16" s="41"/>
      <c r="H16" s="41"/>
      <c r="I16" s="41"/>
      <c r="J16" s="21"/>
      <c r="K16" s="43"/>
      <c r="L16" s="41"/>
      <c r="M16" s="41"/>
      <c r="N16" s="41"/>
      <c r="O16" s="21"/>
      <c r="P16" s="43"/>
      <c r="Q16" s="41"/>
      <c r="R16" s="41"/>
      <c r="S16" s="41"/>
      <c r="T16" s="21"/>
      <c r="U16" s="43"/>
      <c r="V16" s="41">
        <v>371</v>
      </c>
      <c r="W16" s="41">
        <f>633-V16</f>
        <v>262</v>
      </c>
      <c r="X16" s="41">
        <f>853-W16-V16</f>
        <v>220</v>
      </c>
      <c r="Y16" s="21">
        <f t="shared" si="10"/>
        <v>381</v>
      </c>
      <c r="Z16" s="43">
        <v>1234</v>
      </c>
      <c r="AA16" s="41">
        <v>353</v>
      </c>
      <c r="AB16" s="41">
        <f>201-AA16</f>
        <v>-152</v>
      </c>
      <c r="AC16" s="41">
        <f>354-AB16-AA16</f>
        <v>153</v>
      </c>
      <c r="AD16" s="21">
        <f t="shared" si="11"/>
        <v>775</v>
      </c>
      <c r="AE16" s="43">
        <v>1129</v>
      </c>
      <c r="AF16" s="41">
        <v>-56</v>
      </c>
      <c r="AG16" s="41">
        <f>-45-AF16</f>
        <v>11</v>
      </c>
      <c r="AH16" s="41">
        <f>83-AG16-AF16</f>
        <v>128</v>
      </c>
      <c r="AI16" s="21">
        <f t="shared" si="12"/>
        <v>1289</v>
      </c>
      <c r="AJ16" s="43">
        <v>1372</v>
      </c>
      <c r="AK16" s="41">
        <v>-50</v>
      </c>
      <c r="AL16" s="41">
        <f>-309-AK16</f>
        <v>-259</v>
      </c>
      <c r="AM16" s="41">
        <f>-284-AL16-AK16</f>
        <v>25</v>
      </c>
      <c r="AN16" s="21">
        <f t="shared" si="13"/>
        <v>1130</v>
      </c>
      <c r="AO16" s="43">
        <v>846</v>
      </c>
      <c r="AP16" s="41">
        <v>223</v>
      </c>
      <c r="AQ16" s="41">
        <v>32</v>
      </c>
      <c r="AR16" s="41">
        <v>174</v>
      </c>
      <c r="AS16" s="21">
        <f t="shared" si="14"/>
        <v>1893</v>
      </c>
      <c r="AT16" s="43">
        <v>2322</v>
      </c>
      <c r="AU16" s="41">
        <v>-54</v>
      </c>
      <c r="AV16" s="41">
        <v>566</v>
      </c>
      <c r="AW16" s="41">
        <v>684</v>
      </c>
      <c r="AX16" s="21">
        <f t="shared" si="15"/>
        <v>676</v>
      </c>
      <c r="AY16" s="43">
        <v>1872</v>
      </c>
      <c r="AZ16" s="41">
        <v>373</v>
      </c>
      <c r="BA16" s="41">
        <v>-30</v>
      </c>
      <c r="BB16" s="41">
        <v>986</v>
      </c>
      <c r="BC16" s="21">
        <f t="shared" si="16"/>
        <v>1444</v>
      </c>
      <c r="BD16" s="43">
        <v>2773</v>
      </c>
      <c r="BE16" s="41">
        <v>94</v>
      </c>
      <c r="BF16" s="41">
        <v>198</v>
      </c>
      <c r="BG16" s="42">
        <f>(Balance_Sheet_Qtr!BG31-Balance_Sheet_Qtr!BF31)</f>
        <v>579.62786301369852</v>
      </c>
      <c r="BH16" s="42">
        <f>(Balance_Sheet_Qtr!BH31-Balance_Sheet_Qtr!BG31)</f>
        <v>-106.8769150684966</v>
      </c>
      <c r="BI16" s="22">
        <f t="shared" si="18"/>
        <v>764.75094794520191</v>
      </c>
    </row>
    <row r="17" spans="1:63">
      <c r="A17" s="1" t="s">
        <v>30</v>
      </c>
      <c r="B17" s="42"/>
      <c r="C17" s="42"/>
      <c r="D17" s="42"/>
      <c r="E17" s="21"/>
      <c r="F17" s="75"/>
      <c r="G17" s="42"/>
      <c r="H17" s="42"/>
      <c r="I17" s="42"/>
      <c r="J17" s="21"/>
      <c r="K17" s="75"/>
      <c r="L17" s="42"/>
      <c r="M17" s="42"/>
      <c r="N17" s="42"/>
      <c r="O17" s="21"/>
      <c r="P17" s="75"/>
      <c r="Q17" s="42"/>
      <c r="R17" s="42"/>
      <c r="S17" s="42"/>
      <c r="T17" s="21"/>
      <c r="U17" s="75"/>
      <c r="V17" s="42">
        <f>+SUM(V11:V16)</f>
        <v>-445</v>
      </c>
      <c r="W17" s="42">
        <f>+SUM(W11:W16)</f>
        <v>-94</v>
      </c>
      <c r="X17" s="42">
        <f>+SUM(X11:X16)</f>
        <v>-74</v>
      </c>
      <c r="Y17" s="21">
        <f t="shared" si="10"/>
        <v>116</v>
      </c>
      <c r="Z17" s="75">
        <f>+SUM(Z11:Z16)</f>
        <v>-497</v>
      </c>
      <c r="AA17" s="42">
        <f>+SUM(AA11:AA16)</f>
        <v>-887</v>
      </c>
      <c r="AB17" s="42">
        <f>+SUM(AB11:AB16)</f>
        <v>502</v>
      </c>
      <c r="AC17" s="42">
        <f>+SUM(AC11:AC16)</f>
        <v>647</v>
      </c>
      <c r="AD17" s="21">
        <f t="shared" si="11"/>
        <v>549</v>
      </c>
      <c r="AE17" s="75">
        <f>+SUM(AE11:AE16)</f>
        <v>811</v>
      </c>
      <c r="AF17" s="42">
        <f>+SUM(AF11:AF16)</f>
        <v>-934</v>
      </c>
      <c r="AG17" s="42">
        <f>+SUM(AG11:AG16)</f>
        <v>-499</v>
      </c>
      <c r="AH17" s="42">
        <f>+SUM(AH11:AH16)</f>
        <v>95</v>
      </c>
      <c r="AI17" s="21">
        <f t="shared" si="12"/>
        <v>1060</v>
      </c>
      <c r="AJ17" s="75">
        <f>+SUM(AJ11:AJ16)</f>
        <v>-278</v>
      </c>
      <c r="AK17" s="42">
        <f>+SUM(AK11:AK16)</f>
        <v>-897</v>
      </c>
      <c r="AL17" s="42">
        <f>+SUM(AL11:AL16)</f>
        <v>-4</v>
      </c>
      <c r="AM17" s="42">
        <f>+SUM(AM11:AM16)</f>
        <v>-781</v>
      </c>
      <c r="AN17" s="21">
        <f t="shared" si="13"/>
        <v>2204</v>
      </c>
      <c r="AO17" s="75">
        <f>+SUM(AO11:AO16)</f>
        <v>522</v>
      </c>
      <c r="AP17" s="42">
        <f>+SUM(AP11:AP16)</f>
        <v>-2693</v>
      </c>
      <c r="AQ17" s="42">
        <f>+SUM(AQ11:AQ16)</f>
        <v>-1286</v>
      </c>
      <c r="AR17" s="42">
        <f>+SUM(AR11:AR16)</f>
        <v>3446</v>
      </c>
      <c r="AS17" s="21">
        <f t="shared" si="14"/>
        <v>2048</v>
      </c>
      <c r="AT17" s="75">
        <f>+SUM(AT11:AT16)</f>
        <v>1515</v>
      </c>
      <c r="AU17" s="42">
        <f>+SUM(AU11:AU16)</f>
        <v>-1690</v>
      </c>
      <c r="AV17" s="42">
        <f>+SUM(AV11:AV16)</f>
        <v>1433</v>
      </c>
      <c r="AW17" s="42">
        <f>+SUM(AW11:AW16)</f>
        <v>316</v>
      </c>
      <c r="AX17" s="21">
        <f t="shared" si="15"/>
        <v>-1144</v>
      </c>
      <c r="AY17" s="75">
        <f>+SUM(AY11:AY16)</f>
        <v>-1085</v>
      </c>
      <c r="AZ17" s="42">
        <f>+SUM(AZ11:AZ16)</f>
        <v>-1246</v>
      </c>
      <c r="BA17" s="42">
        <f>+SUM(BA11:BA16)</f>
        <v>-2176</v>
      </c>
      <c r="BB17" s="42">
        <f>+SUM(BB11:BB16)</f>
        <v>1241</v>
      </c>
      <c r="BC17" s="21">
        <f t="shared" si="16"/>
        <v>907</v>
      </c>
      <c r="BD17" s="75">
        <f>+SUM(BD11:BD16)</f>
        <v>-1274</v>
      </c>
      <c r="BE17" s="42">
        <f>+SUM(BE11:BE16)</f>
        <v>-1499</v>
      </c>
      <c r="BF17" s="42">
        <f t="shared" ref="BF17:BG17" si="19">+SUM(BF11:BF16)</f>
        <v>325</v>
      </c>
      <c r="BG17" s="42">
        <f t="shared" si="19"/>
        <v>-419.81633446574779</v>
      </c>
      <c r="BH17" s="21">
        <f t="shared" ref="BH17" si="20">+SUM(BH11:BH16)</f>
        <v>333.26159148492843</v>
      </c>
      <c r="BI17" s="22">
        <f t="shared" si="18"/>
        <v>-1260.5547429808194</v>
      </c>
      <c r="BJ17" s="372"/>
      <c r="BK17" s="112"/>
    </row>
    <row r="18" spans="1:63">
      <c r="A18" s="1" t="s">
        <v>272</v>
      </c>
      <c r="B18" s="41"/>
      <c r="C18" s="41"/>
      <c r="D18" s="41"/>
      <c r="E18" s="21"/>
      <c r="F18" s="43"/>
      <c r="G18" s="41"/>
      <c r="H18" s="41"/>
      <c r="I18" s="41"/>
      <c r="J18" s="21"/>
      <c r="K18" s="43"/>
      <c r="L18" s="41"/>
      <c r="M18" s="41"/>
      <c r="N18" s="41"/>
      <c r="O18" s="21"/>
      <c r="P18" s="43"/>
      <c r="Q18" s="41"/>
      <c r="R18" s="41"/>
      <c r="S18" s="41"/>
      <c r="T18" s="21"/>
      <c r="U18" s="43"/>
      <c r="V18" s="41">
        <v>-32</v>
      </c>
      <c r="W18" s="41">
        <f>-37-V18</f>
        <v>-5</v>
      </c>
      <c r="X18" s="41">
        <f>-41-W18-V18</f>
        <v>-4</v>
      </c>
      <c r="Y18" s="21">
        <f t="shared" si="10"/>
        <v>-14</v>
      </c>
      <c r="Z18" s="43">
        <v>-55</v>
      </c>
      <c r="AA18" s="41">
        <v>-39</v>
      </c>
      <c r="AB18" s="41">
        <f>-42-AA18</f>
        <v>-3</v>
      </c>
      <c r="AC18" s="41">
        <f>-64-AB18-AA18</f>
        <v>-22</v>
      </c>
      <c r="AD18" s="21">
        <f t="shared" si="11"/>
        <v>-961</v>
      </c>
      <c r="AE18" s="43">
        <v>-1025</v>
      </c>
      <c r="AF18" s="41">
        <v>-7</v>
      </c>
      <c r="AG18" s="41">
        <f>-25-AF18</f>
        <v>-18</v>
      </c>
      <c r="AH18" s="41">
        <f>-38-AG18-AF18</f>
        <v>-13</v>
      </c>
      <c r="AI18" s="21">
        <f t="shared" si="12"/>
        <v>-21</v>
      </c>
      <c r="AJ18" s="43">
        <v>-59</v>
      </c>
      <c r="AK18" s="41">
        <v>0</v>
      </c>
      <c r="AL18" s="41">
        <f>0-AK18</f>
        <v>0</v>
      </c>
      <c r="AM18" s="41">
        <f>0-AL18-AK18</f>
        <v>0</v>
      </c>
      <c r="AN18" s="21">
        <f t="shared" si="13"/>
        <v>-94</v>
      </c>
      <c r="AO18" s="43">
        <v>-94</v>
      </c>
      <c r="AP18" s="41">
        <v>0</v>
      </c>
      <c r="AQ18" s="41">
        <f>0-AP18</f>
        <v>0</v>
      </c>
      <c r="AR18" s="41">
        <f>0-AQ18-AP18</f>
        <v>0</v>
      </c>
      <c r="AS18" s="21">
        <f t="shared" si="14"/>
        <v>0</v>
      </c>
      <c r="AT18" s="43">
        <v>0</v>
      </c>
      <c r="AU18" s="41">
        <v>0</v>
      </c>
      <c r="AV18" s="41">
        <v>0</v>
      </c>
      <c r="AW18" s="41">
        <v>0</v>
      </c>
      <c r="AX18" s="21">
        <f t="shared" si="15"/>
        <v>0</v>
      </c>
      <c r="AY18" s="43">
        <v>0</v>
      </c>
      <c r="AZ18" s="41">
        <v>0</v>
      </c>
      <c r="BA18" s="41">
        <v>0</v>
      </c>
      <c r="BB18" s="41">
        <v>0</v>
      </c>
      <c r="BC18" s="21">
        <f t="shared" si="16"/>
        <v>0</v>
      </c>
      <c r="BD18" s="43">
        <v>0</v>
      </c>
      <c r="BE18" s="41">
        <v>0</v>
      </c>
      <c r="BF18" s="41">
        <v>0</v>
      </c>
      <c r="BG18" s="42">
        <f t="shared" ref="BG18" si="21">-BG87</f>
        <v>0</v>
      </c>
      <c r="BH18" s="21">
        <f>-BH87</f>
        <v>0</v>
      </c>
      <c r="BI18" s="22">
        <f>SUM(BE18:BH18)</f>
        <v>0</v>
      </c>
      <c r="BJ18" s="372"/>
    </row>
    <row r="19" spans="1:63">
      <c r="A19" s="1" t="s">
        <v>273</v>
      </c>
      <c r="B19" s="41"/>
      <c r="C19" s="41"/>
      <c r="D19" s="41"/>
      <c r="E19" s="21"/>
      <c r="F19" s="43"/>
      <c r="G19" s="41"/>
      <c r="H19" s="41"/>
      <c r="I19" s="41"/>
      <c r="J19" s="21"/>
      <c r="K19" s="43"/>
      <c r="L19" s="41"/>
      <c r="M19" s="41"/>
      <c r="N19" s="41"/>
      <c r="O19" s="21"/>
      <c r="P19" s="43"/>
      <c r="Q19" s="41"/>
      <c r="R19" s="41"/>
      <c r="S19" s="41"/>
      <c r="T19" s="21"/>
      <c r="U19" s="43"/>
      <c r="V19" s="41">
        <v>-38</v>
      </c>
      <c r="W19" s="41">
        <f>-38-V19</f>
        <v>0</v>
      </c>
      <c r="X19" s="41">
        <f>-38-W19-V19</f>
        <v>0</v>
      </c>
      <c r="Y19" s="21">
        <f t="shared" si="10"/>
        <v>0</v>
      </c>
      <c r="Z19" s="43">
        <v>-38</v>
      </c>
      <c r="AA19" s="41">
        <v>0</v>
      </c>
      <c r="AB19" s="41">
        <v>0</v>
      </c>
      <c r="AC19" s="41">
        <v>0</v>
      </c>
      <c r="AD19" s="21">
        <f t="shared" si="11"/>
        <v>0</v>
      </c>
      <c r="AE19" s="43">
        <v>0</v>
      </c>
      <c r="AF19" s="41">
        <v>0</v>
      </c>
      <c r="AG19" s="41">
        <v>0</v>
      </c>
      <c r="AH19" s="41">
        <v>0</v>
      </c>
      <c r="AI19" s="21">
        <f t="shared" si="12"/>
        <v>0</v>
      </c>
      <c r="AJ19" s="43">
        <v>0</v>
      </c>
      <c r="AK19" s="41">
        <v>0</v>
      </c>
      <c r="AL19" s="41">
        <v>0</v>
      </c>
      <c r="AM19" s="41">
        <v>0</v>
      </c>
      <c r="AN19" s="21">
        <f t="shared" si="13"/>
        <v>0</v>
      </c>
      <c r="AO19" s="43">
        <v>0</v>
      </c>
      <c r="AP19" s="41">
        <v>0</v>
      </c>
      <c r="AQ19" s="41">
        <v>0</v>
      </c>
      <c r="AR19" s="41">
        <v>0</v>
      </c>
      <c r="AS19" s="21">
        <f t="shared" si="14"/>
        <v>0</v>
      </c>
      <c r="AT19" s="43">
        <v>0</v>
      </c>
      <c r="AU19" s="41">
        <v>0</v>
      </c>
      <c r="AV19" s="41">
        <v>0</v>
      </c>
      <c r="AW19" s="41">
        <v>0</v>
      </c>
      <c r="AX19" s="21">
        <f t="shared" si="15"/>
        <v>0</v>
      </c>
      <c r="AY19" s="43">
        <v>0</v>
      </c>
      <c r="AZ19" s="41">
        <v>0</v>
      </c>
      <c r="BA19" s="41">
        <v>0</v>
      </c>
      <c r="BB19" s="41">
        <v>0</v>
      </c>
      <c r="BC19" s="21">
        <f t="shared" si="16"/>
        <v>0</v>
      </c>
      <c r="BD19" s="43">
        <v>0</v>
      </c>
      <c r="BE19" s="41">
        <v>0</v>
      </c>
      <c r="BF19" s="41">
        <v>0</v>
      </c>
      <c r="BG19" s="41">
        <f t="shared" ref="BG19" si="22">$BI19/4</f>
        <v>0</v>
      </c>
      <c r="BH19" s="21">
        <f>BI19-SUM(BE19:BG19)</f>
        <v>0</v>
      </c>
      <c r="BI19" s="43">
        <v>0</v>
      </c>
    </row>
    <row r="20" spans="1:63">
      <c r="A20" s="1" t="s">
        <v>47</v>
      </c>
      <c r="B20" s="41"/>
      <c r="C20" s="41"/>
      <c r="D20" s="41"/>
      <c r="E20" s="21"/>
      <c r="F20" s="43"/>
      <c r="G20" s="41"/>
      <c r="H20" s="41"/>
      <c r="I20" s="41"/>
      <c r="J20" s="21"/>
      <c r="K20" s="43"/>
      <c r="L20" s="41"/>
      <c r="M20" s="41"/>
      <c r="N20" s="41"/>
      <c r="O20" s="21"/>
      <c r="P20" s="43"/>
      <c r="Q20" s="41"/>
      <c r="R20" s="41"/>
      <c r="S20" s="41"/>
      <c r="T20" s="21"/>
      <c r="U20" s="43"/>
      <c r="V20" s="41">
        <v>-317</v>
      </c>
      <c r="W20" s="41">
        <f>180-V20</f>
        <v>497</v>
      </c>
      <c r="X20" s="41">
        <f>426-W20-V20</f>
        <v>246</v>
      </c>
      <c r="Y20" s="21">
        <f t="shared" si="10"/>
        <v>-194</v>
      </c>
      <c r="Z20" s="43">
        <v>232</v>
      </c>
      <c r="AA20" s="41">
        <v>157</v>
      </c>
      <c r="AB20" s="41">
        <f>45-AA20</f>
        <v>-112</v>
      </c>
      <c r="AC20" s="41">
        <f>-171-AB20-AA20</f>
        <v>-216</v>
      </c>
      <c r="AD20" s="21">
        <f t="shared" si="11"/>
        <v>490</v>
      </c>
      <c r="AE20" s="43">
        <v>319</v>
      </c>
      <c r="AF20" s="41">
        <v>-151</v>
      </c>
      <c r="AG20" s="41">
        <f>-336-AF20</f>
        <v>-185</v>
      </c>
      <c r="AH20" s="41">
        <f>-558-AG20-AF20</f>
        <v>-222</v>
      </c>
      <c r="AI20" s="21">
        <f t="shared" si="12"/>
        <v>395</v>
      </c>
      <c r="AJ20" s="43">
        <f>-812+649</f>
        <v>-163</v>
      </c>
      <c r="AK20" s="41">
        <v>91</v>
      </c>
      <c r="AL20" s="41">
        <f>-165-AK20</f>
        <v>-256</v>
      </c>
      <c r="AM20" s="41">
        <f>-272-AL20-AK20</f>
        <v>-107</v>
      </c>
      <c r="AN20" s="21">
        <f t="shared" si="13"/>
        <v>233</v>
      </c>
      <c r="AO20" s="43">
        <v>-39</v>
      </c>
      <c r="AP20" s="41">
        <v>-68</v>
      </c>
      <c r="AQ20" s="41">
        <v>251</v>
      </c>
      <c r="AR20" s="41">
        <v>36</v>
      </c>
      <c r="AS20" s="21">
        <f t="shared" si="14"/>
        <v>90</v>
      </c>
      <c r="AT20" s="43">
        <v>309</v>
      </c>
      <c r="AU20" s="41">
        <f>-15-415</f>
        <v>-430</v>
      </c>
      <c r="AV20" s="41">
        <v>-29</v>
      </c>
      <c r="AW20" s="41">
        <v>103</v>
      </c>
      <c r="AX20" s="21">
        <f t="shared" si="15"/>
        <v>159</v>
      </c>
      <c r="AY20" s="43">
        <f>-415+218</f>
        <v>-197</v>
      </c>
      <c r="AZ20" s="41">
        <f>-147+167</f>
        <v>20</v>
      </c>
      <c r="BA20" s="41">
        <f>-162+140</f>
        <v>-22</v>
      </c>
      <c r="BB20" s="41">
        <f>128-97</f>
        <v>31</v>
      </c>
      <c r="BC20" s="21">
        <f t="shared" si="16"/>
        <v>68</v>
      </c>
      <c r="BD20" s="43">
        <f>573-476</f>
        <v>97</v>
      </c>
      <c r="BE20" s="41">
        <f>89+192</f>
        <v>281</v>
      </c>
      <c r="BF20" s="41">
        <f>-58+147</f>
        <v>89</v>
      </c>
      <c r="BG20" s="37">
        <f>+Balance_Sheet_Qtr!BG38-Balance_Sheet_Qtr!BF38</f>
        <v>0</v>
      </c>
      <c r="BH20" s="37">
        <f>+Balance_Sheet_Qtr!BH38-Balance_Sheet_Qtr!BG38</f>
        <v>0</v>
      </c>
      <c r="BI20" s="22">
        <f>SUM(BE20:BH20)</f>
        <v>370</v>
      </c>
    </row>
    <row r="21" spans="1:63">
      <c r="A21" s="15" t="s">
        <v>78</v>
      </c>
      <c r="B21" s="23"/>
      <c r="C21" s="23"/>
      <c r="D21" s="23"/>
      <c r="E21" s="23"/>
      <c r="F21" s="24"/>
      <c r="G21" s="23"/>
      <c r="H21" s="23"/>
      <c r="I21" s="23"/>
      <c r="J21" s="23"/>
      <c r="K21" s="24"/>
      <c r="L21" s="23"/>
      <c r="M21" s="23"/>
      <c r="N21" s="23"/>
      <c r="O21" s="23"/>
      <c r="P21" s="24"/>
      <c r="Q21" s="23"/>
      <c r="R21" s="23"/>
      <c r="S21" s="23"/>
      <c r="T21" s="23"/>
      <c r="U21" s="24"/>
      <c r="V21" s="23">
        <f t="shared" ref="V21:AB21" si="23">+SUM(V4:V9,V17:V20)</f>
        <v>1500</v>
      </c>
      <c r="W21" s="23">
        <f t="shared" si="23"/>
        <v>1269</v>
      </c>
      <c r="X21" s="23">
        <f>+SUM(X4:X9,X17:X20)</f>
        <v>1727</v>
      </c>
      <c r="Y21" s="23">
        <f t="shared" si="23"/>
        <v>1325</v>
      </c>
      <c r="Z21" s="24">
        <f t="shared" si="23"/>
        <v>5821</v>
      </c>
      <c r="AA21" s="23">
        <f t="shared" si="23"/>
        <v>661</v>
      </c>
      <c r="AB21" s="23">
        <f t="shared" si="23"/>
        <v>681</v>
      </c>
      <c r="AC21" s="23">
        <f t="shared" ref="AC21:AF21" si="24">+SUM(AC4:AC9,AC17:AC20)</f>
        <v>1622</v>
      </c>
      <c r="AD21" s="23">
        <f t="shared" si="24"/>
        <v>1370</v>
      </c>
      <c r="AE21" s="24">
        <f t="shared" si="24"/>
        <v>4334</v>
      </c>
      <c r="AF21" s="23">
        <f t="shared" si="24"/>
        <v>723</v>
      </c>
      <c r="AG21" s="23">
        <f>+SUM(AG4:AG9,AG17:AG20)</f>
        <v>1326</v>
      </c>
      <c r="AH21" s="23">
        <f t="shared" ref="AH21:AL21" si="25">+SUM(AH4:AH9,AH17:AH20)</f>
        <v>1932</v>
      </c>
      <c r="AI21" s="23">
        <f t="shared" si="25"/>
        <v>3161</v>
      </c>
      <c r="AJ21" s="24">
        <f t="shared" si="25"/>
        <v>7142</v>
      </c>
      <c r="AK21" s="23">
        <f t="shared" si="25"/>
        <v>476</v>
      </c>
      <c r="AL21" s="23">
        <f t="shared" si="25"/>
        <v>1286</v>
      </c>
      <c r="AM21" s="23">
        <f t="shared" ref="AM21:AQ21" si="26">+SUM(AM4:AM9,AM17:AM20)</f>
        <v>778</v>
      </c>
      <c r="AN21" s="23">
        <f t="shared" si="26"/>
        <v>4628</v>
      </c>
      <c r="AO21" s="24">
        <f t="shared" si="26"/>
        <v>7168</v>
      </c>
      <c r="AP21" s="23">
        <f t="shared" si="26"/>
        <v>-863</v>
      </c>
      <c r="AQ21" s="23">
        <f t="shared" si="26"/>
        <v>719</v>
      </c>
      <c r="AR21" s="23">
        <f t="shared" ref="AR21:AV21" si="27">+SUM(AR4:AR9,AR17:AR20)</f>
        <v>3316</v>
      </c>
      <c r="AS21" s="23">
        <f t="shared" si="27"/>
        <v>4711</v>
      </c>
      <c r="AT21" s="24">
        <f t="shared" si="27"/>
        <v>7883</v>
      </c>
      <c r="AU21" s="23">
        <f t="shared" si="27"/>
        <v>342</v>
      </c>
      <c r="AV21" s="23">
        <f t="shared" si="27"/>
        <v>2733</v>
      </c>
      <c r="AW21" s="23">
        <f t="shared" ref="AW21:BA21" si="28">+SUM(AW4:AW9,AW17:AW20)</f>
        <v>2523</v>
      </c>
      <c r="AX21" s="23">
        <f t="shared" si="28"/>
        <v>1561</v>
      </c>
      <c r="AY21" s="24">
        <f t="shared" si="28"/>
        <v>7159</v>
      </c>
      <c r="AZ21" s="23">
        <f t="shared" si="28"/>
        <v>1305</v>
      </c>
      <c r="BA21" s="23">
        <f t="shared" si="28"/>
        <v>458</v>
      </c>
      <c r="BB21" s="23">
        <f t="shared" ref="BB21:BE21" si="29">+SUM(BB4:BB9,BB17:BB20)</f>
        <v>4639</v>
      </c>
      <c r="BC21" s="23">
        <f t="shared" si="29"/>
        <v>4165</v>
      </c>
      <c r="BD21" s="24">
        <f t="shared" si="29"/>
        <v>10567</v>
      </c>
      <c r="BE21" s="23">
        <f t="shared" si="29"/>
        <v>1855</v>
      </c>
      <c r="BF21" s="23">
        <f t="shared" ref="BF21:BG21" si="30">+SUM(BF4:BF9,BF17:BF20)</f>
        <v>3547</v>
      </c>
      <c r="BG21" s="23">
        <f t="shared" si="30"/>
        <v>2797.0272632592523</v>
      </c>
      <c r="BH21" s="23">
        <f t="shared" ref="BH21:BI21" si="31">+SUM(BH4:BH9,BH17:BH20)</f>
        <v>3633.5881657524278</v>
      </c>
      <c r="BI21" s="24">
        <f t="shared" si="31"/>
        <v>11832.615429011681</v>
      </c>
      <c r="BK21" s="348"/>
    </row>
    <row r="22" spans="1:63">
      <c r="B22" s="21"/>
      <c r="C22" s="21"/>
      <c r="D22" s="21"/>
      <c r="E22" s="21"/>
      <c r="F22" s="22"/>
      <c r="G22" s="21"/>
      <c r="H22" s="21"/>
      <c r="I22" s="21"/>
      <c r="J22" s="21"/>
      <c r="K22" s="22"/>
      <c r="L22" s="21"/>
      <c r="M22" s="21"/>
      <c r="N22" s="21"/>
      <c r="O22" s="21"/>
      <c r="P22" s="22"/>
      <c r="Q22" s="21"/>
      <c r="R22" s="21"/>
      <c r="S22" s="21"/>
      <c r="T22" s="21"/>
      <c r="U22" s="22"/>
      <c r="V22" s="21"/>
      <c r="W22" s="21"/>
      <c r="X22" s="21"/>
      <c r="Y22" s="21"/>
      <c r="Z22" s="22"/>
      <c r="AA22" s="21"/>
      <c r="AB22" s="21"/>
      <c r="AC22" s="21"/>
      <c r="AD22" s="21"/>
      <c r="AE22" s="22"/>
      <c r="AF22" s="21"/>
      <c r="AG22" s="21"/>
      <c r="AH22" s="21"/>
      <c r="AI22" s="21"/>
      <c r="AJ22" s="22"/>
      <c r="AK22" s="21"/>
      <c r="AL22" s="21"/>
      <c r="AM22" s="21"/>
      <c r="AN22" s="21"/>
      <c r="AO22" s="22"/>
      <c r="AP22" s="21"/>
      <c r="AQ22" s="21"/>
      <c r="AR22" s="21"/>
      <c r="AS22" s="21"/>
      <c r="AT22" s="22"/>
      <c r="AU22" s="21"/>
      <c r="AV22" s="21"/>
      <c r="AW22" s="21"/>
      <c r="AX22" s="21"/>
      <c r="AY22" s="22"/>
      <c r="AZ22" s="21"/>
      <c r="BA22" s="21"/>
      <c r="BB22" s="21"/>
      <c r="BC22" s="21"/>
      <c r="BD22" s="22"/>
      <c r="BE22" s="21"/>
      <c r="BF22" s="21"/>
      <c r="BG22" s="21"/>
      <c r="BH22" s="21"/>
      <c r="BI22" s="22"/>
    </row>
    <row r="23" spans="1:63">
      <c r="A23" s="4" t="s">
        <v>79</v>
      </c>
      <c r="B23" s="21"/>
      <c r="C23" s="21"/>
      <c r="D23" s="21"/>
      <c r="E23" s="21"/>
      <c r="F23" s="22"/>
      <c r="G23" s="21"/>
      <c r="H23" s="21"/>
      <c r="I23" s="21"/>
      <c r="J23" s="21"/>
      <c r="K23" s="22"/>
      <c r="L23" s="21"/>
      <c r="M23" s="21"/>
      <c r="N23" s="21"/>
      <c r="O23" s="21"/>
      <c r="P23" s="22"/>
      <c r="Q23" s="21"/>
      <c r="R23" s="21"/>
      <c r="S23" s="21"/>
      <c r="T23" s="21"/>
      <c r="U23" s="22"/>
      <c r="V23" s="21"/>
      <c r="W23" s="21"/>
      <c r="X23" s="21"/>
      <c r="Y23" s="21"/>
      <c r="Z23" s="22"/>
      <c r="AA23" s="21"/>
      <c r="AB23" s="21"/>
      <c r="AC23" s="21"/>
      <c r="AD23" s="21"/>
      <c r="AE23" s="22"/>
      <c r="AF23" s="21"/>
      <c r="AG23" s="21"/>
      <c r="AH23" s="21"/>
      <c r="AI23" s="21"/>
      <c r="AJ23" s="22"/>
      <c r="AK23" s="21"/>
      <c r="AL23" s="21"/>
      <c r="AM23" s="21"/>
      <c r="AN23" s="21"/>
      <c r="AO23" s="22"/>
      <c r="AP23" s="21"/>
      <c r="AQ23" s="21"/>
      <c r="AR23" s="21"/>
      <c r="AS23" s="21"/>
      <c r="AT23" s="22"/>
      <c r="AU23" s="21"/>
      <c r="AV23" s="21"/>
      <c r="AW23" s="21"/>
      <c r="AX23" s="21"/>
      <c r="AY23" s="22"/>
      <c r="AZ23" s="21"/>
      <c r="BA23" s="21"/>
      <c r="BB23" s="21"/>
      <c r="BC23" s="21"/>
      <c r="BD23" s="22"/>
      <c r="BE23" s="21"/>
      <c r="BF23" s="21"/>
      <c r="BG23" s="21"/>
      <c r="BH23" s="21"/>
      <c r="BI23" s="22"/>
    </row>
    <row r="24" spans="1:63">
      <c r="A24" s="1" t="s">
        <v>23</v>
      </c>
      <c r="B24" s="41"/>
      <c r="C24" s="41"/>
      <c r="D24" s="41"/>
      <c r="E24" s="21"/>
      <c r="F24" s="43"/>
      <c r="G24" s="41"/>
      <c r="H24" s="41"/>
      <c r="I24" s="41"/>
      <c r="J24" s="21"/>
      <c r="K24" s="43"/>
      <c r="L24" s="41"/>
      <c r="M24" s="41"/>
      <c r="N24" s="41"/>
      <c r="O24" s="21"/>
      <c r="P24" s="43"/>
      <c r="Q24" s="41"/>
      <c r="R24" s="41"/>
      <c r="S24" s="41"/>
      <c r="T24" s="21"/>
      <c r="U24" s="43" t="s">
        <v>310</v>
      </c>
      <c r="V24" s="41">
        <v>-363</v>
      </c>
      <c r="W24" s="41">
        <f>-678-V24</f>
        <v>-315</v>
      </c>
      <c r="X24" s="41">
        <f>-1122-W24-V24</f>
        <v>-444</v>
      </c>
      <c r="Y24" s="21">
        <f t="shared" ref="Y24:Y32" si="32">+Z24-SUM(V24:X24)</f>
        <v>-746</v>
      </c>
      <c r="Z24" s="43">
        <v>-1868</v>
      </c>
      <c r="AA24" s="41">
        <v>-412</v>
      </c>
      <c r="AB24" s="41">
        <f>-783-AA24</f>
        <v>-371</v>
      </c>
      <c r="AC24" s="41">
        <f>-1172-AB24-AA24</f>
        <v>-389</v>
      </c>
      <c r="AD24" s="21">
        <f t="shared" ref="AD24:AD32" si="33">+AE24-SUM(AA24:AC24)</f>
        <v>-623</v>
      </c>
      <c r="AE24" s="43">
        <v>-1795</v>
      </c>
      <c r="AF24" s="41">
        <v>-387</v>
      </c>
      <c r="AG24" s="41">
        <f>-747-AF24</f>
        <v>-360</v>
      </c>
      <c r="AH24" s="41">
        <f>-1180-AG24-AF24</f>
        <v>-433</v>
      </c>
      <c r="AI24" s="21">
        <f t="shared" ref="AI24:AI32" si="34">+AJ24-SUM(AF24:AH24)</f>
        <v>-954</v>
      </c>
      <c r="AJ24" s="43">
        <v>-2134</v>
      </c>
      <c r="AK24" s="41">
        <v>-439</v>
      </c>
      <c r="AL24" s="41">
        <f>-918-AK24</f>
        <v>-479</v>
      </c>
      <c r="AM24" s="41">
        <f>-1433-AL24-AK24</f>
        <v>-515</v>
      </c>
      <c r="AN24" s="21">
        <f t="shared" ref="AN24:AN32" si="35">+AO24-SUM(AK24:AM24)</f>
        <v>-855</v>
      </c>
      <c r="AO24" s="43">
        <v>-2288</v>
      </c>
      <c r="AP24" s="41">
        <v>-520</v>
      </c>
      <c r="AQ24" s="41">
        <v>-526</v>
      </c>
      <c r="AR24" s="41">
        <v>-564</v>
      </c>
      <c r="AS24" s="21">
        <f t="shared" ref="AS24:AS32" si="36">+AT24-SUM(AP24:AR24)</f>
        <v>-805</v>
      </c>
      <c r="AT24" s="43">
        <v>-2415</v>
      </c>
      <c r="AU24" s="41">
        <v>-467</v>
      </c>
      <c r="AV24" s="41">
        <v>-537</v>
      </c>
      <c r="AW24" s="41">
        <v>-552</v>
      </c>
      <c r="AX24" s="21">
        <f t="shared" ref="AX24:AX32" si="37">+AY24-SUM(AU24:AW24)</f>
        <v>-1069</v>
      </c>
      <c r="AY24" s="43">
        <v>-2625</v>
      </c>
      <c r="AZ24" s="41">
        <v>-513</v>
      </c>
      <c r="BA24" s="41">
        <v>-530</v>
      </c>
      <c r="BB24" s="41">
        <v>-614</v>
      </c>
      <c r="BC24" s="21">
        <f t="shared" ref="BC24:BC32" si="38">+BD24-SUM(AZ24:BB24)</f>
        <v>-970</v>
      </c>
      <c r="BD24" s="43">
        <v>-2627</v>
      </c>
      <c r="BE24" s="41">
        <v>-546</v>
      </c>
      <c r="BF24" s="41">
        <v>-669</v>
      </c>
      <c r="BG24" s="42">
        <f>-ProForma_IS_Qtr!BG9*BG69</f>
        <v>-779.12591250000003</v>
      </c>
      <c r="BH24" s="42">
        <f>BI24-SUM(BE24:BG24)</f>
        <v>-1125.6780149999995</v>
      </c>
      <c r="BI24" s="22">
        <f>-ProForma_IS_Qtr!BI9*BI69</f>
        <v>-3119.8039274999996</v>
      </c>
      <c r="BJ24" s="373" t="s">
        <v>512</v>
      </c>
    </row>
    <row r="25" spans="1:63">
      <c r="A25" s="1" t="s">
        <v>277</v>
      </c>
      <c r="B25" s="41"/>
      <c r="C25" s="41"/>
      <c r="D25" s="41"/>
      <c r="E25" s="21"/>
      <c r="F25" s="43"/>
      <c r="G25" s="41"/>
      <c r="H25" s="41"/>
      <c r="I25" s="41"/>
      <c r="J25" s="21"/>
      <c r="K25" s="43"/>
      <c r="L25" s="41"/>
      <c r="M25" s="41"/>
      <c r="N25" s="41"/>
      <c r="O25" s="21"/>
      <c r="P25" s="43"/>
      <c r="Q25" s="41"/>
      <c r="R25" s="41"/>
      <c r="S25" s="41"/>
      <c r="T25" s="21"/>
      <c r="U25" s="43"/>
      <c r="V25" s="41">
        <v>133</v>
      </c>
      <c r="W25" s="41">
        <f>133-V25</f>
        <v>0</v>
      </c>
      <c r="X25" s="41">
        <f>134-W25-V25</f>
        <v>1</v>
      </c>
      <c r="Y25" s="21">
        <f t="shared" si="32"/>
        <v>0</v>
      </c>
      <c r="Z25" s="43">
        <v>134</v>
      </c>
      <c r="AA25" s="41">
        <v>0</v>
      </c>
      <c r="AB25" s="41">
        <f>234-AA25</f>
        <v>234</v>
      </c>
      <c r="AC25" s="41">
        <f>2575-AB25-AA25</f>
        <v>2341</v>
      </c>
      <c r="AD25" s="21">
        <f t="shared" si="33"/>
        <v>-19</v>
      </c>
      <c r="AE25" s="43">
        <v>2556</v>
      </c>
      <c r="AF25" s="41">
        <v>1049</v>
      </c>
      <c r="AG25" s="41">
        <f>1074-AF25</f>
        <v>25</v>
      </c>
      <c r="AH25" s="41">
        <f>1074-AG25-AF25</f>
        <v>0</v>
      </c>
      <c r="AI25" s="21">
        <f t="shared" si="34"/>
        <v>805</v>
      </c>
      <c r="AJ25" s="43">
        <v>1879</v>
      </c>
      <c r="AK25" s="41">
        <v>35</v>
      </c>
      <c r="AL25" s="41">
        <f>88-AK25</f>
        <v>53</v>
      </c>
      <c r="AM25" s="41">
        <f>94-AL25-AK25</f>
        <v>6</v>
      </c>
      <c r="AN25" s="21">
        <f t="shared" si="35"/>
        <v>0</v>
      </c>
      <c r="AO25" s="43">
        <v>94</v>
      </c>
      <c r="AP25" s="41">
        <v>0</v>
      </c>
      <c r="AQ25" s="41">
        <v>0</v>
      </c>
      <c r="AR25" s="41">
        <v>6</v>
      </c>
      <c r="AS25" s="21">
        <f t="shared" si="36"/>
        <v>0</v>
      </c>
      <c r="AT25" s="43">
        <v>6</v>
      </c>
      <c r="AU25" s="41">
        <v>1283</v>
      </c>
      <c r="AV25" s="41">
        <v>0</v>
      </c>
      <c r="AW25" s="41">
        <v>0</v>
      </c>
      <c r="AX25" s="21">
        <f t="shared" si="37"/>
        <v>512</v>
      </c>
      <c r="AY25" s="43">
        <v>1795</v>
      </c>
      <c r="AZ25" s="41">
        <v>0</v>
      </c>
      <c r="BA25" s="41">
        <v>0</v>
      </c>
      <c r="BB25" s="41">
        <v>1188</v>
      </c>
      <c r="BC25" s="21">
        <f t="shared" si="38"/>
        <v>743</v>
      </c>
      <c r="BD25" s="43">
        <v>1931</v>
      </c>
      <c r="BE25" s="41">
        <v>0</v>
      </c>
      <c r="BF25" s="41">
        <v>0</v>
      </c>
      <c r="BG25" s="41">
        <v>0</v>
      </c>
      <c r="BH25" s="21">
        <f>BI25-SUM(BE25:BG25)</f>
        <v>620</v>
      </c>
      <c r="BI25" s="43">
        <v>620</v>
      </c>
    </row>
    <row r="26" spans="1:63">
      <c r="A26" s="1" t="s">
        <v>278</v>
      </c>
      <c r="B26" s="41"/>
      <c r="C26" s="41"/>
      <c r="D26" s="41"/>
      <c r="E26" s="21"/>
      <c r="F26" s="43"/>
      <c r="G26" s="41"/>
      <c r="H26" s="41"/>
      <c r="I26" s="41"/>
      <c r="J26" s="21"/>
      <c r="K26" s="43"/>
      <c r="L26" s="41"/>
      <c r="M26" s="41"/>
      <c r="N26" s="41"/>
      <c r="O26" s="21"/>
      <c r="P26" s="43"/>
      <c r="Q26" s="41"/>
      <c r="R26" s="41"/>
      <c r="S26" s="41"/>
      <c r="T26" s="21"/>
      <c r="U26" s="43"/>
      <c r="V26" s="41">
        <v>0</v>
      </c>
      <c r="W26" s="41">
        <v>0</v>
      </c>
      <c r="X26" s="41">
        <v>0</v>
      </c>
      <c r="Y26" s="21">
        <f t="shared" si="32"/>
        <v>0</v>
      </c>
      <c r="Z26" s="43">
        <v>0</v>
      </c>
      <c r="AA26" s="41">
        <v>0</v>
      </c>
      <c r="AB26" s="41">
        <f>3208-AA26</f>
        <v>3208</v>
      </c>
      <c r="AC26" s="41">
        <f>3208-AB26-AA26</f>
        <v>0</v>
      </c>
      <c r="AD26" s="21">
        <f t="shared" si="33"/>
        <v>0</v>
      </c>
      <c r="AE26" s="43">
        <v>3208</v>
      </c>
      <c r="AF26" s="41">
        <v>0</v>
      </c>
      <c r="AG26" s="41">
        <f>0-AF26</f>
        <v>0</v>
      </c>
      <c r="AH26" s="41">
        <f>0-AG26-AF26</f>
        <v>0</v>
      </c>
      <c r="AI26" s="21">
        <f t="shared" si="34"/>
        <v>0</v>
      </c>
      <c r="AJ26" s="43">
        <v>0</v>
      </c>
      <c r="AK26" s="41">
        <v>0</v>
      </c>
      <c r="AL26" s="41">
        <f>0-AK26</f>
        <v>0</v>
      </c>
      <c r="AM26" s="41">
        <f>0-AL26-AK26</f>
        <v>0</v>
      </c>
      <c r="AN26" s="21">
        <f t="shared" si="35"/>
        <v>0</v>
      </c>
      <c r="AO26" s="43">
        <v>0</v>
      </c>
      <c r="AP26" s="41">
        <v>0</v>
      </c>
      <c r="AQ26" s="41">
        <v>0</v>
      </c>
      <c r="AR26" s="41">
        <v>0</v>
      </c>
      <c r="AS26" s="21">
        <f t="shared" si="36"/>
        <v>0</v>
      </c>
      <c r="AT26" s="43">
        <v>0</v>
      </c>
      <c r="AU26" s="41">
        <v>0</v>
      </c>
      <c r="AV26" s="41">
        <v>0</v>
      </c>
      <c r="AW26" s="41">
        <v>0</v>
      </c>
      <c r="AX26" s="21">
        <f t="shared" si="37"/>
        <v>0</v>
      </c>
      <c r="AY26" s="43">
        <v>0</v>
      </c>
      <c r="AZ26" s="41">
        <v>0</v>
      </c>
      <c r="BA26" s="41">
        <v>0</v>
      </c>
      <c r="BB26" s="41">
        <v>0</v>
      </c>
      <c r="BC26" s="21">
        <f t="shared" si="38"/>
        <v>0</v>
      </c>
      <c r="BD26" s="43">
        <v>0</v>
      </c>
      <c r="BE26" s="41">
        <v>0</v>
      </c>
      <c r="BF26" s="41">
        <v>0</v>
      </c>
      <c r="BG26" s="41">
        <f t="shared" ref="BG26:BG28" si="39">$BI26/4</f>
        <v>0</v>
      </c>
      <c r="BH26" s="21">
        <f t="shared" ref="BH26:BH31" si="40">BI26-SUM(BE26:BG26)</f>
        <v>0</v>
      </c>
      <c r="BI26" s="43">
        <v>0</v>
      </c>
    </row>
    <row r="27" spans="1:63">
      <c r="A27" s="1" t="s">
        <v>320</v>
      </c>
      <c r="B27" s="41"/>
      <c r="C27" s="41"/>
      <c r="D27" s="41"/>
      <c r="E27" s="21"/>
      <c r="F27" s="43"/>
      <c r="G27" s="41"/>
      <c r="H27" s="41"/>
      <c r="I27" s="41"/>
      <c r="J27" s="21"/>
      <c r="K27" s="43"/>
      <c r="L27" s="41"/>
      <c r="M27" s="41"/>
      <c r="N27" s="41"/>
      <c r="O27" s="21"/>
      <c r="P27" s="43"/>
      <c r="Q27" s="41"/>
      <c r="R27" s="41"/>
      <c r="S27" s="41"/>
      <c r="T27" s="21"/>
      <c r="U27" s="43"/>
      <c r="V27" s="41">
        <v>-19</v>
      </c>
      <c r="W27" s="41">
        <f>0-V27</f>
        <v>19</v>
      </c>
      <c r="X27" s="41">
        <f>0-W27-V27</f>
        <v>0</v>
      </c>
      <c r="Y27" s="21">
        <f t="shared" si="32"/>
        <v>-9</v>
      </c>
      <c r="Z27" s="43">
        <v>-9</v>
      </c>
      <c r="AA27" s="41">
        <v>-5</v>
      </c>
      <c r="AB27" s="41">
        <f>0-AA27</f>
        <v>5</v>
      </c>
      <c r="AC27" s="41">
        <v>0</v>
      </c>
      <c r="AD27" s="21">
        <f t="shared" si="33"/>
        <v>-419</v>
      </c>
      <c r="AE27" s="43">
        <v>-419</v>
      </c>
      <c r="AF27" s="41">
        <v>-6</v>
      </c>
      <c r="AG27" s="41">
        <f>-6-AF27</f>
        <v>0</v>
      </c>
      <c r="AH27" s="41">
        <f>-6-AG27-AF27</f>
        <v>0</v>
      </c>
      <c r="AI27" s="21">
        <f t="shared" si="34"/>
        <v>-1082</v>
      </c>
      <c r="AJ27" s="43">
        <v>-1088</v>
      </c>
      <c r="AK27" s="41">
        <v>0</v>
      </c>
      <c r="AL27" s="41">
        <f>0-AK27</f>
        <v>0</v>
      </c>
      <c r="AM27" s="41">
        <f>-66-AL27-AK27</f>
        <v>-66</v>
      </c>
      <c r="AN27" s="21">
        <f t="shared" si="35"/>
        <v>0</v>
      </c>
      <c r="AO27" s="43">
        <v>-66</v>
      </c>
      <c r="AP27" s="41">
        <v>0</v>
      </c>
      <c r="AQ27" s="41">
        <v>0</v>
      </c>
      <c r="AR27" s="41">
        <v>0</v>
      </c>
      <c r="AS27" s="21">
        <f t="shared" si="36"/>
        <v>0</v>
      </c>
      <c r="AT27" s="43">
        <v>0</v>
      </c>
      <c r="AU27" s="41">
        <v>0</v>
      </c>
      <c r="AV27" s="41">
        <v>0</v>
      </c>
      <c r="AW27" s="41">
        <v>0</v>
      </c>
      <c r="AX27" s="21">
        <f t="shared" si="37"/>
        <v>0</v>
      </c>
      <c r="AY27" s="43">
        <v>0</v>
      </c>
      <c r="AZ27" s="41">
        <v>0</v>
      </c>
      <c r="BA27" s="41">
        <v>0</v>
      </c>
      <c r="BB27" s="41">
        <v>0</v>
      </c>
      <c r="BC27" s="21">
        <f t="shared" si="38"/>
        <v>0</v>
      </c>
      <c r="BD27" s="43">
        <v>0</v>
      </c>
      <c r="BE27" s="41">
        <v>0</v>
      </c>
      <c r="BF27" s="41">
        <v>0</v>
      </c>
      <c r="BG27" s="41">
        <f t="shared" si="39"/>
        <v>0</v>
      </c>
      <c r="BH27" s="21">
        <f t="shared" si="40"/>
        <v>0</v>
      </c>
      <c r="BI27" s="43">
        <v>0</v>
      </c>
    </row>
    <row r="28" spans="1:63">
      <c r="A28" s="1" t="s">
        <v>274</v>
      </c>
      <c r="B28" s="41"/>
      <c r="C28" s="41"/>
      <c r="D28" s="41"/>
      <c r="E28" s="21"/>
      <c r="F28" s="43"/>
      <c r="G28" s="41"/>
      <c r="H28" s="41"/>
      <c r="I28" s="41"/>
      <c r="J28" s="21"/>
      <c r="K28" s="43"/>
      <c r="L28" s="41"/>
      <c r="M28" s="41"/>
      <c r="N28" s="41"/>
      <c r="O28" s="21"/>
      <c r="P28" s="43"/>
      <c r="Q28" s="41"/>
      <c r="R28" s="41"/>
      <c r="S28" s="41"/>
      <c r="T28" s="21"/>
      <c r="U28" s="43"/>
      <c r="V28" s="41">
        <v>-173</v>
      </c>
      <c r="W28" s="41">
        <f>-332-V28</f>
        <v>-159</v>
      </c>
      <c r="X28" s="41">
        <f>-445-W28-V28</f>
        <v>-113</v>
      </c>
      <c r="Y28" s="21">
        <f t="shared" si="32"/>
        <v>-214</v>
      </c>
      <c r="Z28" s="43">
        <f>-787+128</f>
        <v>-659</v>
      </c>
      <c r="AA28" s="41">
        <v>-88</v>
      </c>
      <c r="AB28" s="41">
        <f>-129-AA28</f>
        <v>-41</v>
      </c>
      <c r="AC28" s="41">
        <f>-138-AB28-AA28</f>
        <v>-9</v>
      </c>
      <c r="AD28" s="21">
        <f t="shared" si="33"/>
        <v>226</v>
      </c>
      <c r="AE28" s="43">
        <f>-280+368</f>
        <v>88</v>
      </c>
      <c r="AF28" s="41">
        <v>-81</v>
      </c>
      <c r="AG28" s="41">
        <f>-102-AF28</f>
        <v>-21</v>
      </c>
      <c r="AH28" s="41">
        <f>24-AG28-AF28</f>
        <v>126</v>
      </c>
      <c r="AI28" s="21">
        <f t="shared" si="34"/>
        <v>134</v>
      </c>
      <c r="AJ28" s="43">
        <f>-231+389</f>
        <v>158</v>
      </c>
      <c r="AK28" s="41">
        <v>-19</v>
      </c>
      <c r="AL28" s="41">
        <f>-7-AK28</f>
        <v>12</v>
      </c>
      <c r="AM28" s="41">
        <f>25-AL28-AK28</f>
        <v>32</v>
      </c>
      <c r="AN28" s="21">
        <f t="shared" si="35"/>
        <v>4</v>
      </c>
      <c r="AO28" s="43">
        <f>-150+179</f>
        <v>29</v>
      </c>
      <c r="AP28" s="41">
        <v>28</v>
      </c>
      <c r="AQ28" s="41">
        <v>14</v>
      </c>
      <c r="AR28" s="41">
        <v>-1</v>
      </c>
      <c r="AS28" s="21">
        <f t="shared" si="36"/>
        <v>54</v>
      </c>
      <c r="AT28" s="43">
        <f>-117+212</f>
        <v>95</v>
      </c>
      <c r="AU28" s="41">
        <v>0</v>
      </c>
      <c r="AV28" s="41">
        <v>0</v>
      </c>
      <c r="AW28" s="41">
        <v>0</v>
      </c>
      <c r="AX28" s="21">
        <f t="shared" si="37"/>
        <v>0</v>
      </c>
      <c r="AY28" s="43">
        <v>0</v>
      </c>
      <c r="AZ28" s="41">
        <v>0</v>
      </c>
      <c r="BA28" s="41">
        <v>0</v>
      </c>
      <c r="BB28" s="41">
        <v>0</v>
      </c>
      <c r="BC28" s="21">
        <f t="shared" si="38"/>
        <v>-72</v>
      </c>
      <c r="BD28" s="43">
        <f>-233+161</f>
        <v>-72</v>
      </c>
      <c r="BE28" s="41">
        <v>0</v>
      </c>
      <c r="BF28" s="41">
        <v>0</v>
      </c>
      <c r="BG28" s="41">
        <f t="shared" si="39"/>
        <v>0</v>
      </c>
      <c r="BH28" s="21">
        <f t="shared" si="40"/>
        <v>0</v>
      </c>
      <c r="BI28" s="43">
        <v>0</v>
      </c>
    </row>
    <row r="29" spans="1:63">
      <c r="A29" s="1" t="s">
        <v>275</v>
      </c>
      <c r="B29" s="41"/>
      <c r="C29" s="41"/>
      <c r="D29" s="41"/>
      <c r="E29" s="21"/>
      <c r="F29" s="43"/>
      <c r="G29" s="41"/>
      <c r="H29" s="41"/>
      <c r="I29" s="41"/>
      <c r="J29" s="21"/>
      <c r="K29" s="43"/>
      <c r="L29" s="41"/>
      <c r="M29" s="41"/>
      <c r="N29" s="41"/>
      <c r="O29" s="21"/>
      <c r="P29" s="43"/>
      <c r="Q29" s="41"/>
      <c r="R29" s="41"/>
      <c r="S29" s="41"/>
      <c r="T29" s="21"/>
      <c r="U29" s="43"/>
      <c r="V29" s="41">
        <v>-87</v>
      </c>
      <c r="W29" s="41">
        <f>-169-V29</f>
        <v>-82</v>
      </c>
      <c r="X29" s="41">
        <f>-259-W29-V29</f>
        <v>-90</v>
      </c>
      <c r="Y29" s="21">
        <f t="shared" si="32"/>
        <v>-92</v>
      </c>
      <c r="Z29" s="43">
        <v>-351</v>
      </c>
      <c r="AA29" s="41">
        <v>-78</v>
      </c>
      <c r="AB29" s="41">
        <f>-106-AA29</f>
        <v>-28</v>
      </c>
      <c r="AC29" s="41">
        <f>-136-AB29-AA29</f>
        <v>-30</v>
      </c>
      <c r="AD29" s="21">
        <f t="shared" si="33"/>
        <v>-36</v>
      </c>
      <c r="AE29" s="43">
        <v>-172</v>
      </c>
      <c r="AF29" s="41">
        <v>-32</v>
      </c>
      <c r="AG29" s="41">
        <f>-60-AF29</f>
        <v>-28</v>
      </c>
      <c r="AH29" s="41">
        <f>-138-AG29-AF29</f>
        <v>-78</v>
      </c>
      <c r="AI29" s="21">
        <f t="shared" si="34"/>
        <v>-50</v>
      </c>
      <c r="AJ29" s="43">
        <v>-188</v>
      </c>
      <c r="AK29" s="41">
        <v>-50</v>
      </c>
      <c r="AL29" s="41">
        <f>-91-AK29</f>
        <v>-41</v>
      </c>
      <c r="AM29" s="41">
        <f>-169-AL29-AK29</f>
        <v>-78</v>
      </c>
      <c r="AN29" s="21">
        <f t="shared" si="35"/>
        <v>-318</v>
      </c>
      <c r="AO29" s="43">
        <v>-487</v>
      </c>
      <c r="AP29" s="41">
        <v>-154</v>
      </c>
      <c r="AQ29" s="41">
        <v>-160</v>
      </c>
      <c r="AR29" s="41">
        <v>-222</v>
      </c>
      <c r="AS29" s="21">
        <f t="shared" si="36"/>
        <v>-215</v>
      </c>
      <c r="AT29" s="43">
        <v>-751</v>
      </c>
      <c r="AU29" s="41">
        <v>-163</v>
      </c>
      <c r="AV29" s="41">
        <v>-155</v>
      </c>
      <c r="AW29" s="41">
        <v>-129</v>
      </c>
      <c r="AX29" s="21">
        <f t="shared" si="37"/>
        <v>-164</v>
      </c>
      <c r="AY29" s="43">
        <v>-611</v>
      </c>
      <c r="AZ29" s="41">
        <v>-104</v>
      </c>
      <c r="BA29" s="41">
        <v>-122</v>
      </c>
      <c r="BB29" s="41">
        <v>-121</v>
      </c>
      <c r="BC29" s="21">
        <f t="shared" si="38"/>
        <v>-145</v>
      </c>
      <c r="BD29" s="43">
        <v>-492</v>
      </c>
      <c r="BE29" s="41">
        <v>-98</v>
      </c>
      <c r="BF29" s="41">
        <v>-58</v>
      </c>
      <c r="BG29" s="41">
        <v>0</v>
      </c>
      <c r="BH29" s="21">
        <f t="shared" si="40"/>
        <v>0</v>
      </c>
      <c r="BI29" s="43">
        <v>-156</v>
      </c>
    </row>
    <row r="30" spans="1:63">
      <c r="A30" s="1" t="s">
        <v>276</v>
      </c>
      <c r="B30" s="41"/>
      <c r="C30" s="41"/>
      <c r="D30" s="41"/>
      <c r="E30" s="21"/>
      <c r="F30" s="43"/>
      <c r="G30" s="41"/>
      <c r="H30" s="41"/>
      <c r="I30" s="41"/>
      <c r="J30" s="21"/>
      <c r="K30" s="43"/>
      <c r="L30" s="41"/>
      <c r="M30" s="41"/>
      <c r="N30" s="41"/>
      <c r="O30" s="21"/>
      <c r="P30" s="43"/>
      <c r="Q30" s="41"/>
      <c r="R30" s="41"/>
      <c r="S30" s="41"/>
      <c r="T30" s="21"/>
      <c r="U30" s="43"/>
      <c r="V30" s="41">
        <v>92</v>
      </c>
      <c r="W30" s="41">
        <f>61-V30</f>
        <v>-31</v>
      </c>
      <c r="X30" s="41">
        <f>160-W30-V30</f>
        <v>99</v>
      </c>
      <c r="Y30" s="21">
        <f t="shared" si="32"/>
        <v>182</v>
      </c>
      <c r="Z30" s="43">
        <v>342</v>
      </c>
      <c r="AA30" s="41">
        <v>-639</v>
      </c>
      <c r="AB30" s="41">
        <f>-286-AA30</f>
        <v>353</v>
      </c>
      <c r="AC30" s="41">
        <f>-115-AB30-AA30</f>
        <v>171</v>
      </c>
      <c r="AD30" s="21">
        <f t="shared" si="33"/>
        <v>83</v>
      </c>
      <c r="AE30" s="43">
        <v>-32</v>
      </c>
      <c r="AF30" s="41">
        <v>49</v>
      </c>
      <c r="AG30" s="41">
        <f>50-AF30</f>
        <v>1</v>
      </c>
      <c r="AH30" s="41">
        <f>42-AG30-AF30</f>
        <v>-8</v>
      </c>
      <c r="AI30" s="21">
        <f t="shared" si="34"/>
        <v>-58</v>
      </c>
      <c r="AJ30" s="43">
        <v>-16</v>
      </c>
      <c r="AK30" s="41">
        <v>-33</v>
      </c>
      <c r="AL30" s="41">
        <f>-151-AK30</f>
        <v>-118</v>
      </c>
      <c r="AM30" s="41">
        <f>-259-AL30-AK30</f>
        <v>-108</v>
      </c>
      <c r="AN30" s="21">
        <f t="shared" si="35"/>
        <v>54</v>
      </c>
      <c r="AO30" s="43">
        <v>-205</v>
      </c>
      <c r="AP30" s="41">
        <v>-13</v>
      </c>
      <c r="AQ30" s="41">
        <v>58</v>
      </c>
      <c r="AR30" s="41">
        <v>-63</v>
      </c>
      <c r="AS30" s="21">
        <f t="shared" si="36"/>
        <v>32</v>
      </c>
      <c r="AT30" s="43">
        <v>14</v>
      </c>
      <c r="AU30" s="41">
        <v>-1</v>
      </c>
      <c r="AV30" s="41">
        <v>-28</v>
      </c>
      <c r="AW30" s="41">
        <v>32</v>
      </c>
      <c r="AX30" s="21">
        <f t="shared" si="37"/>
        <v>-145</v>
      </c>
      <c r="AY30" s="43">
        <v>-142</v>
      </c>
      <c r="AZ30" s="41">
        <v>-47</v>
      </c>
      <c r="BA30" s="41">
        <v>192</v>
      </c>
      <c r="BB30" s="41">
        <v>42</v>
      </c>
      <c r="BC30" s="21">
        <f t="shared" si="38"/>
        <v>-69</v>
      </c>
      <c r="BD30" s="43">
        <v>118</v>
      </c>
      <c r="BE30" s="41">
        <v>72</v>
      </c>
      <c r="BF30" s="41">
        <v>-71</v>
      </c>
      <c r="BG30" s="41">
        <v>0</v>
      </c>
      <c r="BH30" s="21">
        <f t="shared" si="40"/>
        <v>0</v>
      </c>
      <c r="BI30" s="43">
        <v>1</v>
      </c>
    </row>
    <row r="31" spans="1:63">
      <c r="A31" s="1" t="s">
        <v>47</v>
      </c>
      <c r="B31" s="41"/>
      <c r="C31" s="41"/>
      <c r="D31" s="41"/>
      <c r="E31" s="21"/>
      <c r="F31" s="43"/>
      <c r="G31" s="41"/>
      <c r="H31" s="41"/>
      <c r="I31" s="41"/>
      <c r="J31" s="21"/>
      <c r="K31" s="43"/>
      <c r="L31" s="41"/>
      <c r="M31" s="41"/>
      <c r="N31" s="41"/>
      <c r="O31" s="21"/>
      <c r="P31" s="43"/>
      <c r="Q31" s="41"/>
      <c r="R31" s="41"/>
      <c r="S31" s="41"/>
      <c r="T31" s="21"/>
      <c r="U31" s="43"/>
      <c r="V31" s="41">
        <v>23</v>
      </c>
      <c r="W31" s="41">
        <f>-118-V31</f>
        <v>-141</v>
      </c>
      <c r="X31" s="41">
        <f>-200-W31-V31</f>
        <v>-82</v>
      </c>
      <c r="Y31" s="21">
        <f t="shared" si="32"/>
        <v>-65</v>
      </c>
      <c r="Z31" s="43">
        <v>-265</v>
      </c>
      <c r="AA31" s="41">
        <v>-61</v>
      </c>
      <c r="AB31" s="41">
        <f>-82-AA31</f>
        <v>-21</v>
      </c>
      <c r="AC31" s="41">
        <f>-70-AB31-AA31</f>
        <v>12</v>
      </c>
      <c r="AD31" s="21">
        <f t="shared" si="33"/>
        <v>-21</v>
      </c>
      <c r="AE31" s="43">
        <v>-91</v>
      </c>
      <c r="AF31" s="41">
        <v>-10</v>
      </c>
      <c r="AG31" s="41">
        <f>30-AF31</f>
        <v>40</v>
      </c>
      <c r="AH31" s="41">
        <f>45-AG31-AF31</f>
        <v>15</v>
      </c>
      <c r="AI31" s="21">
        <f t="shared" si="34"/>
        <v>-20</v>
      </c>
      <c r="AJ31" s="43">
        <v>25</v>
      </c>
      <c r="AK31" s="41">
        <v>-12</v>
      </c>
      <c r="AL31" s="41">
        <f>-57-AK31</f>
        <v>-45</v>
      </c>
      <c r="AM31" s="41">
        <f>-83-AL31-AK31</f>
        <v>-26</v>
      </c>
      <c r="AN31" s="21">
        <f t="shared" si="35"/>
        <v>177</v>
      </c>
      <c r="AO31" s="43">
        <v>94</v>
      </c>
      <c r="AP31" s="41">
        <v>80</v>
      </c>
      <c r="AQ31" s="41">
        <v>-9</v>
      </c>
      <c r="AR31" s="41">
        <v>-15</v>
      </c>
      <c r="AS31" s="21">
        <f t="shared" si="36"/>
        <v>-44</v>
      </c>
      <c r="AT31" s="43">
        <v>12</v>
      </c>
      <c r="AU31" s="41">
        <v>41</v>
      </c>
      <c r="AV31" s="41">
        <v>-13</v>
      </c>
      <c r="AW31" s="41">
        <v>-66</v>
      </c>
      <c r="AX31" s="21">
        <f t="shared" si="37"/>
        <v>87</v>
      </c>
      <c r="AY31" s="43">
        <v>49</v>
      </c>
      <c r="AZ31" s="41">
        <v>-14</v>
      </c>
      <c r="BA31" s="41">
        <v>-49</v>
      </c>
      <c r="BB31" s="41">
        <v>-24</v>
      </c>
      <c r="BC31" s="21">
        <f t="shared" si="38"/>
        <v>-36</v>
      </c>
      <c r="BD31" s="43">
        <v>-123</v>
      </c>
      <c r="BE31" s="41">
        <v>-36</v>
      </c>
      <c r="BF31" s="41">
        <v>-146</v>
      </c>
      <c r="BG31" s="41">
        <v>0</v>
      </c>
      <c r="BH31" s="21">
        <f t="shared" si="40"/>
        <v>0</v>
      </c>
      <c r="BI31" s="43">
        <v>-182</v>
      </c>
    </row>
    <row r="32" spans="1:63">
      <c r="A32" s="8" t="s">
        <v>80</v>
      </c>
      <c r="B32" s="23"/>
      <c r="C32" s="23"/>
      <c r="D32" s="23"/>
      <c r="E32" s="23"/>
      <c r="F32" s="24"/>
      <c r="G32" s="23"/>
      <c r="H32" s="23"/>
      <c r="I32" s="23"/>
      <c r="J32" s="23"/>
      <c r="K32" s="24"/>
      <c r="L32" s="23"/>
      <c r="M32" s="23"/>
      <c r="N32" s="23"/>
      <c r="O32" s="23"/>
      <c r="P32" s="24"/>
      <c r="Q32" s="23"/>
      <c r="R32" s="23"/>
      <c r="S32" s="23"/>
      <c r="T32" s="23"/>
      <c r="U32" s="24"/>
      <c r="V32" s="23">
        <f>+SUM(V24:V31)</f>
        <v>-394</v>
      </c>
      <c r="W32" s="23">
        <f>+SUM(W24:W31)</f>
        <v>-709</v>
      </c>
      <c r="X32" s="23">
        <f>+SUM(X24:X31)</f>
        <v>-629</v>
      </c>
      <c r="Y32" s="23">
        <f t="shared" si="32"/>
        <v>-944</v>
      </c>
      <c r="Z32" s="24">
        <f>+SUM(Z24:Z31)</f>
        <v>-2676</v>
      </c>
      <c r="AA32" s="23">
        <f>+SUM(AA24:AA31)</f>
        <v>-1283</v>
      </c>
      <c r="AB32" s="23">
        <f>+SUM(AB24:AB31)</f>
        <v>3339</v>
      </c>
      <c r="AC32" s="23">
        <f>+SUM(AC24:AC31)</f>
        <v>2096</v>
      </c>
      <c r="AD32" s="23">
        <f t="shared" si="33"/>
        <v>-809</v>
      </c>
      <c r="AE32" s="24">
        <f>+SUM(AE24:AE31)</f>
        <v>3343</v>
      </c>
      <c r="AF32" s="23">
        <f>+SUM(AF24:AF31)</f>
        <v>582</v>
      </c>
      <c r="AG32" s="23">
        <f>+SUM(AG24:AG31)</f>
        <v>-343</v>
      </c>
      <c r="AH32" s="23">
        <f>+SUM(AH24:AH31)</f>
        <v>-378</v>
      </c>
      <c r="AI32" s="23">
        <f t="shared" si="34"/>
        <v>-1225</v>
      </c>
      <c r="AJ32" s="24">
        <f>+SUM(AJ24:AJ31)</f>
        <v>-1364</v>
      </c>
      <c r="AK32" s="23">
        <f>+SUM(AK24:AK31)</f>
        <v>-518</v>
      </c>
      <c r="AL32" s="23">
        <f>+SUM(AL24:AL31)</f>
        <v>-618</v>
      </c>
      <c r="AM32" s="23">
        <f>+SUM(AM24:AM31)</f>
        <v>-755</v>
      </c>
      <c r="AN32" s="23">
        <f t="shared" si="35"/>
        <v>-938</v>
      </c>
      <c r="AO32" s="24">
        <f>+SUM(AO24:AO31)</f>
        <v>-2829</v>
      </c>
      <c r="AP32" s="23">
        <f>+SUM(AP24:AP31)</f>
        <v>-579</v>
      </c>
      <c r="AQ32" s="23">
        <f>+SUM(AQ24:AQ31)</f>
        <v>-623</v>
      </c>
      <c r="AR32" s="23">
        <f>+SUM(AR24:AR31)</f>
        <v>-859</v>
      </c>
      <c r="AS32" s="23">
        <f t="shared" si="36"/>
        <v>-978</v>
      </c>
      <c r="AT32" s="24">
        <f>+SUM(AT24:AT31)</f>
        <v>-3039</v>
      </c>
      <c r="AU32" s="23">
        <f>+SUM(AU24:AU31)</f>
        <v>693</v>
      </c>
      <c r="AV32" s="23">
        <f>+SUM(AV24:AV31)</f>
        <v>-733</v>
      </c>
      <c r="AW32" s="23">
        <f>+SUM(AW24:AW31)</f>
        <v>-715</v>
      </c>
      <c r="AX32" s="23">
        <f t="shared" si="37"/>
        <v>-779</v>
      </c>
      <c r="AY32" s="24">
        <f>+SUM(AY24:AY31)</f>
        <v>-1534</v>
      </c>
      <c r="AZ32" s="23">
        <f>+SUM(AZ24:AZ31)</f>
        <v>-678</v>
      </c>
      <c r="BA32" s="23">
        <f>+SUM(BA24:BA31)</f>
        <v>-509</v>
      </c>
      <c r="BB32" s="23">
        <f>+SUM(BB24:BB31)</f>
        <v>471</v>
      </c>
      <c r="BC32" s="23">
        <f t="shared" si="38"/>
        <v>-549</v>
      </c>
      <c r="BD32" s="24">
        <f>+SUM(BD24:BD31)</f>
        <v>-1265</v>
      </c>
      <c r="BE32" s="23">
        <f>+SUM(BE24:BE31)</f>
        <v>-608</v>
      </c>
      <c r="BF32" s="23">
        <f t="shared" ref="BF32:BG32" si="41">+SUM(BF24:BF31)</f>
        <v>-944</v>
      </c>
      <c r="BG32" s="23">
        <f t="shared" si="41"/>
        <v>-779.12591250000003</v>
      </c>
      <c r="BH32" s="23">
        <f t="shared" ref="BH32" si="42">+SUM(BH24:BH31)</f>
        <v>-505.6780149999995</v>
      </c>
      <c r="BI32" s="24">
        <f>+SUM(BI24:BI31)</f>
        <v>-2836.8039274999996</v>
      </c>
    </row>
    <row r="33" spans="1:61">
      <c r="B33" s="21"/>
      <c r="C33" s="21"/>
      <c r="D33" s="21"/>
      <c r="E33" s="21"/>
      <c r="F33" s="22"/>
      <c r="G33" s="21"/>
      <c r="H33" s="21"/>
      <c r="I33" s="21"/>
      <c r="J33" s="21"/>
      <c r="K33" s="22"/>
      <c r="L33" s="21"/>
      <c r="M33" s="21"/>
      <c r="N33" s="21"/>
      <c r="O33" s="21"/>
      <c r="P33" s="22"/>
      <c r="Q33" s="21"/>
      <c r="R33" s="21"/>
      <c r="S33" s="21"/>
      <c r="T33" s="21"/>
      <c r="U33" s="22"/>
      <c r="V33" s="21"/>
      <c r="W33" s="21"/>
      <c r="X33" s="21"/>
      <c r="Y33" s="21"/>
      <c r="Z33" s="22"/>
      <c r="AA33" s="21"/>
      <c r="AB33" s="21"/>
      <c r="AC33" s="21"/>
      <c r="AD33" s="21"/>
      <c r="AE33" s="22"/>
      <c r="AF33" s="21"/>
      <c r="AG33" s="21"/>
      <c r="AH33" s="21"/>
      <c r="AI33" s="21"/>
      <c r="AJ33" s="22"/>
      <c r="AK33" s="21"/>
      <c r="AL33" s="21"/>
      <c r="AM33" s="21"/>
      <c r="AN33" s="21"/>
      <c r="AO33" s="22"/>
      <c r="AP33" s="21"/>
      <c r="AQ33" s="21"/>
      <c r="AR33" s="21"/>
      <c r="AS33" s="21"/>
      <c r="AT33" s="22"/>
      <c r="AU33" s="21"/>
      <c r="AV33" s="21"/>
      <c r="AW33" s="21"/>
      <c r="AX33" s="21"/>
      <c r="AY33" s="22"/>
      <c r="AZ33" s="21"/>
      <c r="BA33" s="21"/>
      <c r="BB33" s="21"/>
      <c r="BC33" s="21"/>
      <c r="BD33" s="22"/>
      <c r="BE33" s="21"/>
      <c r="BF33" s="21"/>
      <c r="BG33" s="21"/>
      <c r="BH33" s="21"/>
      <c r="BI33" s="22"/>
    </row>
    <row r="34" spans="1:61">
      <c r="A34" s="13" t="s">
        <v>81</v>
      </c>
      <c r="B34" s="21"/>
      <c r="C34" s="21"/>
      <c r="D34" s="21"/>
      <c r="E34" s="21"/>
      <c r="F34" s="22"/>
      <c r="G34" s="21"/>
      <c r="H34" s="21"/>
      <c r="I34" s="21"/>
      <c r="J34" s="21"/>
      <c r="K34" s="22"/>
      <c r="L34" s="21"/>
      <c r="M34" s="21"/>
      <c r="N34" s="21"/>
      <c r="O34" s="21"/>
      <c r="P34" s="22"/>
      <c r="Q34" s="21"/>
      <c r="R34" s="21"/>
      <c r="S34" s="21"/>
      <c r="T34" s="21"/>
      <c r="U34" s="22"/>
      <c r="V34" s="21"/>
      <c r="W34" s="21"/>
      <c r="X34" s="21"/>
      <c r="Y34" s="21"/>
      <c r="Z34" s="22"/>
      <c r="AA34" s="21"/>
      <c r="AB34" s="21"/>
      <c r="AC34" s="21"/>
      <c r="AD34" s="21"/>
      <c r="AE34" s="22"/>
      <c r="AF34" s="21"/>
      <c r="AG34" s="21"/>
      <c r="AH34" s="21"/>
      <c r="AI34" s="21"/>
      <c r="AJ34" s="22"/>
      <c r="AK34" s="21"/>
      <c r="AL34" s="21"/>
      <c r="AM34" s="21"/>
      <c r="AN34" s="21"/>
      <c r="AO34" s="22"/>
      <c r="AP34" s="21"/>
      <c r="AQ34" s="21"/>
      <c r="AR34" s="21"/>
      <c r="AS34" s="21"/>
      <c r="AT34" s="22"/>
      <c r="AU34" s="21"/>
      <c r="AV34" s="21"/>
      <c r="AW34" s="21"/>
      <c r="AX34" s="21"/>
      <c r="AY34" s="22"/>
      <c r="AZ34" s="21"/>
      <c r="BA34" s="21"/>
      <c r="BB34" s="21"/>
      <c r="BC34" s="21"/>
      <c r="BD34" s="22"/>
      <c r="BE34" s="21"/>
      <c r="BF34" s="21"/>
      <c r="BG34" s="21"/>
      <c r="BH34" s="21"/>
      <c r="BI34" s="22"/>
    </row>
    <row r="35" spans="1:61">
      <c r="A35" s="1" t="s">
        <v>206</v>
      </c>
      <c r="B35" s="41"/>
      <c r="C35" s="41"/>
      <c r="D35" s="41"/>
      <c r="E35" s="21"/>
      <c r="F35" s="43"/>
      <c r="G35" s="41"/>
      <c r="H35" s="41"/>
      <c r="I35" s="41"/>
      <c r="J35" s="21"/>
      <c r="K35" s="43"/>
      <c r="L35" s="41"/>
      <c r="M35" s="41"/>
      <c r="N35" s="41"/>
      <c r="O35" s="21"/>
      <c r="P35" s="43"/>
      <c r="Q35" s="41"/>
      <c r="R35" s="41"/>
      <c r="S35" s="41"/>
      <c r="T35" s="21"/>
      <c r="U35" s="43"/>
      <c r="V35" s="41">
        <v>32</v>
      </c>
      <c r="W35" s="41">
        <f>2-V35</f>
        <v>-30</v>
      </c>
      <c r="X35" s="41">
        <f>2-W35-V35</f>
        <v>0</v>
      </c>
      <c r="Y35" s="21">
        <f t="shared" ref="Y35:Y40" si="43">+Z35-SUM(V35:X35)</f>
        <v>-21</v>
      </c>
      <c r="Z35" s="43">
        <v>-19</v>
      </c>
      <c r="AA35" s="41">
        <v>17207</v>
      </c>
      <c r="AB35" s="41">
        <f>1984-AA35</f>
        <v>-15223</v>
      </c>
      <c r="AC35" s="41">
        <f>1999-AB35-AA35</f>
        <v>15</v>
      </c>
      <c r="AD35" s="21">
        <f t="shared" ref="AD35:AD40" si="44">+AE35-SUM(AA35:AC35)</f>
        <v>5</v>
      </c>
      <c r="AE35" s="43">
        <v>2004</v>
      </c>
      <c r="AF35" s="41">
        <v>0</v>
      </c>
      <c r="AG35" s="41">
        <f>0-AF35</f>
        <v>0</v>
      </c>
      <c r="AH35" s="41">
        <f>1981-AG35-AF35</f>
        <v>1981</v>
      </c>
      <c r="AI35" s="21">
        <f t="shared" ref="AI35:AI40" si="45">+AJ35-SUM(AF35:AH35)</f>
        <v>2081</v>
      </c>
      <c r="AJ35" s="43">
        <v>4062</v>
      </c>
      <c r="AK35" s="41">
        <v>0</v>
      </c>
      <c r="AL35" s="41">
        <f>0-AK35</f>
        <v>0</v>
      </c>
      <c r="AM35" s="41">
        <f>0-AL35-AK35</f>
        <v>0</v>
      </c>
      <c r="AN35" s="21">
        <f t="shared" ref="AN35:AN40" si="46">+AO35-SUM(AK35:AM35)</f>
        <v>1</v>
      </c>
      <c r="AO35" s="43">
        <v>1</v>
      </c>
      <c r="AP35" s="41">
        <v>2971</v>
      </c>
      <c r="AQ35" s="41">
        <v>3</v>
      </c>
      <c r="AR35" s="41">
        <v>0</v>
      </c>
      <c r="AS35" s="21">
        <f t="shared" ref="AS35:AS40" si="47">+AT35-SUM(AP35:AR35)</f>
        <v>9940</v>
      </c>
      <c r="AT35" s="43">
        <v>12914</v>
      </c>
      <c r="AU35" s="41">
        <v>0</v>
      </c>
      <c r="AV35" s="41">
        <v>0</v>
      </c>
      <c r="AW35" s="41">
        <v>0</v>
      </c>
      <c r="AX35" s="21">
        <f t="shared" ref="AX35:AX40" si="48">+AY35-SUM(AU35:AW35)</f>
        <v>0</v>
      </c>
      <c r="AY35" s="43">
        <v>0</v>
      </c>
      <c r="AZ35" s="41">
        <v>0</v>
      </c>
      <c r="BA35" s="41">
        <v>1432</v>
      </c>
      <c r="BB35" s="41">
        <v>0</v>
      </c>
      <c r="BC35" s="21">
        <f t="shared" ref="BC35:BC40" si="49">+BD35-SUM(AZ35:BB35)</f>
        <v>-1432</v>
      </c>
      <c r="BD35" s="43">
        <v>0</v>
      </c>
      <c r="BE35" s="41">
        <v>0</v>
      </c>
      <c r="BF35" s="41">
        <v>0</v>
      </c>
      <c r="BG35" s="37">
        <f>Debt_Qtr!BG67</f>
        <v>0</v>
      </c>
      <c r="BH35" s="37">
        <f>Debt_Qtr!BH67</f>
        <v>0</v>
      </c>
      <c r="BI35" s="22">
        <f t="shared" ref="BI35" si="50">SUM(BE35:BH35)</f>
        <v>0</v>
      </c>
    </row>
    <row r="36" spans="1:61">
      <c r="A36" s="1" t="s">
        <v>279</v>
      </c>
      <c r="B36" s="41"/>
      <c r="C36" s="41"/>
      <c r="D36" s="41"/>
      <c r="E36" s="21"/>
      <c r="F36" s="43"/>
      <c r="G36" s="41"/>
      <c r="H36" s="41"/>
      <c r="I36" s="41"/>
      <c r="J36" s="21"/>
      <c r="K36" s="43"/>
      <c r="L36" s="41"/>
      <c r="M36" s="41"/>
      <c r="N36" s="41"/>
      <c r="O36" s="21"/>
      <c r="P36" s="43"/>
      <c r="Q36" s="41"/>
      <c r="R36" s="41"/>
      <c r="S36" s="41"/>
      <c r="T36" s="21"/>
      <c r="U36" s="43"/>
      <c r="V36" s="41">
        <f>0-W36</f>
        <v>0</v>
      </c>
      <c r="W36" s="41">
        <v>0</v>
      </c>
      <c r="X36" s="41">
        <v>0</v>
      </c>
      <c r="Y36" s="21">
        <f t="shared" si="43"/>
        <v>0</v>
      </c>
      <c r="Z36" s="43">
        <v>0</v>
      </c>
      <c r="AA36" s="41">
        <v>0</v>
      </c>
      <c r="AB36" s="41">
        <f>17207-AA36</f>
        <v>17207</v>
      </c>
      <c r="AC36" s="41">
        <f>17207-AB36-AA36</f>
        <v>0</v>
      </c>
      <c r="AD36" s="21">
        <f t="shared" si="44"/>
        <v>0</v>
      </c>
      <c r="AE36" s="43">
        <v>17207</v>
      </c>
      <c r="AF36" s="41">
        <v>0</v>
      </c>
      <c r="AG36" s="41">
        <f>0-AF36</f>
        <v>0</v>
      </c>
      <c r="AH36" s="41">
        <f>0-AG36-AF36</f>
        <v>0</v>
      </c>
      <c r="AI36" s="21">
        <f t="shared" si="45"/>
        <v>0</v>
      </c>
      <c r="AJ36" s="43">
        <v>0</v>
      </c>
      <c r="AK36" s="41">
        <v>0</v>
      </c>
      <c r="AL36" s="41">
        <f>0-AK36</f>
        <v>0</v>
      </c>
      <c r="AM36" s="41">
        <f>0-AL36-AK36</f>
        <v>0</v>
      </c>
      <c r="AN36" s="21">
        <f t="shared" si="46"/>
        <v>0</v>
      </c>
      <c r="AO36" s="43">
        <v>0</v>
      </c>
      <c r="AP36" s="41">
        <v>0</v>
      </c>
      <c r="AQ36" s="41">
        <v>0</v>
      </c>
      <c r="AR36" s="41">
        <f>0-AQ36-AP36</f>
        <v>0</v>
      </c>
      <c r="AS36" s="21">
        <f t="shared" si="47"/>
        <v>0</v>
      </c>
      <c r="AT36" s="43">
        <v>0</v>
      </c>
      <c r="AU36" s="41">
        <v>0</v>
      </c>
      <c r="AV36" s="41">
        <v>0</v>
      </c>
      <c r="AW36" s="41">
        <v>0</v>
      </c>
      <c r="AX36" s="21">
        <f t="shared" si="48"/>
        <v>0</v>
      </c>
      <c r="AY36" s="43">
        <v>0</v>
      </c>
      <c r="AZ36" s="41">
        <v>0</v>
      </c>
      <c r="BA36" s="41">
        <v>0</v>
      </c>
      <c r="BB36" s="41">
        <v>0</v>
      </c>
      <c r="BC36" s="21">
        <f t="shared" si="49"/>
        <v>0</v>
      </c>
      <c r="BD36" s="43">
        <v>0</v>
      </c>
      <c r="BE36" s="41">
        <v>0</v>
      </c>
      <c r="BF36" s="41">
        <v>0</v>
      </c>
      <c r="BG36" s="41">
        <v>0</v>
      </c>
      <c r="BH36" s="21">
        <f t="shared" ref="BH36" si="51">BI36-SUM(BE36:BG36)</f>
        <v>0</v>
      </c>
      <c r="BI36" s="43">
        <v>0</v>
      </c>
    </row>
    <row r="37" spans="1:61">
      <c r="A37" s="187" t="s">
        <v>232</v>
      </c>
      <c r="B37" s="41"/>
      <c r="C37" s="41"/>
      <c r="D37" s="41"/>
      <c r="E37" s="21"/>
      <c r="F37" s="43"/>
      <c r="G37" s="41"/>
      <c r="H37" s="41"/>
      <c r="I37" s="41"/>
      <c r="J37" s="21"/>
      <c r="K37" s="43"/>
      <c r="L37" s="41"/>
      <c r="M37" s="41"/>
      <c r="N37" s="41"/>
      <c r="O37" s="21"/>
      <c r="P37" s="43"/>
      <c r="Q37" s="41"/>
      <c r="R37" s="41"/>
      <c r="S37" s="41"/>
      <c r="T37" s="21"/>
      <c r="U37" s="43"/>
      <c r="V37" s="41">
        <v>-26</v>
      </c>
      <c r="W37" s="41">
        <f>-13-V37</f>
        <v>13</v>
      </c>
      <c r="X37" s="41">
        <f>-612-W37-V37</f>
        <v>-599</v>
      </c>
      <c r="Y37" s="21">
        <f t="shared" si="43"/>
        <v>-2081</v>
      </c>
      <c r="Z37" s="43">
        <v>-2693</v>
      </c>
      <c r="AA37" s="41">
        <v>-13836</v>
      </c>
      <c r="AB37" s="41">
        <f>-15038-AA37</f>
        <v>-1202</v>
      </c>
      <c r="AC37" s="41">
        <f>-15052-AB37-AA37</f>
        <v>-14</v>
      </c>
      <c r="AD37" s="21">
        <f t="shared" si="44"/>
        <v>-1030</v>
      </c>
      <c r="AE37" s="43">
        <v>-16082</v>
      </c>
      <c r="AF37" s="41">
        <v>-286</v>
      </c>
      <c r="AG37" s="41">
        <f>-307-AF37</f>
        <v>-21</v>
      </c>
      <c r="AH37" s="41">
        <f>-2547-AG37-AF37</f>
        <v>-2240</v>
      </c>
      <c r="AI37" s="21">
        <f t="shared" si="45"/>
        <v>-1707</v>
      </c>
      <c r="AJ37" s="43">
        <v>-4254</v>
      </c>
      <c r="AK37" s="41">
        <v>0</v>
      </c>
      <c r="AL37" s="41">
        <f>-2-AK37</f>
        <v>-2</v>
      </c>
      <c r="AM37" s="41">
        <f>-2-AL37-AK37</f>
        <v>0</v>
      </c>
      <c r="AN37" s="21">
        <f t="shared" si="46"/>
        <v>-1</v>
      </c>
      <c r="AO37" s="43">
        <v>-3</v>
      </c>
      <c r="AP37" s="41">
        <v>0</v>
      </c>
      <c r="AQ37" s="41">
        <v>-3</v>
      </c>
      <c r="AR37" s="41">
        <v>-172</v>
      </c>
      <c r="AS37" s="21">
        <f t="shared" si="47"/>
        <v>-403</v>
      </c>
      <c r="AT37" s="43">
        <v>-578</v>
      </c>
      <c r="AU37" s="41">
        <v>-950</v>
      </c>
      <c r="AV37" s="41">
        <v>-750</v>
      </c>
      <c r="AW37" s="41">
        <v>0</v>
      </c>
      <c r="AX37" s="21">
        <f t="shared" si="48"/>
        <v>-800</v>
      </c>
      <c r="AY37" s="43">
        <v>-2500</v>
      </c>
      <c r="AZ37" s="41">
        <v>-9</v>
      </c>
      <c r="BA37" s="41">
        <v>-780</v>
      </c>
      <c r="BB37" s="41">
        <f>-1500-1432</f>
        <v>-2932</v>
      </c>
      <c r="BC37" s="21">
        <f t="shared" si="49"/>
        <v>292</v>
      </c>
      <c r="BD37" s="43">
        <v>-3429</v>
      </c>
      <c r="BE37" s="41">
        <v>-500</v>
      </c>
      <c r="BF37" s="41">
        <v>-24</v>
      </c>
      <c r="BG37" s="37">
        <f>Debt_Qtr!BG68</f>
        <v>0</v>
      </c>
      <c r="BH37" s="37">
        <f>Debt_Qtr!BH68</f>
        <v>-2869</v>
      </c>
      <c r="BI37" s="22">
        <f t="shared" ref="BI37:BI38" si="52">SUM(BE37:BH37)</f>
        <v>-3393</v>
      </c>
    </row>
    <row r="38" spans="1:61">
      <c r="A38" s="1" t="s">
        <v>281</v>
      </c>
      <c r="B38" s="41"/>
      <c r="C38" s="41"/>
      <c r="D38" s="41"/>
      <c r="E38" s="21"/>
      <c r="F38" s="43"/>
      <c r="G38" s="41"/>
      <c r="H38" s="41"/>
      <c r="I38" s="41"/>
      <c r="J38" s="21"/>
      <c r="K38" s="43"/>
      <c r="L38" s="41"/>
      <c r="M38" s="41"/>
      <c r="N38" s="41"/>
      <c r="O38" s="21"/>
      <c r="P38" s="43"/>
      <c r="Q38" s="41"/>
      <c r="R38" s="41"/>
      <c r="S38" s="41"/>
      <c r="T38" s="21"/>
      <c r="U38" s="43"/>
      <c r="V38" s="41">
        <v>-349</v>
      </c>
      <c r="W38" s="41">
        <f>-388-V38</f>
        <v>-39</v>
      </c>
      <c r="X38" s="41">
        <f>-165-W38-V38</f>
        <v>223</v>
      </c>
      <c r="Y38" s="21">
        <f t="shared" si="43"/>
        <v>1061</v>
      </c>
      <c r="Z38" s="43">
        <v>896</v>
      </c>
      <c r="AA38" s="41">
        <v>-626</v>
      </c>
      <c r="AB38" s="41">
        <f>-2045-AA38</f>
        <v>-1419</v>
      </c>
      <c r="AC38" s="41">
        <f>-2060-AB38-AA38</f>
        <v>-15</v>
      </c>
      <c r="AD38" s="21">
        <f t="shared" si="44"/>
        <v>19</v>
      </c>
      <c r="AE38" s="43">
        <v>-2041</v>
      </c>
      <c r="AF38" s="41">
        <v>-13</v>
      </c>
      <c r="AG38" s="41">
        <f>-51-AF38</f>
        <v>-38</v>
      </c>
      <c r="AH38" s="41">
        <f>-41-AG38-AF38</f>
        <v>10</v>
      </c>
      <c r="AI38" s="21">
        <f t="shared" si="45"/>
        <v>-72</v>
      </c>
      <c r="AJ38" s="43">
        <v>-113</v>
      </c>
      <c r="AK38" s="41">
        <v>6</v>
      </c>
      <c r="AL38" s="41">
        <f>-17-AK38</f>
        <v>-23</v>
      </c>
      <c r="AM38" s="41">
        <f>-14-AL38-AK38</f>
        <v>3</v>
      </c>
      <c r="AN38" s="21">
        <f t="shared" si="46"/>
        <v>-15</v>
      </c>
      <c r="AO38" s="43">
        <v>-29</v>
      </c>
      <c r="AP38" s="41">
        <v>22</v>
      </c>
      <c r="AQ38" s="41">
        <v>-46</v>
      </c>
      <c r="AR38" s="41">
        <v>92</v>
      </c>
      <c r="AS38" s="21">
        <f t="shared" si="47"/>
        <v>19</v>
      </c>
      <c r="AT38" s="43">
        <v>87</v>
      </c>
      <c r="AU38" s="41">
        <v>-22</v>
      </c>
      <c r="AV38" s="41">
        <v>65</v>
      </c>
      <c r="AW38" s="41">
        <v>-12</v>
      </c>
      <c r="AX38" s="21">
        <f t="shared" si="48"/>
        <v>-35</v>
      </c>
      <c r="AY38" s="43">
        <v>-4</v>
      </c>
      <c r="AZ38" s="41">
        <v>28</v>
      </c>
      <c r="BA38" s="41">
        <v>-10</v>
      </c>
      <c r="BB38" s="41">
        <v>-12</v>
      </c>
      <c r="BC38" s="21">
        <f t="shared" si="49"/>
        <v>-6</v>
      </c>
      <c r="BD38" s="43">
        <v>0</v>
      </c>
      <c r="BE38" s="41">
        <v>0</v>
      </c>
      <c r="BF38" s="41">
        <v>0</v>
      </c>
      <c r="BG38" s="42">
        <f>SUM(Balance_Sheet_Qtr!BG33,Balance_Sheet_Qtr!BG28)-SUM(Balance_Sheet_Qtr!BF28,Balance_Sheet_Qtr!BF33)</f>
        <v>0</v>
      </c>
      <c r="BH38" s="42">
        <f>SUM(Balance_Sheet_Qtr!BH33,Balance_Sheet_Qtr!BH28)-SUM(Balance_Sheet_Qtr!BG28,Balance_Sheet_Qtr!BG33)</f>
        <v>0</v>
      </c>
      <c r="BI38" s="22">
        <f t="shared" si="52"/>
        <v>0</v>
      </c>
    </row>
    <row r="39" spans="1:61">
      <c r="A39" s="1" t="s">
        <v>282</v>
      </c>
      <c r="B39" s="41"/>
      <c r="C39" s="41"/>
      <c r="D39" s="41"/>
      <c r="E39" s="21"/>
      <c r="F39" s="43"/>
      <c r="G39" s="41"/>
      <c r="H39" s="41"/>
      <c r="I39" s="41"/>
      <c r="J39" s="21"/>
      <c r="K39" s="43"/>
      <c r="L39" s="41"/>
      <c r="M39" s="41"/>
      <c r="N39" s="41"/>
      <c r="O39" s="21"/>
      <c r="P39" s="43"/>
      <c r="Q39" s="41"/>
      <c r="R39" s="41"/>
      <c r="S39" s="41"/>
      <c r="T39" s="21"/>
      <c r="U39" s="43"/>
      <c r="V39" s="41">
        <v>5</v>
      </c>
      <c r="W39" s="41">
        <f>11-V39</f>
        <v>6</v>
      </c>
      <c r="X39" s="41">
        <f>14-W39-V39</f>
        <v>3</v>
      </c>
      <c r="Y39" s="21">
        <f t="shared" si="43"/>
        <v>13</v>
      </c>
      <c r="Z39" s="43">
        <v>27</v>
      </c>
      <c r="AA39" s="41">
        <v>6</v>
      </c>
      <c r="AB39" s="41">
        <f>10-AA39</f>
        <v>4</v>
      </c>
      <c r="AC39" s="41">
        <f>6-AB39-AA39</f>
        <v>-4</v>
      </c>
      <c r="AD39" s="21">
        <f t="shared" si="44"/>
        <v>9</v>
      </c>
      <c r="AE39" s="43">
        <v>15</v>
      </c>
      <c r="AF39" s="41">
        <v>1</v>
      </c>
      <c r="AG39" s="41">
        <f>2-AF39</f>
        <v>1</v>
      </c>
      <c r="AH39" s="41">
        <f>3-AG39-AF39</f>
        <v>1</v>
      </c>
      <c r="AI39" s="21">
        <f t="shared" si="45"/>
        <v>4</v>
      </c>
      <c r="AJ39" s="43">
        <v>7</v>
      </c>
      <c r="AK39" s="41">
        <v>0</v>
      </c>
      <c r="AL39" s="41">
        <f>0-AK39</f>
        <v>0</v>
      </c>
      <c r="AM39" s="41">
        <f>0-AL39-AK39</f>
        <v>0</v>
      </c>
      <c r="AN39" s="21">
        <f t="shared" si="46"/>
        <v>0</v>
      </c>
      <c r="AO39" s="43">
        <v>0</v>
      </c>
      <c r="AP39" s="41">
        <v>0</v>
      </c>
      <c r="AQ39" s="41">
        <f>0-AP39</f>
        <v>0</v>
      </c>
      <c r="AR39" s="41">
        <f>0-AQ39-AP39</f>
        <v>0</v>
      </c>
      <c r="AS39" s="21">
        <f t="shared" si="47"/>
        <v>0</v>
      </c>
      <c r="AT39" s="43">
        <v>0</v>
      </c>
      <c r="AU39" s="41">
        <v>0</v>
      </c>
      <c r="AV39" s="41">
        <v>0</v>
      </c>
      <c r="AW39" s="41">
        <v>0</v>
      </c>
      <c r="AX39" s="21">
        <f t="shared" si="48"/>
        <v>0</v>
      </c>
      <c r="AY39" s="43">
        <v>0</v>
      </c>
      <c r="AZ39" s="41">
        <v>0</v>
      </c>
      <c r="BA39" s="41">
        <v>0</v>
      </c>
      <c r="BB39" s="41">
        <v>0</v>
      </c>
      <c r="BC39" s="21">
        <f t="shared" si="49"/>
        <v>0</v>
      </c>
      <c r="BD39" s="43">
        <v>0</v>
      </c>
      <c r="BE39" s="41">
        <v>0</v>
      </c>
      <c r="BF39" s="41">
        <v>0</v>
      </c>
      <c r="BG39" s="41">
        <v>0</v>
      </c>
      <c r="BH39" s="21">
        <f t="shared" ref="BH39" si="53">BI39-SUM(BE39:BG39)</f>
        <v>0</v>
      </c>
      <c r="BI39" s="43">
        <v>0</v>
      </c>
    </row>
    <row r="40" spans="1:61">
      <c r="A40" s="1" t="s">
        <v>283</v>
      </c>
      <c r="B40" s="41"/>
      <c r="C40" s="41"/>
      <c r="D40" s="41"/>
      <c r="E40" s="21"/>
      <c r="F40" s="43"/>
      <c r="G40" s="41"/>
      <c r="H40" s="41"/>
      <c r="I40" s="41"/>
      <c r="J40" s="21"/>
      <c r="K40" s="43"/>
      <c r="L40" s="41"/>
      <c r="M40" s="41"/>
      <c r="N40" s="41"/>
      <c r="O40" s="21"/>
      <c r="P40" s="43"/>
      <c r="Q40" s="41"/>
      <c r="R40" s="41"/>
      <c r="S40" s="41"/>
      <c r="T40" s="21"/>
      <c r="U40" s="43"/>
      <c r="V40" s="41">
        <v>-609</v>
      </c>
      <c r="W40" s="41">
        <f>-1219-V40</f>
        <v>-610</v>
      </c>
      <c r="X40" s="41">
        <f>-1830-W40-V40</f>
        <v>-611</v>
      </c>
      <c r="Y40" s="21">
        <f t="shared" si="43"/>
        <v>-612</v>
      </c>
      <c r="Z40" s="43">
        <v>-2442</v>
      </c>
      <c r="AA40" s="41">
        <v>-614</v>
      </c>
      <c r="AB40" s="41">
        <f>-1338-AA40</f>
        <v>-724</v>
      </c>
      <c r="AC40" s="41">
        <f>-2026-AB40-AA40</f>
        <v>-688</v>
      </c>
      <c r="AD40" s="21">
        <f t="shared" si="44"/>
        <v>-706</v>
      </c>
      <c r="AE40" s="43">
        <v>-2732</v>
      </c>
      <c r="AF40" s="41">
        <v>-705</v>
      </c>
      <c r="AG40" s="41">
        <f>-1461-AF40</f>
        <v>-756</v>
      </c>
      <c r="AH40" s="41">
        <f>-2212-AG40-AF40</f>
        <v>-751</v>
      </c>
      <c r="AI40" s="21">
        <f t="shared" si="45"/>
        <v>-745</v>
      </c>
      <c r="AJ40" s="43">
        <v>-2957</v>
      </c>
      <c r="AK40" s="41">
        <v>-745</v>
      </c>
      <c r="AL40" s="41">
        <f>-1543-AK40</f>
        <v>-798</v>
      </c>
      <c r="AM40" s="41">
        <f>-2337-AL40-AK40</f>
        <v>-794</v>
      </c>
      <c r="AN40" s="21">
        <f t="shared" si="46"/>
        <v>-791</v>
      </c>
      <c r="AO40" s="43">
        <v>-3128</v>
      </c>
      <c r="AP40" s="41">
        <v>-790</v>
      </c>
      <c r="AQ40" s="41">
        <v>-844</v>
      </c>
      <c r="AR40" s="41">
        <v>-838</v>
      </c>
      <c r="AS40" s="21">
        <f t="shared" si="47"/>
        <v>-767</v>
      </c>
      <c r="AT40" s="43">
        <v>-3239</v>
      </c>
      <c r="AU40" s="41">
        <v>-769</v>
      </c>
      <c r="AV40" s="41">
        <v>-823</v>
      </c>
      <c r="AW40" s="41">
        <v>-823</v>
      </c>
      <c r="AX40" s="21">
        <f t="shared" si="48"/>
        <v>-802</v>
      </c>
      <c r="AY40" s="43">
        <v>-3217</v>
      </c>
      <c r="AZ40" s="41">
        <v>-840</v>
      </c>
      <c r="BA40" s="41">
        <v>-910</v>
      </c>
      <c r="BB40" s="41">
        <v>-910</v>
      </c>
      <c r="BC40" s="21">
        <f t="shared" si="49"/>
        <v>-914</v>
      </c>
      <c r="BD40" s="43">
        <v>-3574</v>
      </c>
      <c r="BE40" s="41">
        <v>-915</v>
      </c>
      <c r="BF40" s="41">
        <v>-983</v>
      </c>
      <c r="BG40" s="42">
        <f>-BG79*ProForma_IS_Qtr!BG67</f>
        <v>-987.79510502666665</v>
      </c>
      <c r="BH40" s="21">
        <f>-BH79*ProForma_IS_Qtr!BH67</f>
        <v>-989.80203772300047</v>
      </c>
      <c r="BI40" s="22">
        <f t="shared" ref="BI40" si="54">SUM(BE40:BH40)</f>
        <v>-3875.597142749667</v>
      </c>
    </row>
    <row r="41" spans="1:61">
      <c r="A41" s="1" t="s">
        <v>82</v>
      </c>
      <c r="B41" s="41"/>
      <c r="C41" s="41"/>
      <c r="D41" s="41"/>
      <c r="E41" s="21"/>
      <c r="F41" s="43"/>
      <c r="G41" s="41"/>
      <c r="H41" s="41"/>
      <c r="I41" s="41"/>
      <c r="J41" s="21"/>
      <c r="K41" s="43"/>
      <c r="L41" s="41"/>
      <c r="M41" s="41"/>
      <c r="N41" s="41"/>
      <c r="O41" s="21"/>
      <c r="P41" s="43"/>
      <c r="Q41" s="41"/>
      <c r="R41" s="41"/>
      <c r="S41" s="41"/>
      <c r="T41" s="21"/>
      <c r="U41" s="43"/>
      <c r="V41" s="41">
        <v>-29</v>
      </c>
      <c r="W41" s="41">
        <f>-69-V41</f>
        <v>-40</v>
      </c>
      <c r="X41" s="41">
        <f>-111-W41-V41</f>
        <v>-42</v>
      </c>
      <c r="Y41" s="21">
        <f>+Z41-SUM(V41:X41)</f>
        <v>-40</v>
      </c>
      <c r="Z41" s="43">
        <v>-151</v>
      </c>
      <c r="AA41" s="41">
        <v>-47</v>
      </c>
      <c r="AB41" s="41">
        <f>-47-AA41</f>
        <v>0</v>
      </c>
      <c r="AC41" s="41">
        <f>-47-AB41-AA41</f>
        <v>0</v>
      </c>
      <c r="AD41" s="21">
        <f>+AE41-SUM(AA41:AC41)</f>
        <v>0</v>
      </c>
      <c r="AE41" s="43">
        <v>-47</v>
      </c>
      <c r="AF41" s="41">
        <v>-375</v>
      </c>
      <c r="AG41" s="41">
        <f>-1007-AF41</f>
        <v>-632</v>
      </c>
      <c r="AH41" s="41">
        <f>-2000-AG41-AF41</f>
        <v>-993</v>
      </c>
      <c r="AI41" s="21">
        <f>+AJ41-SUM(AF41:AH41)</f>
        <v>-327</v>
      </c>
      <c r="AJ41" s="43">
        <v>-2327</v>
      </c>
      <c r="AK41" s="41">
        <v>-743</v>
      </c>
      <c r="AL41" s="41">
        <f>-1779-AK41</f>
        <v>-1036</v>
      </c>
      <c r="AM41" s="41">
        <f>-2395-AL41-AK41</f>
        <v>-616</v>
      </c>
      <c r="AN41" s="21">
        <f>+AO41-SUM(AK41:AM41)</f>
        <v>-408</v>
      </c>
      <c r="AO41" s="43">
        <v>-2803</v>
      </c>
      <c r="AP41" s="41">
        <v>-562</v>
      </c>
      <c r="AQ41" s="41">
        <v>-596</v>
      </c>
      <c r="AR41" s="41">
        <v>-1429</v>
      </c>
      <c r="AS41" s="21">
        <f>+AT41-SUM(AP41:AR41)</f>
        <v>-10283</v>
      </c>
      <c r="AT41" s="43">
        <v>-12870</v>
      </c>
      <c r="AU41" s="41">
        <v>-56</v>
      </c>
      <c r="AV41" s="41">
        <v>-44</v>
      </c>
      <c r="AW41" s="41">
        <v>-294</v>
      </c>
      <c r="AX41" s="21">
        <f>+AY41-SUM(AU41:AW41)</f>
        <v>-50</v>
      </c>
      <c r="AY41" s="43">
        <v>-444</v>
      </c>
      <c r="AZ41" s="41">
        <v>-50</v>
      </c>
      <c r="BA41" s="41">
        <v>0</v>
      </c>
      <c r="BB41" s="41">
        <v>0</v>
      </c>
      <c r="BC41" s="21">
        <f>+BD41-SUM(AZ41:BB41)</f>
        <v>0</v>
      </c>
      <c r="BD41" s="43">
        <v>-50</v>
      </c>
      <c r="BE41" s="41">
        <v>0</v>
      </c>
      <c r="BF41" s="41">
        <v>0</v>
      </c>
      <c r="BG41" s="41">
        <f t="shared" ref="BG41" si="55">$BI41/4</f>
        <v>0</v>
      </c>
      <c r="BH41" s="21">
        <f t="shared" ref="BH41" si="56">BI41-SUM(BE41:BG41)</f>
        <v>0</v>
      </c>
      <c r="BI41" s="43">
        <v>0</v>
      </c>
    </row>
    <row r="42" spans="1:61">
      <c r="A42" s="1" t="s">
        <v>280</v>
      </c>
      <c r="B42" s="41"/>
      <c r="C42" s="41"/>
      <c r="D42" s="41"/>
      <c r="E42" s="21"/>
      <c r="F42" s="43"/>
      <c r="G42" s="41"/>
      <c r="H42" s="41"/>
      <c r="I42" s="41"/>
      <c r="J42" s="21"/>
      <c r="K42" s="43"/>
      <c r="L42" s="41"/>
      <c r="M42" s="41"/>
      <c r="N42" s="41"/>
      <c r="O42" s="21"/>
      <c r="P42" s="43"/>
      <c r="Q42" s="41"/>
      <c r="R42" s="41"/>
      <c r="S42" s="41"/>
      <c r="T42" s="21"/>
      <c r="U42" s="43"/>
      <c r="V42" s="41">
        <v>0</v>
      </c>
      <c r="W42" s="41">
        <f>682-V42</f>
        <v>682</v>
      </c>
      <c r="X42" s="41">
        <f>1256-W42-V42</f>
        <v>574</v>
      </c>
      <c r="Y42" s="21">
        <f>+Z42-SUM(V42:X42)</f>
        <v>1131</v>
      </c>
      <c r="Z42" s="43">
        <v>2387</v>
      </c>
      <c r="AA42" s="41">
        <v>0</v>
      </c>
      <c r="AB42" s="41">
        <f>-1966-AA42</f>
        <v>-1966</v>
      </c>
      <c r="AC42" s="41">
        <f>-1998-AB42-AA42</f>
        <v>-32</v>
      </c>
      <c r="AD42" s="21">
        <f>+AE42-SUM(AA42:AC42)</f>
        <v>-35</v>
      </c>
      <c r="AE42" s="43">
        <v>-2033</v>
      </c>
      <c r="AF42" s="41">
        <v>-5</v>
      </c>
      <c r="AG42" s="41">
        <f>-24-AF42</f>
        <v>-19</v>
      </c>
      <c r="AH42" s="41">
        <f>-27-AG42-AF42</f>
        <v>-3</v>
      </c>
      <c r="AI42" s="21">
        <f>+AJ42-SUM(AF42:AH42)</f>
        <v>-44</v>
      </c>
      <c r="AJ42" s="43">
        <v>-71</v>
      </c>
      <c r="AK42" s="41">
        <v>0</v>
      </c>
      <c r="AL42" s="41">
        <f>0-AK42</f>
        <v>0</v>
      </c>
      <c r="AM42" s="41">
        <f>0-AL42-AK42</f>
        <v>0</v>
      </c>
      <c r="AN42" s="21">
        <f>+AO42-SUM(AK42:AM42)</f>
        <v>0</v>
      </c>
      <c r="AO42" s="43">
        <v>0</v>
      </c>
      <c r="AP42" s="41">
        <v>0</v>
      </c>
      <c r="AQ42" s="41">
        <f>0-AP42</f>
        <v>0</v>
      </c>
      <c r="AR42" s="41">
        <f>0-AQ42-AP42</f>
        <v>0</v>
      </c>
      <c r="AS42" s="21">
        <f>+AT42-SUM(AP42:AR42)</f>
        <v>0</v>
      </c>
      <c r="AT42" s="43">
        <v>0</v>
      </c>
      <c r="AU42" s="41">
        <v>0</v>
      </c>
      <c r="AV42" s="41">
        <v>0</v>
      </c>
      <c r="AW42" s="41">
        <v>0</v>
      </c>
      <c r="AX42" s="21">
        <f>+AY42-SUM(AU42:AW42)</f>
        <v>0</v>
      </c>
      <c r="AY42" s="43">
        <v>0</v>
      </c>
      <c r="AZ42" s="41">
        <v>0</v>
      </c>
      <c r="BA42" s="41">
        <v>0</v>
      </c>
      <c r="BB42" s="41">
        <v>0</v>
      </c>
      <c r="BC42" s="21">
        <f>+BD42-SUM(AZ42:BB42)</f>
        <v>0</v>
      </c>
      <c r="BD42" s="43">
        <v>0</v>
      </c>
      <c r="BE42" s="41">
        <v>0</v>
      </c>
      <c r="BF42" s="41">
        <v>0</v>
      </c>
      <c r="BG42" s="37">
        <f>Balance_Sheet_Qtr!BF10-Balance_Sheet_Qtr!BG10+Balance_Sheet_Qtr!BG32-Balance_Sheet_Qtr!BF32</f>
        <v>0</v>
      </c>
      <c r="BH42" s="37">
        <f>Balance_Sheet_Qtr!BG10-Balance_Sheet_Qtr!BH10+Balance_Sheet_Qtr!BH32-Balance_Sheet_Qtr!BG32</f>
        <v>0</v>
      </c>
      <c r="BI42" s="22">
        <f t="shared" ref="BI42:BI43" si="57">SUM(BE42:BH42)</f>
        <v>0</v>
      </c>
    </row>
    <row r="43" spans="1:61">
      <c r="A43" s="1" t="s">
        <v>47</v>
      </c>
      <c r="B43" s="41"/>
      <c r="C43" s="41"/>
      <c r="D43" s="41"/>
      <c r="E43" s="21"/>
      <c r="F43" s="43"/>
      <c r="G43" s="41"/>
      <c r="H43" s="41"/>
      <c r="I43" s="41"/>
      <c r="J43" s="21"/>
      <c r="K43" s="43"/>
      <c r="L43" s="41"/>
      <c r="M43" s="41"/>
      <c r="N43" s="41"/>
      <c r="O43" s="21"/>
      <c r="P43" s="43"/>
      <c r="Q43" s="41"/>
      <c r="R43" s="41"/>
      <c r="S43" s="41"/>
      <c r="T43" s="21"/>
      <c r="U43" s="43"/>
      <c r="V43" s="41">
        <v>-101</v>
      </c>
      <c r="W43" s="41">
        <f>-73-V43</f>
        <v>28</v>
      </c>
      <c r="X43" s="41">
        <f>-38-W43-V43</f>
        <v>35</v>
      </c>
      <c r="Y43" s="21">
        <f>+Z43-SUM(V43:X43)</f>
        <v>120</v>
      </c>
      <c r="Z43" s="43">
        <v>82</v>
      </c>
      <c r="AA43" s="41">
        <f>-68-660</f>
        <v>-728</v>
      </c>
      <c r="AB43" s="41">
        <f>-99-AA43</f>
        <v>629</v>
      </c>
      <c r="AC43" s="41">
        <f>-85-AB43-AA43</f>
        <v>14</v>
      </c>
      <c r="AD43" s="21">
        <f>+AE43-SUM(AA43:AC43)</f>
        <v>-66</v>
      </c>
      <c r="AE43" s="43">
        <v>-151</v>
      </c>
      <c r="AF43" s="41">
        <v>-161</v>
      </c>
      <c r="AG43" s="41">
        <f>-271-AF43</f>
        <v>-110</v>
      </c>
      <c r="AH43" s="41">
        <f>-339-AG43-AF43</f>
        <v>-68</v>
      </c>
      <c r="AI43" s="21">
        <f>+AJ43-SUM(AF43:AH43)</f>
        <v>-764</v>
      </c>
      <c r="AJ43" s="43">
        <f>-454-649</f>
        <v>-1103</v>
      </c>
      <c r="AK43" s="41">
        <v>-263</v>
      </c>
      <c r="AL43" s="41">
        <f>-286-AK43</f>
        <v>-23</v>
      </c>
      <c r="AM43" s="41">
        <f>-329+2067-AL43-AK43</f>
        <v>2024</v>
      </c>
      <c r="AN43" s="21">
        <f>+AO43-SUM(AK43:AM43)</f>
        <v>-1635</v>
      </c>
      <c r="AO43" s="43">
        <f>518-415</f>
        <v>103</v>
      </c>
      <c r="AP43" s="41">
        <f>-118-427</f>
        <v>-545</v>
      </c>
      <c r="AQ43" s="41">
        <f>897-39</f>
        <v>858</v>
      </c>
      <c r="AR43" s="41">
        <f>-33+3</f>
        <v>-30</v>
      </c>
      <c r="AS43" s="21">
        <f>+AT43-SUM(AP43:AR43)</f>
        <v>-1124</v>
      </c>
      <c r="AT43" s="43">
        <f>-524-317</f>
        <v>-841</v>
      </c>
      <c r="AU43" s="41">
        <f>-210</f>
        <v>-210</v>
      </c>
      <c r="AV43" s="41">
        <v>-32</v>
      </c>
      <c r="AW43" s="41">
        <v>-29</v>
      </c>
      <c r="AX43" s="21">
        <f>+AY43-SUM(AU43:AW43)</f>
        <v>-181</v>
      </c>
      <c r="AY43" s="43">
        <v>-452</v>
      </c>
      <c r="AZ43" s="41">
        <v>-185</v>
      </c>
      <c r="BA43" s="41">
        <f>-85</f>
        <v>-85</v>
      </c>
      <c r="BB43" s="41">
        <v>-69</v>
      </c>
      <c r="BC43" s="21">
        <f>+BD43-SUM(AZ43:BB43)</f>
        <v>-94</v>
      </c>
      <c r="BD43" s="43">
        <v>-433</v>
      </c>
      <c r="BE43" s="41">
        <v>-425</v>
      </c>
      <c r="BF43" s="41">
        <v>-62</v>
      </c>
      <c r="BG43" s="37">
        <f>Balance_Sheet_Qtr!BG45-Balance_Sheet_Qtr!BF45</f>
        <v>0</v>
      </c>
      <c r="BH43" s="37">
        <f>Balance_Sheet_Qtr!BH45-Balance_Sheet_Qtr!BG45</f>
        <v>0</v>
      </c>
      <c r="BI43" s="22">
        <f t="shared" si="57"/>
        <v>-487</v>
      </c>
    </row>
    <row r="44" spans="1:61">
      <c r="A44" s="8" t="s">
        <v>83</v>
      </c>
      <c r="B44" s="23"/>
      <c r="C44" s="23"/>
      <c r="D44" s="23"/>
      <c r="E44" s="23"/>
      <c r="F44" s="24"/>
      <c r="G44" s="23"/>
      <c r="H44" s="23"/>
      <c r="I44" s="23"/>
      <c r="J44" s="23"/>
      <c r="K44" s="24"/>
      <c r="L44" s="23"/>
      <c r="M44" s="23"/>
      <c r="N44" s="23"/>
      <c r="O44" s="23"/>
      <c r="P44" s="24"/>
      <c r="Q44" s="23"/>
      <c r="R44" s="23"/>
      <c r="S44" s="23"/>
      <c r="T44" s="23"/>
      <c r="U44" s="24"/>
      <c r="V44" s="23">
        <f t="shared" ref="V44:AA44" si="58">+SUM(V35:V43)</f>
        <v>-1077</v>
      </c>
      <c r="W44" s="23">
        <f t="shared" si="58"/>
        <v>10</v>
      </c>
      <c r="X44" s="23">
        <f t="shared" si="58"/>
        <v>-417</v>
      </c>
      <c r="Y44" s="23">
        <f t="shared" si="58"/>
        <v>-429</v>
      </c>
      <c r="Z44" s="24">
        <f t="shared" si="58"/>
        <v>-1913</v>
      </c>
      <c r="AA44" s="23">
        <f t="shared" si="58"/>
        <v>1362</v>
      </c>
      <c r="AB44" s="23">
        <f>+SUM(AB35:AB43)</f>
        <v>-2694</v>
      </c>
      <c r="AC44" s="23">
        <f>+SUM(AC35:AC43)</f>
        <v>-724</v>
      </c>
      <c r="AD44" s="23">
        <f t="shared" ref="AD44:AE44" si="59">+SUM(AD35:AD43)</f>
        <v>-1804</v>
      </c>
      <c r="AE44" s="24">
        <f t="shared" si="59"/>
        <v>-3860</v>
      </c>
      <c r="AF44" s="23">
        <f t="shared" ref="AF44" si="60">+SUM(AF35:AF43)</f>
        <v>-1544</v>
      </c>
      <c r="AG44" s="23">
        <f>+SUM(AG35:AG43)</f>
        <v>-1575</v>
      </c>
      <c r="AH44" s="23">
        <f>+SUM(AH35:AH43)</f>
        <v>-2063</v>
      </c>
      <c r="AI44" s="23">
        <f t="shared" ref="AI44:AK44" si="61">+SUM(AI35:AI43)</f>
        <v>-1574</v>
      </c>
      <c r="AJ44" s="24">
        <f t="shared" si="61"/>
        <v>-6756</v>
      </c>
      <c r="AK44" s="23">
        <f t="shared" si="61"/>
        <v>-1745</v>
      </c>
      <c r="AL44" s="23">
        <f>+SUM(AL35:AL43)</f>
        <v>-1882</v>
      </c>
      <c r="AM44" s="23">
        <f>+SUM(AM35:AM43)</f>
        <v>617</v>
      </c>
      <c r="AN44" s="23">
        <f t="shared" ref="AN44:AP44" si="62">+SUM(AN35:AN43)</f>
        <v>-2849</v>
      </c>
      <c r="AO44" s="24">
        <f t="shared" si="62"/>
        <v>-5859</v>
      </c>
      <c r="AP44" s="23">
        <f t="shared" si="62"/>
        <v>1096</v>
      </c>
      <c r="AQ44" s="23">
        <f>+SUM(AQ35:AQ43)</f>
        <v>-628</v>
      </c>
      <c r="AR44" s="23">
        <f>+SUM(AR35:AR43)</f>
        <v>-2377</v>
      </c>
      <c r="AS44" s="23">
        <f t="shared" ref="AS44:AU44" si="63">+SUM(AS35:AS43)</f>
        <v>-2618</v>
      </c>
      <c r="AT44" s="24">
        <f t="shared" si="63"/>
        <v>-4527</v>
      </c>
      <c r="AU44" s="23">
        <f t="shared" si="63"/>
        <v>-2007</v>
      </c>
      <c r="AV44" s="23">
        <f>+SUM(AV35:AV43)</f>
        <v>-1584</v>
      </c>
      <c r="AW44" s="23">
        <f>+SUM(AW35:AW43)</f>
        <v>-1158</v>
      </c>
      <c r="AX44" s="23">
        <f t="shared" ref="AX44:AZ44" si="64">+SUM(AX35:AX43)</f>
        <v>-1868</v>
      </c>
      <c r="AY44" s="24">
        <f t="shared" si="64"/>
        <v>-6617</v>
      </c>
      <c r="AZ44" s="23">
        <f t="shared" si="64"/>
        <v>-1056</v>
      </c>
      <c r="BA44" s="23">
        <f>+SUM(BA35:BA43)</f>
        <v>-353</v>
      </c>
      <c r="BB44" s="23">
        <f>+SUM(BB35:BB43)</f>
        <v>-3923</v>
      </c>
      <c r="BC44" s="23">
        <f t="shared" ref="BC44:BE44" si="65">+SUM(BC35:BC43)</f>
        <v>-2154</v>
      </c>
      <c r="BD44" s="24">
        <f t="shared" si="65"/>
        <v>-7486</v>
      </c>
      <c r="BE44" s="23">
        <f t="shared" si="65"/>
        <v>-1840</v>
      </c>
      <c r="BF44" s="23">
        <f t="shared" ref="BF44:BG44" si="66">+SUM(BF35:BF43)</f>
        <v>-1069</v>
      </c>
      <c r="BG44" s="23">
        <f t="shared" si="66"/>
        <v>-987.79510502666665</v>
      </c>
      <c r="BH44" s="23">
        <f t="shared" ref="BH44:BI44" si="67">+SUM(BH35:BH43)</f>
        <v>-3858.8020377230005</v>
      </c>
      <c r="BI44" s="24">
        <f t="shared" si="67"/>
        <v>-7755.597142749667</v>
      </c>
    </row>
    <row r="45" spans="1:61">
      <c r="B45" s="21"/>
      <c r="C45" s="21"/>
      <c r="D45" s="21"/>
      <c r="E45" s="21"/>
      <c r="F45" s="22"/>
      <c r="G45" s="21"/>
      <c r="H45" s="21"/>
      <c r="I45" s="21"/>
      <c r="J45" s="21"/>
      <c r="K45" s="22"/>
      <c r="L45" s="21"/>
      <c r="M45" s="21"/>
      <c r="N45" s="21"/>
      <c r="O45" s="21"/>
      <c r="P45" s="22"/>
      <c r="Q45" s="21"/>
      <c r="R45" s="21"/>
      <c r="S45" s="21"/>
      <c r="T45" s="21"/>
      <c r="U45" s="22"/>
      <c r="V45" s="21"/>
      <c r="W45" s="21"/>
      <c r="X45" s="21"/>
      <c r="Y45" s="21"/>
      <c r="Z45" s="22"/>
      <c r="AA45" s="21"/>
      <c r="AB45" s="21"/>
      <c r="AC45" s="21"/>
      <c r="AD45" s="21"/>
      <c r="AE45" s="22"/>
      <c r="AF45" s="21"/>
      <c r="AG45" s="21"/>
      <c r="AH45" s="21"/>
      <c r="AI45" s="21"/>
      <c r="AJ45" s="22"/>
      <c r="AK45" s="21"/>
      <c r="AL45" s="21"/>
      <c r="AM45" s="21"/>
      <c r="AN45" s="21"/>
      <c r="AO45" s="22"/>
      <c r="AP45" s="21"/>
      <c r="AQ45" s="21"/>
      <c r="AR45" s="21"/>
      <c r="AS45" s="21"/>
      <c r="AT45" s="22"/>
      <c r="AU45" s="21"/>
      <c r="AV45" s="21"/>
      <c r="AW45" s="21"/>
      <c r="AX45" s="21"/>
      <c r="AY45" s="22"/>
      <c r="AZ45" s="21"/>
      <c r="BA45" s="21"/>
      <c r="BB45" s="21"/>
      <c r="BC45" s="21"/>
      <c r="BD45" s="22"/>
      <c r="BE45" s="21"/>
      <c r="BF45" s="21"/>
      <c r="BG45" s="21"/>
      <c r="BH45" s="21"/>
      <c r="BI45" s="22"/>
    </row>
    <row r="46" spans="1:61">
      <c r="A46" t="s">
        <v>284</v>
      </c>
      <c r="B46" s="21"/>
      <c r="C46" s="21"/>
      <c r="D46" s="21"/>
      <c r="E46" s="21"/>
      <c r="F46" s="22"/>
      <c r="G46" s="21"/>
      <c r="H46" s="21"/>
      <c r="I46" s="21"/>
      <c r="J46" s="21"/>
      <c r="K46" s="22"/>
      <c r="L46" s="21"/>
      <c r="M46" s="21"/>
      <c r="N46" s="21"/>
      <c r="O46" s="21"/>
      <c r="P46" s="22"/>
      <c r="Q46" s="21"/>
      <c r="R46" s="21"/>
      <c r="S46" s="21"/>
      <c r="T46" s="21"/>
      <c r="U46" s="22"/>
      <c r="V46" s="21"/>
      <c r="W46" s="21"/>
      <c r="X46" s="21"/>
      <c r="Y46" s="21"/>
      <c r="Z46" s="22"/>
      <c r="AA46" s="21"/>
      <c r="AB46" s="21"/>
      <c r="AC46" s="21"/>
      <c r="AD46" s="21"/>
      <c r="AE46" s="22"/>
      <c r="AF46" s="21"/>
      <c r="AG46" s="21"/>
      <c r="AH46" s="21"/>
      <c r="AI46" s="21"/>
      <c r="AJ46" s="22"/>
      <c r="AK46" s="21"/>
      <c r="AL46" s="21"/>
      <c r="AM46" s="21"/>
      <c r="AN46" s="21"/>
      <c r="AO46" s="22"/>
      <c r="AP46" s="21"/>
      <c r="AQ46" s="21"/>
      <c r="AR46" s="21"/>
      <c r="AS46" s="21"/>
      <c r="AT46" s="22"/>
      <c r="AU46" s="21"/>
      <c r="AV46" s="21"/>
      <c r="AW46" s="21"/>
      <c r="AX46" s="21"/>
      <c r="AY46" s="22"/>
      <c r="AZ46" s="21"/>
      <c r="BA46" s="21"/>
      <c r="BB46" s="21"/>
      <c r="BC46" s="21"/>
      <c r="BD46" s="22"/>
      <c r="BE46" s="21"/>
      <c r="BF46" s="21"/>
      <c r="BG46" s="21"/>
      <c r="BH46" s="21"/>
      <c r="BI46" s="22"/>
    </row>
    <row r="47" spans="1:61">
      <c r="A47" s="1" t="s">
        <v>285</v>
      </c>
      <c r="B47" s="41"/>
      <c r="C47" s="41"/>
      <c r="D47" s="41"/>
      <c r="E47" s="21"/>
      <c r="F47" s="43"/>
      <c r="G47" s="41"/>
      <c r="H47" s="41"/>
      <c r="I47" s="41"/>
      <c r="J47" s="21"/>
      <c r="K47" s="43"/>
      <c r="L47" s="41"/>
      <c r="M47" s="41"/>
      <c r="N47" s="41"/>
      <c r="O47" s="21"/>
      <c r="P47" s="43"/>
      <c r="Q47" s="41"/>
      <c r="R47" s="41"/>
      <c r="S47" s="41"/>
      <c r="T47" s="21"/>
      <c r="U47" s="43"/>
      <c r="V47" s="41">
        <v>0</v>
      </c>
      <c r="W47" s="41">
        <v>841</v>
      </c>
      <c r="X47" s="41">
        <f>1605-W47-V47</f>
        <v>764</v>
      </c>
      <c r="Y47" s="21">
        <f>+Z47-SUM(V47:X47)</f>
        <v>1457</v>
      </c>
      <c r="Z47" s="43">
        <v>3062</v>
      </c>
      <c r="AA47" s="41">
        <v>0</v>
      </c>
      <c r="AB47" s="41">
        <v>-661</v>
      </c>
      <c r="AC47" s="41">
        <f>-693-AB47-AA47</f>
        <v>-32</v>
      </c>
      <c r="AD47" s="21">
        <f>+AE47-SUM(AA47:AC47)</f>
        <v>-35</v>
      </c>
      <c r="AE47" s="43">
        <v>-728</v>
      </c>
      <c r="AF47" s="41">
        <v>-5</v>
      </c>
      <c r="AG47" s="41">
        <f>-24-AF47</f>
        <v>-19</v>
      </c>
      <c r="AH47" s="41">
        <f>-27-AG47-AF47</f>
        <v>-3</v>
      </c>
      <c r="AI47" s="21">
        <f>+AJ47-SUM(AF47:AH47)</f>
        <v>-44</v>
      </c>
      <c r="AJ47" s="43">
        <v>-71</v>
      </c>
      <c r="AK47" s="41">
        <v>0</v>
      </c>
      <c r="AL47" s="41">
        <f>0-AK47</f>
        <v>0</v>
      </c>
      <c r="AM47" s="41">
        <f>0-AL47-AK47</f>
        <v>0</v>
      </c>
      <c r="AN47" s="21">
        <f>+AO47-SUM(AK47:AM47)</f>
        <v>0</v>
      </c>
      <c r="AO47" s="43">
        <v>0</v>
      </c>
      <c r="AP47" s="41">
        <v>0</v>
      </c>
      <c r="AQ47" s="41">
        <f>0-AP47</f>
        <v>0</v>
      </c>
      <c r="AR47" s="41">
        <f>0-AQ47-AP47</f>
        <v>0</v>
      </c>
      <c r="AS47" s="21">
        <f>+AT47-SUM(AP47:AR47)</f>
        <v>0</v>
      </c>
      <c r="AT47" s="43">
        <v>0</v>
      </c>
      <c r="AU47" s="41">
        <v>0</v>
      </c>
      <c r="AV47" s="41">
        <v>0</v>
      </c>
      <c r="AW47" s="41">
        <v>0</v>
      </c>
      <c r="AX47" s="21">
        <f>+AY47-SUM(AU47:AW47)</f>
        <v>0</v>
      </c>
      <c r="AY47" s="43">
        <v>0</v>
      </c>
      <c r="AZ47" s="41">
        <v>0</v>
      </c>
      <c r="BA47" s="41">
        <v>0</v>
      </c>
      <c r="BB47" s="41">
        <v>0</v>
      </c>
      <c r="BC47" s="21">
        <f>+BD47-SUM(AZ47:BB47)</f>
        <v>0</v>
      </c>
      <c r="BD47" s="43">
        <v>0</v>
      </c>
      <c r="BE47" s="41">
        <v>0</v>
      </c>
      <c r="BF47" s="41">
        <v>0</v>
      </c>
      <c r="BG47" s="41">
        <v>0</v>
      </c>
      <c r="BH47" s="21">
        <f>BI47-SUM(BE47:BG47)</f>
        <v>0</v>
      </c>
      <c r="BI47" s="43">
        <v>0</v>
      </c>
    </row>
    <row r="48" spans="1:61">
      <c r="A48" s="1" t="s">
        <v>286</v>
      </c>
      <c r="B48" s="41"/>
      <c r="C48" s="41"/>
      <c r="D48" s="41"/>
      <c r="E48" s="21"/>
      <c r="F48" s="43"/>
      <c r="G48" s="41"/>
      <c r="H48" s="41"/>
      <c r="I48" s="41"/>
      <c r="J48" s="21"/>
      <c r="K48" s="43"/>
      <c r="L48" s="41"/>
      <c r="M48" s="41"/>
      <c r="N48" s="41"/>
      <c r="O48" s="21"/>
      <c r="P48" s="43"/>
      <c r="Q48" s="41"/>
      <c r="R48" s="41"/>
      <c r="S48" s="41"/>
      <c r="T48" s="21"/>
      <c r="U48" s="43"/>
      <c r="V48" s="41">
        <v>0</v>
      </c>
      <c r="W48" s="41">
        <v>-114</v>
      </c>
      <c r="X48" s="41">
        <f>-241-W48-V48</f>
        <v>-127</v>
      </c>
      <c r="Y48" s="21">
        <f>+Z48-SUM(V48:X48)</f>
        <v>-175</v>
      </c>
      <c r="Z48" s="43">
        <v>-416</v>
      </c>
      <c r="AA48" s="41">
        <v>0</v>
      </c>
      <c r="AB48" s="41">
        <v>-241</v>
      </c>
      <c r="AC48" s="41">
        <f>-241-AB48-AA48</f>
        <v>0</v>
      </c>
      <c r="AD48" s="21">
        <f>+AE48-SUM(AA48:AC48)</f>
        <v>0</v>
      </c>
      <c r="AE48" s="43">
        <v>-241</v>
      </c>
      <c r="AF48" s="41">
        <v>0</v>
      </c>
      <c r="AG48" s="41">
        <f>0-AF48</f>
        <v>0</v>
      </c>
      <c r="AH48" s="41">
        <f>0-AG48-AF48</f>
        <v>0</v>
      </c>
      <c r="AI48" s="21">
        <f>+AJ48-SUM(AF48:AH48)</f>
        <v>0</v>
      </c>
      <c r="AJ48" s="43">
        <v>0</v>
      </c>
      <c r="AK48" s="41">
        <v>0</v>
      </c>
      <c r="AL48" s="41">
        <f>0-AK48</f>
        <v>0</v>
      </c>
      <c r="AM48" s="41">
        <f>0-AL48-AK48</f>
        <v>0</v>
      </c>
      <c r="AN48" s="21">
        <f>+AO48-SUM(AK48:AM48)</f>
        <v>0</v>
      </c>
      <c r="AO48" s="43">
        <v>0</v>
      </c>
      <c r="AP48" s="41">
        <v>0</v>
      </c>
      <c r="AQ48" s="41">
        <f>0-AP48</f>
        <v>0</v>
      </c>
      <c r="AR48" s="41">
        <f>0-AQ48-AP48</f>
        <v>0</v>
      </c>
      <c r="AS48" s="21">
        <f>+AT48-SUM(AP48:AR48)</f>
        <v>0</v>
      </c>
      <c r="AT48" s="43">
        <v>0</v>
      </c>
      <c r="AU48" s="41">
        <v>0</v>
      </c>
      <c r="AV48" s="41">
        <v>0</v>
      </c>
      <c r="AW48" s="41">
        <v>0</v>
      </c>
      <c r="AX48" s="21">
        <f>+AY48-SUM(AU48:AW48)</f>
        <v>0</v>
      </c>
      <c r="AY48" s="43">
        <v>0</v>
      </c>
      <c r="AZ48" s="41">
        <v>0</v>
      </c>
      <c r="BA48" s="41">
        <v>0</v>
      </c>
      <c r="BB48" s="41">
        <v>0</v>
      </c>
      <c r="BC48" s="21">
        <f>+BD48-SUM(AZ48:BB48)</f>
        <v>0</v>
      </c>
      <c r="BD48" s="43">
        <v>0</v>
      </c>
      <c r="BE48" s="41">
        <v>0</v>
      </c>
      <c r="BF48" s="41">
        <v>0</v>
      </c>
      <c r="BG48" s="41">
        <v>0</v>
      </c>
      <c r="BH48" s="21">
        <f t="shared" ref="BH48:BH49" si="68">BI48-SUM(BE48:BG48)</f>
        <v>0</v>
      </c>
      <c r="BI48" s="43">
        <v>0</v>
      </c>
    </row>
    <row r="49" spans="1:64">
      <c r="A49" s="1" t="s">
        <v>287</v>
      </c>
      <c r="B49" s="41"/>
      <c r="C49" s="41"/>
      <c r="D49" s="41"/>
      <c r="E49" s="21"/>
      <c r="F49" s="43"/>
      <c r="G49" s="41"/>
      <c r="H49" s="41"/>
      <c r="I49" s="41"/>
      <c r="J49" s="21"/>
      <c r="K49" s="43"/>
      <c r="L49" s="41"/>
      <c r="M49" s="41"/>
      <c r="N49" s="41"/>
      <c r="O49" s="21"/>
      <c r="P49" s="43"/>
      <c r="Q49" s="41"/>
      <c r="R49" s="41"/>
      <c r="S49" s="41"/>
      <c r="T49" s="21"/>
      <c r="U49" s="43"/>
      <c r="V49" s="41">
        <v>0</v>
      </c>
      <c r="W49" s="41">
        <v>-698</v>
      </c>
      <c r="X49" s="41">
        <f>-1410-W49-V49</f>
        <v>-712</v>
      </c>
      <c r="Y49" s="21">
        <f>+Z49-SUM(V49:X49)</f>
        <v>-1241</v>
      </c>
      <c r="Z49" s="43">
        <v>-2651</v>
      </c>
      <c r="AA49" s="41">
        <v>0</v>
      </c>
      <c r="AB49" s="41">
        <v>-1481</v>
      </c>
      <c r="AC49" s="41">
        <f>-1449-AB49-AA49</f>
        <v>32</v>
      </c>
      <c r="AD49" s="21">
        <f>+AE49-SUM(AA49:AC49)</f>
        <v>35</v>
      </c>
      <c r="AE49" s="43">
        <v>-1414</v>
      </c>
      <c r="AF49" s="41">
        <v>5</v>
      </c>
      <c r="AG49" s="41">
        <f>24-AF49</f>
        <v>19</v>
      </c>
      <c r="AH49" s="41">
        <f>27-AG49-AF49</f>
        <v>3</v>
      </c>
      <c r="AI49" s="21">
        <f>+AJ49-SUM(AF49:AH49)</f>
        <v>44</v>
      </c>
      <c r="AJ49" s="43">
        <v>71</v>
      </c>
      <c r="AK49" s="41">
        <v>0</v>
      </c>
      <c r="AL49" s="41">
        <f>0-AK49</f>
        <v>0</v>
      </c>
      <c r="AM49" s="41">
        <f>0-AL49-AK49</f>
        <v>0</v>
      </c>
      <c r="AN49" s="21">
        <f>+AO49-SUM(AK49:AM49)</f>
        <v>0</v>
      </c>
      <c r="AO49" s="43">
        <v>0</v>
      </c>
      <c r="AP49" s="41">
        <v>0</v>
      </c>
      <c r="AQ49" s="41">
        <f>0-AP49</f>
        <v>0</v>
      </c>
      <c r="AR49" s="41">
        <f>0-AQ49-AP49</f>
        <v>0</v>
      </c>
      <c r="AS49" s="21">
        <f>+AT49-SUM(AP49:AR49)</f>
        <v>0</v>
      </c>
      <c r="AT49" s="43">
        <v>0</v>
      </c>
      <c r="AU49" s="41">
        <v>0</v>
      </c>
      <c r="AV49" s="41">
        <v>0</v>
      </c>
      <c r="AW49" s="41">
        <v>0</v>
      </c>
      <c r="AX49" s="21">
        <f>+AY49-SUM(AU49:AW49)</f>
        <v>0</v>
      </c>
      <c r="AY49" s="43">
        <v>0</v>
      </c>
      <c r="AZ49" s="41">
        <v>0</v>
      </c>
      <c r="BA49" s="41">
        <v>0</v>
      </c>
      <c r="BB49" s="41">
        <v>0</v>
      </c>
      <c r="BC49" s="21">
        <f>+BD49-SUM(AZ49:BB49)</f>
        <v>0</v>
      </c>
      <c r="BD49" s="43">
        <v>0</v>
      </c>
      <c r="BE49" s="41">
        <v>0</v>
      </c>
      <c r="BF49" s="41">
        <v>0</v>
      </c>
      <c r="BG49" s="41">
        <v>0</v>
      </c>
      <c r="BH49" s="21">
        <f t="shared" si="68"/>
        <v>0</v>
      </c>
      <c r="BI49" s="43">
        <v>0</v>
      </c>
    </row>
    <row r="50" spans="1:64">
      <c r="A50" s="8" t="s">
        <v>288</v>
      </c>
      <c r="B50" s="23"/>
      <c r="C50" s="23"/>
      <c r="D50" s="23"/>
      <c r="E50" s="23"/>
      <c r="F50" s="24"/>
      <c r="G50" s="23"/>
      <c r="H50" s="23"/>
      <c r="I50" s="23"/>
      <c r="J50" s="23"/>
      <c r="K50" s="24"/>
      <c r="L50" s="23"/>
      <c r="M50" s="23"/>
      <c r="N50" s="23"/>
      <c r="O50" s="23"/>
      <c r="P50" s="24"/>
      <c r="Q50" s="23"/>
      <c r="R50" s="23"/>
      <c r="S50" s="23"/>
      <c r="T50" s="23"/>
      <c r="U50" s="24"/>
      <c r="V50" s="23">
        <f>SUM(V47:V49)</f>
        <v>0</v>
      </c>
      <c r="W50" s="23">
        <f>SUM(W47:W49)</f>
        <v>29</v>
      </c>
      <c r="X50" s="23">
        <f>SUM(X47:X49)</f>
        <v>-75</v>
      </c>
      <c r="Y50" s="23">
        <f>+Z50-SUM(V50:X50)</f>
        <v>41</v>
      </c>
      <c r="Z50" s="24">
        <f t="shared" ref="Z50:AB50" si="69">SUM(Z47:Z49)</f>
        <v>-5</v>
      </c>
      <c r="AA50" s="23">
        <f t="shared" si="69"/>
        <v>0</v>
      </c>
      <c r="AB50" s="23">
        <f t="shared" si="69"/>
        <v>-2383</v>
      </c>
      <c r="AC50" s="23">
        <f t="shared" ref="AC50" si="70">SUM(AC47:AC49)</f>
        <v>0</v>
      </c>
      <c r="AD50" s="23">
        <f>+AE50-SUM(AA50:AC50)</f>
        <v>0</v>
      </c>
      <c r="AE50" s="24">
        <f t="shared" ref="AE50" si="71">SUM(AE47:AE49)</f>
        <v>-2383</v>
      </c>
      <c r="AF50" s="23">
        <f t="shared" ref="AF50" si="72">SUM(AF47:AF49)</f>
        <v>0</v>
      </c>
      <c r="AG50" s="23">
        <f t="shared" ref="AG50" si="73">SUM(AG47:AG49)</f>
        <v>0</v>
      </c>
      <c r="AH50" s="23">
        <f t="shared" ref="AH50" si="74">SUM(AH47:AH49)</f>
        <v>0</v>
      </c>
      <c r="AI50" s="23">
        <f>+AJ50-SUM(AF50:AH50)</f>
        <v>0</v>
      </c>
      <c r="AJ50" s="24">
        <f t="shared" ref="AJ50" si="75">SUM(AJ47:AJ49)</f>
        <v>0</v>
      </c>
      <c r="AK50" s="23">
        <f t="shared" ref="AK50" si="76">SUM(AK47:AK49)</f>
        <v>0</v>
      </c>
      <c r="AL50" s="23">
        <f t="shared" ref="AL50" si="77">SUM(AL47:AL49)</f>
        <v>0</v>
      </c>
      <c r="AM50" s="23">
        <f t="shared" ref="AM50" si="78">SUM(AM47:AM49)</f>
        <v>0</v>
      </c>
      <c r="AN50" s="23">
        <f>+AO50-SUM(AK50:AM50)</f>
        <v>0</v>
      </c>
      <c r="AO50" s="24">
        <f t="shared" ref="AO50" si="79">SUM(AO47:AO49)</f>
        <v>0</v>
      </c>
      <c r="AP50" s="23">
        <f t="shared" ref="AP50" si="80">SUM(AP47:AP49)</f>
        <v>0</v>
      </c>
      <c r="AQ50" s="23">
        <f t="shared" ref="AQ50" si="81">SUM(AQ47:AQ49)</f>
        <v>0</v>
      </c>
      <c r="AR50" s="23">
        <f t="shared" ref="AR50" si="82">SUM(AR47:AR49)</f>
        <v>0</v>
      </c>
      <c r="AS50" s="23">
        <f>+AT50-SUM(AP50:AR50)</f>
        <v>0</v>
      </c>
      <c r="AT50" s="24">
        <f t="shared" ref="AT50" si="83">SUM(AT47:AT49)</f>
        <v>0</v>
      </c>
      <c r="AU50" s="23">
        <f t="shared" ref="AU50" si="84">SUM(AU47:AU49)</f>
        <v>0</v>
      </c>
      <c r="AV50" s="23">
        <f t="shared" ref="AV50" si="85">SUM(AV47:AV49)</f>
        <v>0</v>
      </c>
      <c r="AW50" s="23">
        <f t="shared" ref="AW50" si="86">SUM(AW47:AW49)</f>
        <v>0</v>
      </c>
      <c r="AX50" s="23">
        <f>+AY50-SUM(AU50:AW50)</f>
        <v>0</v>
      </c>
      <c r="AY50" s="24">
        <f t="shared" ref="AY50" si="87">SUM(AY47:AY49)</f>
        <v>0</v>
      </c>
      <c r="AZ50" s="23">
        <f t="shared" ref="AZ50" si="88">SUM(AZ47:AZ49)</f>
        <v>0</v>
      </c>
      <c r="BA50" s="23">
        <f t="shared" ref="BA50" si="89">SUM(BA47:BA49)</f>
        <v>0</v>
      </c>
      <c r="BB50" s="23">
        <f t="shared" ref="BB50" si="90">SUM(BB47:BB49)</f>
        <v>0</v>
      </c>
      <c r="BC50" s="23">
        <f>+BD50-SUM(AZ50:BB50)</f>
        <v>0</v>
      </c>
      <c r="BD50" s="24">
        <f t="shared" ref="BD50" si="91">SUM(BD47:BD49)</f>
        <v>0</v>
      </c>
      <c r="BE50" s="23">
        <f t="shared" ref="BE50" si="92">SUM(BE47:BE49)</f>
        <v>0</v>
      </c>
      <c r="BF50" s="23">
        <f t="shared" ref="BF50:BG50" si="93">SUM(BF47:BF49)</f>
        <v>0</v>
      </c>
      <c r="BG50" s="23">
        <f t="shared" si="93"/>
        <v>0</v>
      </c>
      <c r="BH50" s="23">
        <f t="shared" ref="BH50:BI50" si="94">SUM(BH47:BH49)</f>
        <v>0</v>
      </c>
      <c r="BI50" s="24">
        <f t="shared" si="94"/>
        <v>0</v>
      </c>
    </row>
    <row r="51" spans="1:64">
      <c r="B51" s="21"/>
      <c r="C51" s="21"/>
      <c r="D51" s="21"/>
      <c r="E51" s="21"/>
      <c r="F51" s="22"/>
      <c r="G51" s="21"/>
      <c r="H51" s="21"/>
      <c r="I51" s="21"/>
      <c r="J51" s="21"/>
      <c r="K51" s="22"/>
      <c r="L51" s="21"/>
      <c r="M51" s="21"/>
      <c r="N51" s="21"/>
      <c r="O51" s="21"/>
      <c r="P51" s="22"/>
      <c r="Q51" s="21"/>
      <c r="R51" s="21"/>
      <c r="S51" s="21"/>
      <c r="T51" s="21"/>
      <c r="U51" s="22"/>
      <c r="V51" s="21"/>
      <c r="W51" s="21"/>
      <c r="X51" s="21"/>
      <c r="Y51" s="21"/>
      <c r="Z51" s="22"/>
      <c r="AA51" s="21"/>
      <c r="AB51" s="21"/>
      <c r="AC51" s="21"/>
      <c r="AD51" s="21"/>
      <c r="AE51" s="22"/>
      <c r="AF51" s="21"/>
      <c r="AG51" s="21"/>
      <c r="AH51" s="21"/>
      <c r="AI51" s="21"/>
      <c r="AJ51" s="22"/>
      <c r="AK51" s="21"/>
      <c r="AL51" s="21"/>
      <c r="AM51" s="21"/>
      <c r="AN51" s="21"/>
      <c r="AO51" s="22"/>
      <c r="AP51" s="21"/>
      <c r="AQ51" s="21"/>
      <c r="AR51" s="21"/>
      <c r="AS51" s="21"/>
      <c r="AT51" s="22"/>
      <c r="AU51" s="21"/>
      <c r="AV51" s="21"/>
      <c r="AW51" s="21"/>
      <c r="AX51" s="21"/>
      <c r="AY51" s="22"/>
      <c r="AZ51" s="21"/>
      <c r="BA51" s="21"/>
      <c r="BB51" s="21"/>
      <c r="BC51" s="21"/>
      <c r="BD51" s="22"/>
      <c r="BE51" s="21"/>
      <c r="BF51" s="21"/>
      <c r="BG51" s="21"/>
      <c r="BH51" s="21"/>
      <c r="BI51" s="22"/>
    </row>
    <row r="52" spans="1:64">
      <c r="A52" s="1" t="s">
        <v>84</v>
      </c>
      <c r="B52" s="41"/>
      <c r="C52" s="41"/>
      <c r="D52" s="41"/>
      <c r="E52" s="21"/>
      <c r="F52" s="43"/>
      <c r="G52" s="41"/>
      <c r="H52" s="41"/>
      <c r="I52" s="41"/>
      <c r="J52" s="21"/>
      <c r="K52" s="43"/>
      <c r="L52" s="41"/>
      <c r="M52" s="41"/>
      <c r="N52" s="41"/>
      <c r="O52" s="21"/>
      <c r="P52" s="43"/>
      <c r="Q52" s="41"/>
      <c r="R52" s="41"/>
      <c r="S52" s="41"/>
      <c r="T52" s="21"/>
      <c r="U52" s="43"/>
      <c r="V52" s="41">
        <v>41</v>
      </c>
      <c r="W52" s="41">
        <f>4+11-V52</f>
        <v>-26</v>
      </c>
      <c r="X52" s="41">
        <f>-11-54-W52-V52</f>
        <v>-80</v>
      </c>
      <c r="Y52" s="21">
        <f>+Z52-SUM(V52:X52)</f>
        <v>46</v>
      </c>
      <c r="Z52" s="43">
        <f>1-20</f>
        <v>-19</v>
      </c>
      <c r="AA52" s="41">
        <v>-94</v>
      </c>
      <c r="AB52" s="41">
        <f>-10-76-AA52</f>
        <v>8</v>
      </c>
      <c r="AC52" s="41">
        <f>11-76-AB52-AA52</f>
        <v>21</v>
      </c>
      <c r="AD52" s="21">
        <f>+AE52-SUM(AA52:AC52)</f>
        <v>43</v>
      </c>
      <c r="AE52" s="43">
        <f>54-76</f>
        <v>-22</v>
      </c>
      <c r="AF52" s="41">
        <v>23</v>
      </c>
      <c r="AG52" s="41">
        <f>79-AF52</f>
        <v>56</v>
      </c>
      <c r="AH52" s="41">
        <f>10-AG52-AF52</f>
        <v>-69</v>
      </c>
      <c r="AI52" s="21">
        <f>+AJ52-SUM(AF52:AH52)</f>
        <v>-11</v>
      </c>
      <c r="AJ52" s="43">
        <v>-1</v>
      </c>
      <c r="AK52" s="41">
        <v>15</v>
      </c>
      <c r="AL52" s="41">
        <f>-20-AK52</f>
        <v>-35</v>
      </c>
      <c r="AM52" s="41">
        <f>-57-AL52-AK52</f>
        <v>-37</v>
      </c>
      <c r="AN52" s="21">
        <f>+AO52-SUM(AK52:AM52)</f>
        <v>15</v>
      </c>
      <c r="AO52" s="43">
        <v>-42</v>
      </c>
      <c r="AP52" s="41">
        <v>1</v>
      </c>
      <c r="AQ52" s="41">
        <v>18</v>
      </c>
      <c r="AR52" s="41">
        <v>-15</v>
      </c>
      <c r="AS52" s="21">
        <f>+AT52-SUM(AP52:AR52)</f>
        <v>14</v>
      </c>
      <c r="AT52" s="43">
        <v>18</v>
      </c>
      <c r="AU52" s="41">
        <v>-8</v>
      </c>
      <c r="AV52" s="41">
        <v>-4</v>
      </c>
      <c r="AW52" s="41">
        <v>23</v>
      </c>
      <c r="AX52" s="21">
        <f>+AY52-SUM(AU52:AW52)</f>
        <v>-39</v>
      </c>
      <c r="AY52" s="43">
        <v>-28</v>
      </c>
      <c r="AZ52" s="41">
        <v>16</v>
      </c>
      <c r="BA52" s="41">
        <v>38</v>
      </c>
      <c r="BB52" s="41">
        <v>-10</v>
      </c>
      <c r="BC52" s="21">
        <f>+BD52-SUM(AZ52:BB52)</f>
        <v>4</v>
      </c>
      <c r="BD52" s="43">
        <v>48</v>
      </c>
      <c r="BE52" s="41">
        <v>-6</v>
      </c>
      <c r="BF52" s="41">
        <v>-13</v>
      </c>
      <c r="BG52" s="41">
        <v>0</v>
      </c>
      <c r="BH52" s="21">
        <f>BI52-SUM(BE52:BG52)</f>
        <v>0</v>
      </c>
      <c r="BI52" s="43">
        <v>-19</v>
      </c>
    </row>
    <row r="53" spans="1:64">
      <c r="A53" s="1" t="s">
        <v>235</v>
      </c>
      <c r="B53" s="41"/>
      <c r="C53" s="41"/>
      <c r="D53" s="41"/>
      <c r="E53" s="21"/>
      <c r="F53" s="43"/>
      <c r="G53" s="41"/>
      <c r="H53" s="41"/>
      <c r="I53" s="41"/>
      <c r="J53" s="21"/>
      <c r="K53" s="43"/>
      <c r="L53" s="41"/>
      <c r="M53" s="41"/>
      <c r="N53" s="41"/>
      <c r="O53" s="21"/>
      <c r="P53" s="43"/>
      <c r="Q53" s="41"/>
      <c r="R53" s="41"/>
      <c r="S53" s="41"/>
      <c r="T53" s="21"/>
      <c r="U53" s="43"/>
      <c r="V53" s="41">
        <v>0</v>
      </c>
      <c r="W53" s="41">
        <v>0</v>
      </c>
      <c r="X53" s="41">
        <v>0</v>
      </c>
      <c r="Y53" s="21">
        <f>+Z53-SUM(V53:X53)</f>
        <v>0</v>
      </c>
      <c r="Z53" s="43">
        <v>0</v>
      </c>
      <c r="AA53" s="41">
        <v>0</v>
      </c>
      <c r="AB53" s="41">
        <v>0</v>
      </c>
      <c r="AC53" s="41">
        <v>0</v>
      </c>
      <c r="AD53" s="21">
        <f>+AE53-SUM(AA53:AC53)</f>
        <v>0</v>
      </c>
      <c r="AE53" s="43">
        <v>0</v>
      </c>
      <c r="AF53" s="41">
        <v>0</v>
      </c>
      <c r="AG53" s="41">
        <v>0</v>
      </c>
      <c r="AH53" s="41">
        <v>0</v>
      </c>
      <c r="AI53" s="21">
        <f>+AJ53-SUM(AF53:AH53)</f>
        <v>0</v>
      </c>
      <c r="AJ53" s="43">
        <v>0</v>
      </c>
      <c r="AK53" s="41">
        <v>0</v>
      </c>
      <c r="AL53" s="41">
        <v>0</v>
      </c>
      <c r="AM53" s="41">
        <v>0</v>
      </c>
      <c r="AN53" s="21">
        <f>+AO53-SUM(AK53:AM53)</f>
        <v>0</v>
      </c>
      <c r="AO53" s="43">
        <v>0</v>
      </c>
      <c r="AP53" s="41">
        <v>0</v>
      </c>
      <c r="AQ53" s="41">
        <v>0</v>
      </c>
      <c r="AR53" s="41">
        <v>0</v>
      </c>
      <c r="AS53" s="21">
        <f>+AT53-SUM(AP53:AR53)</f>
        <v>0</v>
      </c>
      <c r="AT53" s="43">
        <v>0</v>
      </c>
      <c r="AU53" s="41">
        <v>0</v>
      </c>
      <c r="AV53" s="41">
        <v>0</v>
      </c>
      <c r="AW53" s="41">
        <v>0</v>
      </c>
      <c r="AX53" s="21">
        <f>+AY53-SUM(AU53:AW53)</f>
        <v>0</v>
      </c>
      <c r="AY53" s="43">
        <v>0</v>
      </c>
      <c r="AZ53" s="41">
        <v>0</v>
      </c>
      <c r="BA53" s="41">
        <v>0</v>
      </c>
      <c r="BB53" s="41">
        <v>0</v>
      </c>
      <c r="BC53" s="21">
        <f>+BD53-SUM(AZ53:BB53)</f>
        <v>0</v>
      </c>
      <c r="BD53" s="43">
        <v>0</v>
      </c>
      <c r="BE53" s="41">
        <v>0</v>
      </c>
      <c r="BF53" s="41">
        <v>0</v>
      </c>
      <c r="BG53" s="41">
        <v>0</v>
      </c>
      <c r="BH53" s="21">
        <f t="shared" ref="BH53" si="95">BI53-SUM(BE53:BG53)</f>
        <v>0</v>
      </c>
      <c r="BI53" s="43">
        <v>0</v>
      </c>
    </row>
    <row r="54" spans="1:64">
      <c r="A54" s="16" t="s">
        <v>401</v>
      </c>
      <c r="B54" s="77"/>
      <c r="C54" s="77"/>
      <c r="D54" s="77"/>
      <c r="E54" s="77"/>
      <c r="F54" s="79"/>
      <c r="G54" s="77"/>
      <c r="H54" s="77"/>
      <c r="I54" s="77"/>
      <c r="J54" s="77"/>
      <c r="K54" s="79"/>
      <c r="L54" s="77"/>
      <c r="M54" s="77"/>
      <c r="N54" s="77"/>
      <c r="O54" s="77"/>
      <c r="P54" s="79"/>
      <c r="Q54" s="77"/>
      <c r="R54" s="77"/>
      <c r="S54" s="77"/>
      <c r="T54" s="77"/>
      <c r="U54" s="79"/>
      <c r="V54" s="77">
        <f t="shared" ref="V54:AA54" si="96">+SUM(V44,V32,V21,V50,V52,V53)</f>
        <v>70</v>
      </c>
      <c r="W54" s="77">
        <f t="shared" si="96"/>
        <v>573</v>
      </c>
      <c r="X54" s="77">
        <f t="shared" si="96"/>
        <v>526</v>
      </c>
      <c r="Y54" s="77">
        <f t="shared" si="96"/>
        <v>39</v>
      </c>
      <c r="Z54" s="79">
        <f t="shared" si="96"/>
        <v>1208</v>
      </c>
      <c r="AA54" s="77">
        <f t="shared" si="96"/>
        <v>646</v>
      </c>
      <c r="AB54" s="77">
        <f>+SUM(AB44,AB32,AB21,AB50,AB52,AB53)</f>
        <v>-1049</v>
      </c>
      <c r="AC54" s="77">
        <f>+SUM(AC44,AC32,AC21,AC50,AC52,AC53)</f>
        <v>3015</v>
      </c>
      <c r="AD54" s="77">
        <f t="shared" ref="AD54:AF54" si="97">+SUM(AD44,AD32,AD21,AD50,AD52,AD53)</f>
        <v>-1200</v>
      </c>
      <c r="AE54" s="79">
        <f t="shared" si="97"/>
        <v>1412</v>
      </c>
      <c r="AF54" s="77">
        <f t="shared" si="97"/>
        <v>-216</v>
      </c>
      <c r="AG54" s="77">
        <f>+SUM(AG44,AG32,AG21,AG50,AG52,AG53)</f>
        <v>-536</v>
      </c>
      <c r="AH54" s="77">
        <f>+SUM(AH44,AH32,AH21,AH50,AH52,AH53)</f>
        <v>-578</v>
      </c>
      <c r="AI54" s="77">
        <f t="shared" ref="AI54:AK54" si="98">+SUM(AI44,AI32,AI21,AI50,AI52,AI53)</f>
        <v>351</v>
      </c>
      <c r="AJ54" s="79">
        <f>+SUM(AJ44,AJ32,AJ21,AJ50,AJ52,AJ53)</f>
        <v>-979</v>
      </c>
      <c r="AK54" s="77">
        <f t="shared" si="98"/>
        <v>-1772</v>
      </c>
      <c r="AL54" s="77">
        <f>+SUM(AL44,AL32,AL21,AL50,AL52,AL53)</f>
        <v>-1249</v>
      </c>
      <c r="AM54" s="77">
        <f>+SUM(AM44,AM32,AM21,AM50,AM52,AM53)</f>
        <v>603</v>
      </c>
      <c r="AN54" s="77">
        <f t="shared" ref="AN54" si="99">+SUM(AN44,AN32,AN21,AN50,AN52,AN53)</f>
        <v>856</v>
      </c>
      <c r="AO54" s="79">
        <f>+SUM(AO44,AO32,AO21,AO50,AO52,AO53)</f>
        <v>-1562</v>
      </c>
      <c r="AP54" s="77">
        <f t="shared" ref="AP54" si="100">+SUM(AP44,AP32,AP21,AP50,AP52,AP53)</f>
        <v>-345</v>
      </c>
      <c r="AQ54" s="77">
        <f>+SUM(AQ44,AQ32,AQ21,AQ50,AQ52,AQ53)</f>
        <v>-514</v>
      </c>
      <c r="AR54" s="77">
        <f>+SUM(AR44,AR32,AR21,AR50,AR52,AR53)</f>
        <v>65</v>
      </c>
      <c r="AS54" s="77">
        <f t="shared" ref="AS54" si="101">+SUM(AS44,AS32,AS21,AS50,AS52,AS53)</f>
        <v>1129</v>
      </c>
      <c r="AT54" s="79">
        <f>+SUM(AT44,AT32,AT21,AT50,AT52,AT53)</f>
        <v>335</v>
      </c>
      <c r="AU54" s="77">
        <f t="shared" ref="AU54" si="102">+SUM(AU44,AU32,AU21,AU50,AU52,AU53)</f>
        <v>-980</v>
      </c>
      <c r="AV54" s="77">
        <f>+SUM(AV44,AV32,AV21,AV50,AV52,AV53)</f>
        <v>412</v>
      </c>
      <c r="AW54" s="77">
        <f>+SUM(AW44,AW32,AW21,AW50,AW52,AW53)</f>
        <v>673</v>
      </c>
      <c r="AX54" s="77">
        <f t="shared" ref="AX54" si="103">+SUM(AX44,AX32,AX21,AX50,AX52,AX53)</f>
        <v>-1125</v>
      </c>
      <c r="AY54" s="79">
        <f>+SUM(AY44,AY32,AY21,AY50,AY52,AY53)</f>
        <v>-1020</v>
      </c>
      <c r="AZ54" s="77">
        <f t="shared" ref="AZ54" si="104">+SUM(AZ44,AZ32,AZ21,AZ50,AZ52,AZ53)</f>
        <v>-413</v>
      </c>
      <c r="BA54" s="77">
        <f>+SUM(BA44,BA32,BA21,BA50,BA52,BA53)</f>
        <v>-366</v>
      </c>
      <c r="BB54" s="77">
        <f>+SUM(BB44,BB32,BB21,BB50,BB52,BB53)</f>
        <v>1177</v>
      </c>
      <c r="BC54" s="77">
        <f t="shared" ref="BC54" si="105">+SUM(BC44,BC32,BC21,BC50,BC52,BC53)</f>
        <v>1466</v>
      </c>
      <c r="BD54" s="79">
        <f>+SUM(BD44,BD32,BD21,BD50,BD52,BD53)</f>
        <v>1864</v>
      </c>
      <c r="BE54" s="77">
        <f t="shared" ref="BE54" si="106">+SUM(BE44,BE32,BE21,BE50,BE52,BE53)</f>
        <v>-599</v>
      </c>
      <c r="BF54" s="77">
        <f t="shared" ref="BF54:BG54" si="107">+SUM(BF44,BF32,BF21,BF50,BF52,BF53)</f>
        <v>1521</v>
      </c>
      <c r="BG54" s="77">
        <f t="shared" si="107"/>
        <v>1030.1062457325856</v>
      </c>
      <c r="BH54" s="77">
        <f t="shared" ref="BH54" si="108">+SUM(BH44,BH32,BH21,BH50,BH52,BH53)</f>
        <v>-730.89188697057216</v>
      </c>
      <c r="BI54" s="79">
        <f>+SUM(BI44,BI32,BI21,BI50,BI52,BI53)</f>
        <v>1221.2143587620139</v>
      </c>
    </row>
    <row r="55" spans="1:64">
      <c r="A55" s="16"/>
      <c r="B55" s="77"/>
      <c r="C55" s="77"/>
      <c r="D55" s="77"/>
      <c r="E55" s="77"/>
      <c r="F55" s="79"/>
      <c r="G55" s="77"/>
      <c r="H55" s="77"/>
      <c r="I55" s="77"/>
      <c r="J55" s="77"/>
      <c r="K55" s="79"/>
      <c r="L55" s="77"/>
      <c r="M55" s="77"/>
      <c r="N55" s="77"/>
      <c r="O55" s="77"/>
      <c r="P55" s="79"/>
      <c r="Q55" s="77"/>
      <c r="R55" s="77"/>
      <c r="S55" s="77"/>
      <c r="T55" s="77"/>
      <c r="U55" s="79"/>
      <c r="V55" s="77"/>
      <c r="W55" s="77"/>
      <c r="X55" s="77"/>
      <c r="Y55" s="77"/>
      <c r="Z55" s="79"/>
      <c r="AA55" s="77"/>
      <c r="AB55" s="77"/>
      <c r="AC55" s="77"/>
      <c r="AD55" s="77"/>
      <c r="AE55" s="79"/>
      <c r="AF55" s="77"/>
      <c r="AG55" s="77"/>
      <c r="AH55" s="77"/>
      <c r="AI55" s="77"/>
      <c r="AJ55" s="79"/>
      <c r="AK55" s="77"/>
      <c r="AL55" s="77"/>
      <c r="AM55" s="77"/>
      <c r="AN55" s="77"/>
      <c r="AO55" s="79"/>
      <c r="AP55" s="77"/>
      <c r="AQ55" s="77"/>
      <c r="AR55" s="77"/>
      <c r="AS55" s="77"/>
      <c r="AT55" s="79"/>
      <c r="AU55" s="77"/>
      <c r="AV55" s="77"/>
      <c r="AW55" s="77"/>
      <c r="AX55" s="77"/>
      <c r="AY55" s="79"/>
      <c r="AZ55" s="77"/>
      <c r="BA55" s="77"/>
      <c r="BB55" s="77"/>
      <c r="BC55" s="77"/>
      <c r="BD55" s="79"/>
      <c r="BE55" s="77"/>
      <c r="BF55" s="77"/>
      <c r="BG55" s="77"/>
      <c r="BH55" s="77"/>
      <c r="BI55" s="79"/>
      <c r="BL55">
        <f>220*1.15</f>
        <v>252.99999999999997</v>
      </c>
    </row>
    <row r="56" spans="1:64">
      <c r="A56" s="15" t="s">
        <v>238</v>
      </c>
      <c r="B56" s="94"/>
      <c r="C56" s="23"/>
      <c r="D56" s="23"/>
      <c r="E56" s="23"/>
      <c r="F56" s="24"/>
      <c r="G56" s="23"/>
      <c r="H56" s="23"/>
      <c r="I56" s="23"/>
      <c r="J56" s="23"/>
      <c r="K56" s="24"/>
      <c r="L56" s="23"/>
      <c r="M56" s="23"/>
      <c r="N56" s="23"/>
      <c r="O56" s="23"/>
      <c r="P56" s="24"/>
      <c r="Q56" s="23"/>
      <c r="R56" s="23"/>
      <c r="S56" s="23"/>
      <c r="T56" s="23"/>
      <c r="U56" s="24"/>
      <c r="V56" s="29">
        <v>6212</v>
      </c>
      <c r="W56" s="23">
        <f>V57</f>
        <v>6282</v>
      </c>
      <c r="X56" s="23">
        <f>+W57</f>
        <v>6855</v>
      </c>
      <c r="Y56" s="23">
        <f>+X57</f>
        <v>7381</v>
      </c>
      <c r="Z56" s="24">
        <f>+V56</f>
        <v>6212</v>
      </c>
      <c r="AA56" s="23">
        <f>Z57</f>
        <v>7420</v>
      </c>
      <c r="AB56" s="23">
        <f>AA57</f>
        <v>8066</v>
      </c>
      <c r="AC56" s="23">
        <f>AB57</f>
        <v>7017</v>
      </c>
      <c r="AD56" s="23">
        <f>+AC57</f>
        <v>10032</v>
      </c>
      <c r="AE56" s="24">
        <f>+AA56</f>
        <v>7420</v>
      </c>
      <c r="AF56" s="23">
        <f>AE57</f>
        <v>8832</v>
      </c>
      <c r="AG56" s="23">
        <f>+AF57</f>
        <v>8616</v>
      </c>
      <c r="AH56" s="23">
        <f>AG57</f>
        <v>8080</v>
      </c>
      <c r="AI56" s="23">
        <f>+AH57</f>
        <v>7502</v>
      </c>
      <c r="AJ56" s="24">
        <f>+AF56</f>
        <v>8832</v>
      </c>
      <c r="AK56" s="23">
        <f>AJ57</f>
        <v>7853</v>
      </c>
      <c r="AL56" s="23">
        <f>+AK57</f>
        <v>6081</v>
      </c>
      <c r="AM56" s="23">
        <f>AL57</f>
        <v>4832</v>
      </c>
      <c r="AN56" s="23">
        <f>+AM57</f>
        <v>5435</v>
      </c>
      <c r="AO56" s="24">
        <f>+AK56</f>
        <v>7853</v>
      </c>
      <c r="AP56" s="23">
        <f>AO57</f>
        <v>6291</v>
      </c>
      <c r="AQ56" s="23">
        <f>+AP57</f>
        <v>5946</v>
      </c>
      <c r="AR56" s="23">
        <f>AQ57</f>
        <v>5432</v>
      </c>
      <c r="AS56" s="23">
        <f>+AR57</f>
        <v>5497</v>
      </c>
      <c r="AT56" s="24">
        <f>+AP56</f>
        <v>6291</v>
      </c>
      <c r="AU56" s="23">
        <f>AT57</f>
        <v>6626</v>
      </c>
      <c r="AV56" s="23">
        <f>+AU57</f>
        <v>5646</v>
      </c>
      <c r="AW56" s="23">
        <f>AV57</f>
        <v>6058</v>
      </c>
      <c r="AX56" s="23">
        <f>+AW57</f>
        <v>6731</v>
      </c>
      <c r="AY56" s="24">
        <f>+AU56</f>
        <v>6626</v>
      </c>
      <c r="AZ56" s="23">
        <f>AY57</f>
        <v>5606</v>
      </c>
      <c r="BA56" s="23">
        <f>+AZ57</f>
        <v>5193</v>
      </c>
      <c r="BB56" s="23">
        <f>BA57</f>
        <v>4827</v>
      </c>
      <c r="BC56" s="23">
        <f>+BB57</f>
        <v>6004</v>
      </c>
      <c r="BD56" s="24">
        <f>+AZ56</f>
        <v>5606</v>
      </c>
      <c r="BE56" s="23">
        <f>BD57</f>
        <v>7470</v>
      </c>
      <c r="BF56" s="23">
        <f t="shared" ref="BF56:BG56" si="109">+BE57</f>
        <v>6871</v>
      </c>
      <c r="BG56" s="23">
        <f t="shared" si="109"/>
        <v>8392</v>
      </c>
      <c r="BH56" s="23">
        <f t="shared" ref="BH56" si="110">+BG57</f>
        <v>9422.1062457325861</v>
      </c>
      <c r="BI56" s="24">
        <f>+BE56</f>
        <v>7470</v>
      </c>
      <c r="BL56">
        <v>210</v>
      </c>
    </row>
    <row r="57" spans="1:64">
      <c r="A57" s="15" t="s">
        <v>237</v>
      </c>
      <c r="B57" s="23"/>
      <c r="C57" s="23"/>
      <c r="D57" s="23"/>
      <c r="E57" s="23"/>
      <c r="F57" s="24"/>
      <c r="G57" s="23"/>
      <c r="H57" s="23"/>
      <c r="I57" s="23"/>
      <c r="J57" s="23"/>
      <c r="K57" s="24"/>
      <c r="L57" s="23"/>
      <c r="M57" s="23"/>
      <c r="N57" s="23"/>
      <c r="O57" s="23"/>
      <c r="P57" s="24"/>
      <c r="Q57" s="23"/>
      <c r="R57" s="23"/>
      <c r="S57" s="23"/>
      <c r="T57" s="23"/>
      <c r="U57" s="24"/>
      <c r="V57" s="23">
        <f t="shared" ref="V57:AK57" si="111">+SUM(V54,V56)</f>
        <v>6282</v>
      </c>
      <c r="W57" s="23">
        <f t="shared" si="111"/>
        <v>6855</v>
      </c>
      <c r="X57" s="23">
        <f t="shared" si="111"/>
        <v>7381</v>
      </c>
      <c r="Y57" s="23">
        <f t="shared" si="111"/>
        <v>7420</v>
      </c>
      <c r="Z57" s="24">
        <f t="shared" si="111"/>
        <v>7420</v>
      </c>
      <c r="AA57" s="23">
        <f t="shared" si="111"/>
        <v>8066</v>
      </c>
      <c r="AB57" s="23">
        <f t="shared" si="111"/>
        <v>7017</v>
      </c>
      <c r="AC57" s="23">
        <f t="shared" ref="AC57:AF57" si="112">+SUM(AC54,AC56)</f>
        <v>10032</v>
      </c>
      <c r="AD57" s="23">
        <f t="shared" si="112"/>
        <v>8832</v>
      </c>
      <c r="AE57" s="24">
        <f t="shared" si="112"/>
        <v>8832</v>
      </c>
      <c r="AF57" s="23">
        <f t="shared" si="112"/>
        <v>8616</v>
      </c>
      <c r="AG57" s="23">
        <f t="shared" si="111"/>
        <v>8080</v>
      </c>
      <c r="AH57" s="23">
        <f t="shared" si="111"/>
        <v>7502</v>
      </c>
      <c r="AI57" s="23">
        <f>+SUM(AI54,AI56)</f>
        <v>7853</v>
      </c>
      <c r="AJ57" s="24">
        <f>+SUM(AJ54,AJ56)</f>
        <v>7853</v>
      </c>
      <c r="AK57" s="23">
        <f t="shared" si="111"/>
        <v>6081</v>
      </c>
      <c r="AL57" s="23">
        <f t="shared" ref="AL57:AM57" si="113">+SUM(AL54,AL56)</f>
        <v>4832</v>
      </c>
      <c r="AM57" s="23">
        <f t="shared" si="113"/>
        <v>5435</v>
      </c>
      <c r="AN57" s="23">
        <f>+SUM(AN54,AN56)</f>
        <v>6291</v>
      </c>
      <c r="AO57" s="24">
        <f>+SUM(AO54,AO56)</f>
        <v>6291</v>
      </c>
      <c r="AP57" s="23">
        <f t="shared" ref="AP57:AR57" si="114">+SUM(AP54,AP56)</f>
        <v>5946</v>
      </c>
      <c r="AQ57" s="23">
        <f t="shared" si="114"/>
        <v>5432</v>
      </c>
      <c r="AR57" s="23">
        <f t="shared" si="114"/>
        <v>5497</v>
      </c>
      <c r="AS57" s="23">
        <f>+SUM(AS54,AS56)</f>
        <v>6626</v>
      </c>
      <c r="AT57" s="24">
        <f>+SUM(AT54,AT56)</f>
        <v>6626</v>
      </c>
      <c r="AU57" s="23">
        <f t="shared" ref="AU57:AW57" si="115">+SUM(AU54,AU56)</f>
        <v>5646</v>
      </c>
      <c r="AV57" s="23">
        <f t="shared" si="115"/>
        <v>6058</v>
      </c>
      <c r="AW57" s="23">
        <f t="shared" si="115"/>
        <v>6731</v>
      </c>
      <c r="AX57" s="23">
        <f>+SUM(AX54,AX56)</f>
        <v>5606</v>
      </c>
      <c r="AY57" s="24">
        <f>+SUM(AY54,AY56)</f>
        <v>5606</v>
      </c>
      <c r="AZ57" s="23">
        <f t="shared" ref="AZ57:BB57" si="116">+SUM(AZ54,AZ56)</f>
        <v>5193</v>
      </c>
      <c r="BA57" s="23">
        <f t="shared" si="116"/>
        <v>4827</v>
      </c>
      <c r="BB57" s="23">
        <f t="shared" si="116"/>
        <v>6004</v>
      </c>
      <c r="BC57" s="23">
        <f>+SUM(BC54,BC56)</f>
        <v>7470</v>
      </c>
      <c r="BD57" s="24">
        <f>+SUM(BD54,BD56)</f>
        <v>7470</v>
      </c>
      <c r="BE57" s="23">
        <f t="shared" ref="BE57" si="117">+SUM(BE54,BE56)</f>
        <v>6871</v>
      </c>
      <c r="BF57" s="23">
        <f t="shared" ref="BF57:BG57" si="118">+SUM(BF54,BF56)</f>
        <v>8392</v>
      </c>
      <c r="BG57" s="23">
        <f t="shared" si="118"/>
        <v>9422.1062457325861</v>
      </c>
      <c r="BH57" s="23">
        <f t="shared" ref="BH57:BI57" si="119">+SUM(BH54,BH56)</f>
        <v>8691.2143587620139</v>
      </c>
      <c r="BI57" s="24">
        <f t="shared" si="119"/>
        <v>8691.2143587620139</v>
      </c>
      <c r="BL57">
        <f>250/BL56-1</f>
        <v>0.19047619047619047</v>
      </c>
    </row>
    <row r="58" spans="1:64">
      <c r="A58" s="15" t="s">
        <v>248</v>
      </c>
      <c r="B58" s="29"/>
      <c r="C58" s="29"/>
      <c r="D58" s="29"/>
      <c r="E58" s="29"/>
      <c r="F58" s="24"/>
      <c r="G58" s="29"/>
      <c r="H58" s="29"/>
      <c r="I58" s="29"/>
      <c r="J58" s="29"/>
      <c r="K58" s="24"/>
      <c r="L58" s="29"/>
      <c r="M58" s="29"/>
      <c r="N58" s="29"/>
      <c r="O58" s="29"/>
      <c r="P58" s="24"/>
      <c r="Q58" s="29"/>
      <c r="R58" s="29"/>
      <c r="S58" s="29"/>
      <c r="T58" s="29"/>
      <c r="U58" s="24"/>
      <c r="V58" s="29">
        <v>0</v>
      </c>
      <c r="W58" s="29">
        <f>18</f>
        <v>18</v>
      </c>
      <c r="X58" s="29">
        <v>20</v>
      </c>
      <c r="Y58" s="95">
        <f>Z58</f>
        <v>24</v>
      </c>
      <c r="Z58" s="30">
        <v>24</v>
      </c>
      <c r="AA58" s="29">
        <v>65</v>
      </c>
      <c r="AB58" s="29">
        <v>42</v>
      </c>
      <c r="AC58" s="29">
        <v>31</v>
      </c>
      <c r="AD58" s="29">
        <f>AE58</f>
        <v>30</v>
      </c>
      <c r="AE58" s="30">
        <v>30</v>
      </c>
      <c r="AF58" s="29">
        <v>37</v>
      </c>
      <c r="AG58" s="29">
        <v>29</v>
      </c>
      <c r="AH58" s="29">
        <v>26</v>
      </c>
      <c r="AI58" s="29">
        <f>AJ58</f>
        <v>21</v>
      </c>
      <c r="AJ58" s="30">
        <v>21</v>
      </c>
      <c r="AK58" s="29">
        <v>41</v>
      </c>
      <c r="AL58" s="29">
        <v>65</v>
      </c>
      <c r="AM58" s="29">
        <v>54</v>
      </c>
      <c r="AN58" s="29">
        <f>AO58</f>
        <v>71</v>
      </c>
      <c r="AO58" s="30">
        <v>71</v>
      </c>
      <c r="AP58" s="29">
        <v>53</v>
      </c>
      <c r="AQ58" s="29">
        <v>41</v>
      </c>
      <c r="AR58" s="29">
        <v>41</v>
      </c>
      <c r="AS58" s="29">
        <f>AT58</f>
        <v>39</v>
      </c>
      <c r="AT58" s="30">
        <v>39</v>
      </c>
      <c r="AU58" s="29">
        <v>39</v>
      </c>
      <c r="AV58" s="29">
        <v>47</v>
      </c>
      <c r="AW58" s="29">
        <v>49</v>
      </c>
      <c r="AX58" s="29">
        <f>AY58</f>
        <v>28</v>
      </c>
      <c r="AY58" s="30">
        <v>28</v>
      </c>
      <c r="AZ58" s="29">
        <v>36</v>
      </c>
      <c r="BA58" s="29">
        <v>45</v>
      </c>
      <c r="BB58" s="29">
        <v>38</v>
      </c>
      <c r="BC58" s="29">
        <f>BD58</f>
        <v>35</v>
      </c>
      <c r="BD58" s="30">
        <v>35</v>
      </c>
      <c r="BE58" s="29">
        <v>53</v>
      </c>
      <c r="BF58" s="29">
        <v>87</v>
      </c>
      <c r="BG58" s="29">
        <f t="shared" ref="BG58" si="120">BF58</f>
        <v>87</v>
      </c>
      <c r="BH58" s="29">
        <f t="shared" ref="BH58" si="121">BG58</f>
        <v>87</v>
      </c>
      <c r="BI58" s="24">
        <f>+BH58</f>
        <v>87</v>
      </c>
    </row>
    <row r="59" spans="1:64">
      <c r="A59" s="15" t="s">
        <v>321</v>
      </c>
      <c r="B59" s="29"/>
      <c r="C59" s="29"/>
      <c r="D59" s="29"/>
      <c r="E59" s="29"/>
      <c r="F59" s="24"/>
      <c r="G59" s="29"/>
      <c r="H59" s="29"/>
      <c r="I59" s="29"/>
      <c r="J59" s="29"/>
      <c r="K59" s="24"/>
      <c r="L59" s="29"/>
      <c r="M59" s="29"/>
      <c r="N59" s="29"/>
      <c r="O59" s="29"/>
      <c r="P59" s="24"/>
      <c r="Q59" s="29"/>
      <c r="R59" s="29"/>
      <c r="S59" s="29"/>
      <c r="T59" s="29"/>
      <c r="U59" s="24"/>
      <c r="V59" s="29">
        <v>42</v>
      </c>
      <c r="W59" s="29">
        <v>2521</v>
      </c>
      <c r="X59" s="29">
        <v>2378</v>
      </c>
      <c r="Y59" s="29">
        <v>0</v>
      </c>
      <c r="Z59" s="30">
        <v>2459</v>
      </c>
      <c r="AA59" s="29">
        <v>0</v>
      </c>
      <c r="AB59" s="29">
        <v>0</v>
      </c>
      <c r="AC59" s="29">
        <v>0</v>
      </c>
      <c r="AD59" s="29">
        <v>0</v>
      </c>
      <c r="AE59" s="401">
        <v>-2459</v>
      </c>
      <c r="AF59" s="29">
        <v>0</v>
      </c>
      <c r="AG59" s="29">
        <v>0</v>
      </c>
      <c r="AH59" s="29">
        <v>0</v>
      </c>
      <c r="AI59" s="29">
        <v>0</v>
      </c>
      <c r="AJ59" s="30">
        <v>0</v>
      </c>
      <c r="AK59" s="29">
        <v>0</v>
      </c>
      <c r="AL59" s="29">
        <v>0</v>
      </c>
      <c r="AM59" s="29">
        <v>0</v>
      </c>
      <c r="AN59" s="29">
        <v>0</v>
      </c>
      <c r="AO59" s="30">
        <v>0</v>
      </c>
      <c r="AP59" s="29">
        <v>0</v>
      </c>
      <c r="AQ59" s="29">
        <v>0</v>
      </c>
      <c r="AR59" s="29">
        <v>0</v>
      </c>
      <c r="AS59" s="29">
        <v>0</v>
      </c>
      <c r="AT59" s="30">
        <v>0</v>
      </c>
      <c r="AU59" s="29">
        <v>0</v>
      </c>
      <c r="AV59" s="29">
        <v>0</v>
      </c>
      <c r="AW59" s="29">
        <v>0</v>
      </c>
      <c r="AX59" s="29">
        <v>0</v>
      </c>
      <c r="AY59" s="30">
        <v>0</v>
      </c>
      <c r="AZ59" s="29">
        <v>0</v>
      </c>
      <c r="BA59" s="29">
        <v>0</v>
      </c>
      <c r="BB59" s="29">
        <v>0</v>
      </c>
      <c r="BC59" s="29">
        <v>0</v>
      </c>
      <c r="BD59" s="30">
        <v>0</v>
      </c>
      <c r="BE59" s="29">
        <v>0</v>
      </c>
      <c r="BF59" s="29">
        <v>0</v>
      </c>
      <c r="BG59" s="29">
        <v>0</v>
      </c>
      <c r="BH59" s="29">
        <v>0</v>
      </c>
      <c r="BI59" s="24">
        <f>+BH59</f>
        <v>0</v>
      </c>
    </row>
    <row r="60" spans="1:64">
      <c r="A60" s="15" t="s">
        <v>242</v>
      </c>
      <c r="B60" s="23"/>
      <c r="C60" s="23"/>
      <c r="D60" s="23"/>
      <c r="E60" s="23"/>
      <c r="F60" s="24"/>
      <c r="G60" s="23"/>
      <c r="H60" s="23"/>
      <c r="I60" s="23"/>
      <c r="J60" s="23"/>
      <c r="K60" s="24"/>
      <c r="L60" s="23"/>
      <c r="M60" s="23"/>
      <c r="N60" s="23"/>
      <c r="O60" s="23"/>
      <c r="P60" s="24"/>
      <c r="Q60" s="23"/>
      <c r="R60" s="23"/>
      <c r="S60" s="23"/>
      <c r="T60" s="23"/>
      <c r="U60" s="24"/>
      <c r="V60" s="23">
        <f>+V57-V58-V59</f>
        <v>6240</v>
      </c>
      <c r="W60" s="23">
        <f t="shared" ref="W60:AI60" si="122">+W57-W58-W59</f>
        <v>4316</v>
      </c>
      <c r="X60" s="23">
        <f t="shared" si="122"/>
        <v>4983</v>
      </c>
      <c r="Y60" s="23">
        <f t="shared" si="122"/>
        <v>7396</v>
      </c>
      <c r="Z60" s="24">
        <f t="shared" si="122"/>
        <v>4937</v>
      </c>
      <c r="AA60" s="23">
        <f t="shared" si="122"/>
        <v>8001</v>
      </c>
      <c r="AB60" s="23">
        <f t="shared" si="122"/>
        <v>6975</v>
      </c>
      <c r="AC60" s="23">
        <f t="shared" ref="AC60:AD60" si="123">+AC57-AC58-AC59</f>
        <v>10001</v>
      </c>
      <c r="AD60" s="23">
        <f t="shared" si="123"/>
        <v>8802</v>
      </c>
      <c r="AE60" s="24">
        <f>+AE57-AE58</f>
        <v>8802</v>
      </c>
      <c r="AF60" s="23">
        <f t="shared" ref="AF60" si="124">+AF57-AF58-AF59</f>
        <v>8579</v>
      </c>
      <c r="AG60" s="23">
        <f t="shared" si="122"/>
        <v>8051</v>
      </c>
      <c r="AH60" s="23">
        <f t="shared" si="122"/>
        <v>7476</v>
      </c>
      <c r="AI60" s="23">
        <f t="shared" si="122"/>
        <v>7832</v>
      </c>
      <c r="AJ60" s="24">
        <f>+AJ57-AJ58</f>
        <v>7832</v>
      </c>
      <c r="AK60" s="23">
        <f t="shared" ref="AK60:AN60" si="125">+AK57-AK58-AK59</f>
        <v>6040</v>
      </c>
      <c r="AL60" s="23">
        <f t="shared" si="125"/>
        <v>4767</v>
      </c>
      <c r="AM60" s="23">
        <f t="shared" si="125"/>
        <v>5381</v>
      </c>
      <c r="AN60" s="23">
        <f t="shared" si="125"/>
        <v>6220</v>
      </c>
      <c r="AO60" s="24">
        <f>+AO57-AO58</f>
        <v>6220</v>
      </c>
      <c r="AP60" s="23">
        <f t="shared" ref="AP60:AS60" si="126">+AP57-AP58-AP59</f>
        <v>5893</v>
      </c>
      <c r="AQ60" s="23">
        <f t="shared" si="126"/>
        <v>5391</v>
      </c>
      <c r="AR60" s="23">
        <f t="shared" si="126"/>
        <v>5456</v>
      </c>
      <c r="AS60" s="23">
        <f t="shared" si="126"/>
        <v>6587</v>
      </c>
      <c r="AT60" s="24">
        <f>+AT57-AT58</f>
        <v>6587</v>
      </c>
      <c r="AU60" s="23">
        <f t="shared" ref="AU60:AX60" si="127">+AU57-AU58-AU59</f>
        <v>5607</v>
      </c>
      <c r="AV60" s="23">
        <f t="shared" si="127"/>
        <v>6011</v>
      </c>
      <c r="AW60" s="23">
        <f t="shared" si="127"/>
        <v>6682</v>
      </c>
      <c r="AX60" s="23">
        <f t="shared" si="127"/>
        <v>5578</v>
      </c>
      <c r="AY60" s="24">
        <f>+AY57-AY58</f>
        <v>5578</v>
      </c>
      <c r="AZ60" s="23">
        <f t="shared" ref="AZ60:BC60" si="128">+AZ57-AZ58-AZ59</f>
        <v>5157</v>
      </c>
      <c r="BA60" s="23">
        <f t="shared" si="128"/>
        <v>4782</v>
      </c>
      <c r="BB60" s="23">
        <f t="shared" si="128"/>
        <v>5966</v>
      </c>
      <c r="BC60" s="23">
        <f t="shared" si="128"/>
        <v>7435</v>
      </c>
      <c r="BD60" s="24">
        <f>+BD57-BD58</f>
        <v>7435</v>
      </c>
      <c r="BE60" s="23">
        <f t="shared" ref="BE60" si="129">+BE57-BE58-BE59</f>
        <v>6818</v>
      </c>
      <c r="BF60" s="23">
        <f t="shared" ref="BF60:BG60" si="130">+BF57-BF58-BF59</f>
        <v>8305</v>
      </c>
      <c r="BG60" s="23">
        <f t="shared" si="130"/>
        <v>9335.1062457325861</v>
      </c>
      <c r="BH60" s="23">
        <f t="shared" ref="BH60:BI60" si="131">+BH57-BH58-BH59</f>
        <v>8604.2143587620139</v>
      </c>
      <c r="BI60" s="24">
        <f t="shared" si="131"/>
        <v>8604.2143587620139</v>
      </c>
    </row>
    <row r="61" spans="1:64">
      <c r="A61" t="s">
        <v>38</v>
      </c>
      <c r="F61" s="26"/>
      <c r="K61" s="26"/>
      <c r="P61" s="26"/>
      <c r="U61" s="26"/>
      <c r="Z61" s="26" t="b">
        <f>+Z60=Balance_Sheet_Qtr!Z5</f>
        <v>1</v>
      </c>
      <c r="AA61" s="25" t="b">
        <f>+AA60=Balance_Sheet_Qtr!AA5</f>
        <v>1</v>
      </c>
      <c r="AB61" s="25" t="b">
        <f>+AB60=Balance_Sheet_Qtr!AB5</f>
        <v>1</v>
      </c>
      <c r="AC61" s="25" t="b">
        <f>+AC60=Balance_Sheet_Qtr!AC5</f>
        <v>1</v>
      </c>
      <c r="AD61" s="25" t="b">
        <f>+AD60=Balance_Sheet_Qtr!AD5</f>
        <v>1</v>
      </c>
      <c r="AE61" s="26" t="b">
        <f>+AE60=Balance_Sheet_Qtr!AE5</f>
        <v>1</v>
      </c>
      <c r="AF61" s="25" t="b">
        <f>+AF60=Balance_Sheet_Qtr!AF5</f>
        <v>1</v>
      </c>
      <c r="AG61" s="25" t="b">
        <f>+AG60=Balance_Sheet_Qtr!AG5</f>
        <v>1</v>
      </c>
      <c r="AH61" s="25" t="b">
        <f>+AH60=Balance_Sheet_Qtr!AH5</f>
        <v>1</v>
      </c>
      <c r="AI61" s="25" t="b">
        <f>+AI60=Balance_Sheet_Qtr!AI5</f>
        <v>1</v>
      </c>
      <c r="AJ61" s="26" t="b">
        <f>+AJ60=Balance_Sheet_Qtr!AJ5</f>
        <v>1</v>
      </c>
      <c r="AK61" s="25" t="b">
        <f>+AK60=Balance_Sheet_Qtr!AK5</f>
        <v>1</v>
      </c>
      <c r="AL61" s="25" t="b">
        <f>+AL60=Balance_Sheet_Qtr!AL5</f>
        <v>1</v>
      </c>
      <c r="AM61" s="25" t="b">
        <f>+AM60=Balance_Sheet_Qtr!AM5</f>
        <v>1</v>
      </c>
      <c r="AN61" s="25" t="b">
        <f>+AN60=Balance_Sheet_Qtr!AN5</f>
        <v>1</v>
      </c>
      <c r="AO61" s="26" t="b">
        <f>+AO60=Balance_Sheet_Qtr!AO5</f>
        <v>1</v>
      </c>
      <c r="AP61" s="25" t="b">
        <f>+AP60=Balance_Sheet_Qtr!AP5</f>
        <v>1</v>
      </c>
      <c r="AQ61" s="25" t="b">
        <f>+AQ60=Balance_Sheet_Qtr!AQ5</f>
        <v>1</v>
      </c>
      <c r="AR61" s="25" t="b">
        <f>+AR60=Balance_Sheet_Qtr!AR5</f>
        <v>1</v>
      </c>
      <c r="AS61" s="25" t="b">
        <f>+AS60=Balance_Sheet_Qtr!AS5</f>
        <v>1</v>
      </c>
      <c r="AT61" s="26" t="b">
        <f>+AT60=Balance_Sheet_Qtr!AT5</f>
        <v>1</v>
      </c>
      <c r="AU61" s="25" t="b">
        <f>+AU60=Balance_Sheet_Qtr!AU5</f>
        <v>1</v>
      </c>
      <c r="AV61" s="25" t="b">
        <f>+AV60=Balance_Sheet_Qtr!AV5</f>
        <v>1</v>
      </c>
      <c r="AW61" s="25" t="b">
        <f>+AW60=Balance_Sheet_Qtr!AW5</f>
        <v>1</v>
      </c>
      <c r="AX61" s="25" t="b">
        <f>+AX60=Balance_Sheet_Qtr!AX5</f>
        <v>1</v>
      </c>
      <c r="AY61" s="26" t="b">
        <f>+AY60=Balance_Sheet_Qtr!AY5</f>
        <v>1</v>
      </c>
      <c r="AZ61" s="25" t="b">
        <f>+AZ60=Balance_Sheet_Qtr!AZ5</f>
        <v>1</v>
      </c>
      <c r="BA61" s="25" t="b">
        <f>+BA60=Balance_Sheet_Qtr!BA5</f>
        <v>1</v>
      </c>
      <c r="BB61" s="25" t="b">
        <f>+BB60=Balance_Sheet_Qtr!BB5</f>
        <v>1</v>
      </c>
      <c r="BC61" s="25" t="b">
        <f>+BC60=Balance_Sheet_Qtr!BC5</f>
        <v>1</v>
      </c>
      <c r="BD61" s="26" t="b">
        <f>+BD60=Balance_Sheet_Qtr!BD5</f>
        <v>1</v>
      </c>
      <c r="BE61" s="25" t="b">
        <f>+BE60=Balance_Sheet_Qtr!BE5</f>
        <v>1</v>
      </c>
      <c r="BF61" s="25" t="b">
        <f>+BF60=Balance_Sheet_Qtr!BF5</f>
        <v>1</v>
      </c>
      <c r="BG61" s="25" t="b">
        <f>+BG60=Balance_Sheet_Qtr!BG5</f>
        <v>1</v>
      </c>
      <c r="BH61" s="25" t="b">
        <f>+BH60=Balance_Sheet_Qtr!BH5</f>
        <v>1</v>
      </c>
      <c r="BI61" s="26" t="b">
        <f>+BI60=Balance_Sheet_Qtr!BI5</f>
        <v>1</v>
      </c>
    </row>
    <row r="62" spans="1:64">
      <c r="F62" s="26"/>
      <c r="K62" s="26"/>
      <c r="P62" s="26"/>
      <c r="U62" s="26"/>
      <c r="W62" s="77"/>
      <c r="Z62" s="26"/>
      <c r="AB62" s="77"/>
      <c r="AE62" s="26"/>
      <c r="AJ62" s="26"/>
      <c r="AO62" s="26"/>
      <c r="AT62" s="26"/>
      <c r="AY62" s="26"/>
      <c r="BD62" s="26"/>
      <c r="BI62" s="26"/>
    </row>
    <row r="63" spans="1:64">
      <c r="A63" s="134" t="s">
        <v>18</v>
      </c>
      <c r="B63" s="135"/>
      <c r="C63" s="135"/>
      <c r="D63" s="135"/>
      <c r="E63" s="135"/>
      <c r="F63" s="136"/>
      <c r="G63" s="135"/>
      <c r="H63" s="135"/>
      <c r="I63" s="135"/>
      <c r="J63" s="135"/>
      <c r="K63" s="136"/>
      <c r="L63" s="135"/>
      <c r="M63" s="135"/>
      <c r="N63" s="135"/>
      <c r="O63" s="135"/>
      <c r="P63" s="136"/>
      <c r="Q63" s="135"/>
      <c r="R63" s="135"/>
      <c r="S63" s="135"/>
      <c r="T63" s="135"/>
      <c r="U63" s="136"/>
      <c r="V63" s="135"/>
      <c r="W63" s="135"/>
      <c r="X63" s="135"/>
      <c r="Y63" s="135"/>
      <c r="Z63" s="136"/>
      <c r="AA63" s="135"/>
      <c r="AB63" s="135"/>
      <c r="AC63" s="135"/>
      <c r="AD63" s="135"/>
      <c r="AE63" s="136"/>
      <c r="AF63" s="135"/>
      <c r="AG63" s="135"/>
      <c r="AH63" s="135"/>
      <c r="AI63" s="135"/>
      <c r="AJ63" s="136"/>
      <c r="AK63" s="135"/>
      <c r="AL63" s="135"/>
      <c r="AM63" s="135"/>
      <c r="AN63" s="135"/>
      <c r="AO63" s="136"/>
      <c r="AP63" s="135"/>
      <c r="AQ63" s="135"/>
      <c r="AR63" s="135"/>
      <c r="AS63" s="135"/>
      <c r="AT63" s="136"/>
      <c r="AU63" s="135"/>
      <c r="AV63" s="135"/>
      <c r="AW63" s="135"/>
      <c r="AX63" s="135"/>
      <c r="AY63" s="136"/>
      <c r="AZ63" s="135"/>
      <c r="BA63" s="135"/>
      <c r="BB63" s="135"/>
      <c r="BC63" s="135"/>
      <c r="BD63" s="136"/>
      <c r="BE63" s="135"/>
      <c r="BF63" s="135"/>
      <c r="BG63" s="135"/>
      <c r="BH63" s="135"/>
      <c r="BI63" s="136"/>
    </row>
    <row r="64" spans="1:64">
      <c r="A64" s="13" t="s">
        <v>222</v>
      </c>
      <c r="B64" s="21"/>
      <c r="C64" s="21"/>
      <c r="D64" s="21"/>
      <c r="E64" s="21"/>
      <c r="F64" s="43"/>
      <c r="G64" s="21"/>
      <c r="H64" s="21"/>
      <c r="I64" s="21"/>
      <c r="J64" s="21"/>
      <c r="K64" s="43"/>
      <c r="L64" s="21"/>
      <c r="M64" s="21"/>
      <c r="N64" s="21"/>
      <c r="O64" s="21"/>
      <c r="P64" s="43"/>
      <c r="Q64" s="21"/>
      <c r="R64" s="21"/>
      <c r="S64" s="21"/>
      <c r="T64" s="21"/>
      <c r="U64" s="43"/>
      <c r="V64" s="21">
        <f t="shared" ref="V64:AB64" si="132">V5-V66</f>
        <v>568</v>
      </c>
      <c r="W64" s="21">
        <f t="shared" si="132"/>
        <v>92</v>
      </c>
      <c r="X64" s="21">
        <f t="shared" si="132"/>
        <v>374</v>
      </c>
      <c r="Y64" s="21">
        <f t="shared" si="132"/>
        <v>430</v>
      </c>
      <c r="Z64" s="22">
        <f t="shared" si="132"/>
        <v>1464</v>
      </c>
      <c r="AA64" s="21">
        <f t="shared" si="132"/>
        <v>626</v>
      </c>
      <c r="AB64" s="21">
        <f t="shared" si="132"/>
        <v>259</v>
      </c>
      <c r="AC64" s="21">
        <f t="shared" ref="AC64:AD64" si="133">AC5-AC66</f>
        <v>565</v>
      </c>
      <c r="AD64" s="21">
        <f t="shared" si="133"/>
        <v>581</v>
      </c>
      <c r="AE64" s="22">
        <f>SUM(AA64:AD64)</f>
        <v>2031</v>
      </c>
      <c r="AF64" s="21">
        <f t="shared" ref="AF64:AI64" si="134">AF5-AF66</f>
        <v>536</v>
      </c>
      <c r="AG64" s="21">
        <f t="shared" si="134"/>
        <v>540</v>
      </c>
      <c r="AH64" s="21">
        <f t="shared" si="134"/>
        <v>536</v>
      </c>
      <c r="AI64" s="21">
        <f t="shared" si="134"/>
        <v>506</v>
      </c>
      <c r="AJ64" s="22">
        <f>SUM(AF64:AI64)</f>
        <v>2118</v>
      </c>
      <c r="AK64" s="21">
        <f t="shared" ref="AK64:AN64" si="135">AK5-AK66</f>
        <v>537</v>
      </c>
      <c r="AL64" s="21">
        <f t="shared" si="135"/>
        <v>541</v>
      </c>
      <c r="AM64" s="21">
        <f t="shared" si="135"/>
        <v>561</v>
      </c>
      <c r="AN64" s="21">
        <f t="shared" si="135"/>
        <v>512</v>
      </c>
      <c r="AO64" s="22">
        <f>SUM(AK64:AN64)</f>
        <v>2151</v>
      </c>
      <c r="AP64" s="21">
        <f t="shared" ref="AP64:AS64" si="136">AP5-AP66</f>
        <v>539</v>
      </c>
      <c r="AQ64" s="21">
        <f t="shared" si="136"/>
        <v>534</v>
      </c>
      <c r="AR64" s="21">
        <f t="shared" si="136"/>
        <v>547</v>
      </c>
      <c r="AS64" s="21">
        <f t="shared" si="136"/>
        <v>506</v>
      </c>
      <c r="AT64" s="22">
        <f>SUM(AP64:AS64)</f>
        <v>2126</v>
      </c>
      <c r="AU64" s="21">
        <f t="shared" ref="AU64:AX64" si="137">AU5-AU66</f>
        <v>553</v>
      </c>
      <c r="AV64" s="21">
        <f t="shared" si="137"/>
        <v>538</v>
      </c>
      <c r="AW64" s="21">
        <f t="shared" si="137"/>
        <v>553</v>
      </c>
      <c r="AX64" s="21">
        <f t="shared" si="137"/>
        <v>520</v>
      </c>
      <c r="AY64" s="22">
        <f>SUM(AU64:AX64)</f>
        <v>2164</v>
      </c>
      <c r="AZ64" s="21">
        <f t="shared" ref="AZ64:BC64" si="138">AZ5-AZ66</f>
        <v>551</v>
      </c>
      <c r="BA64" s="21">
        <f t="shared" si="138"/>
        <v>568</v>
      </c>
      <c r="BB64" s="21">
        <f t="shared" si="138"/>
        <v>571</v>
      </c>
      <c r="BC64" s="21">
        <f t="shared" si="138"/>
        <v>588</v>
      </c>
      <c r="BD64" s="22">
        <f>SUM(AZ64:BC64)</f>
        <v>2278</v>
      </c>
      <c r="BE64" s="21">
        <f t="shared" ref="BE64:BF64" si="139">BE5-BE66</f>
        <v>577</v>
      </c>
      <c r="BF64" s="21">
        <f t="shared" si="139"/>
        <v>585</v>
      </c>
      <c r="BG64" s="21">
        <f>Balance_Sheet_Qtr!BF17*BG65/4</f>
        <v>564.08625000000006</v>
      </c>
      <c r="BH64" s="21">
        <f>BI64-SUM(BE64:BG64)</f>
        <v>517.3577499999999</v>
      </c>
      <c r="BI64" s="22">
        <f>Balance_Sheet_Qtr!BD17*BI65</f>
        <v>2243.444</v>
      </c>
      <c r="BL64" s="464"/>
    </row>
    <row r="65" spans="1:76">
      <c r="A65" s="1" t="s">
        <v>25</v>
      </c>
      <c r="B65" s="33"/>
      <c r="C65" s="33"/>
      <c r="D65" s="33"/>
      <c r="E65" s="33"/>
      <c r="F65" s="137"/>
      <c r="G65" s="33"/>
      <c r="H65" s="33"/>
      <c r="I65" s="33"/>
      <c r="J65" s="33"/>
      <c r="K65" s="137"/>
      <c r="L65" s="33"/>
      <c r="M65" s="33"/>
      <c r="N65" s="33"/>
      <c r="O65" s="33"/>
      <c r="P65" s="137"/>
      <c r="Q65" s="33"/>
      <c r="R65" s="33"/>
      <c r="S65" s="33"/>
      <c r="T65" s="33"/>
      <c r="U65" s="137"/>
      <c r="V65" s="33" t="str">
        <f>+IFERROR(V64/Balance_Sheet_Qtr!U17*4,"NM")</f>
        <v>NM</v>
      </c>
      <c r="W65" s="33" t="str">
        <f>+IFERROR(W64/Balance_Sheet_Qtr!V17*4,"NM")</f>
        <v>NM</v>
      </c>
      <c r="X65" s="33" t="str">
        <f>+IFERROR(X64/Balance_Sheet_Qtr!W17*4,"NM")</f>
        <v>NM</v>
      </c>
      <c r="Y65" s="33" t="str">
        <f>+IFERROR(Y64/Balance_Sheet_Qtr!X17*4,"NM")</f>
        <v>NM</v>
      </c>
      <c r="Z65" s="137" t="str">
        <f>+IFERROR(Z64/Balance_Sheet_Qtr!U17,"NM")</f>
        <v>NM</v>
      </c>
      <c r="AA65" s="33">
        <f>+AA64/Balance_Sheet_Qtr!Z17*4</f>
        <v>0.24258864561131563</v>
      </c>
      <c r="AB65" s="33">
        <f>+IFERROR(AB64/Balance_Sheet_Qtr!AA17*4,"NM")</f>
        <v>8.2986222364626716E-2</v>
      </c>
      <c r="AC65" s="33">
        <f>+IFERROR(AC64/Balance_Sheet_Qtr!AB17*4,"NM")</f>
        <v>0.15265113137453562</v>
      </c>
      <c r="AD65" s="32">
        <f>+IFERROR(AD64/Balance_Sheet_Qtr!AC17*4,"NM")</f>
        <v>0.15777325186693822</v>
      </c>
      <c r="AE65" s="137">
        <f>+AE64/Balance_Sheet_Qtr!Z17</f>
        <v>0.19676419298585546</v>
      </c>
      <c r="AF65" s="33">
        <f>+AF64/Balance_Sheet_Qtr!AE17*4</f>
        <v>0.14329635075524663</v>
      </c>
      <c r="AG65" s="33">
        <f>+IFERROR(AG64/Balance_Sheet_Qtr!AF17*4,"NM")</f>
        <v>0.14652014652014653</v>
      </c>
      <c r="AH65" s="33">
        <f>+IFERROR(AH64/Balance_Sheet_Qtr!AG17*4,"NM")</f>
        <v>0.14619843163995908</v>
      </c>
      <c r="AI65" s="32">
        <f>+IFERROR(AI64/Balance_Sheet_Qtr!AH17*4,"NM")</f>
        <v>0.13942274574636632</v>
      </c>
      <c r="AJ65" s="137">
        <f>+AJ64/Balance_Sheet_Qtr!AE17</f>
        <v>0.14155861515840129</v>
      </c>
      <c r="AK65" s="33">
        <f>+AK64/Balance_Sheet_Qtr!AJ17*4</f>
        <v>0.14346780657226824</v>
      </c>
      <c r="AL65" s="33">
        <f>+IFERROR(AL64/Balance_Sheet_Qtr!AK17*4,"NM")</f>
        <v>0.14585158724809597</v>
      </c>
      <c r="AM65" s="33">
        <f>+IFERROR(AM64/Balance_Sheet_Qtr!AL17*4,"NM")</f>
        <v>0.1522284783935961</v>
      </c>
      <c r="AN65" s="32">
        <f>+IFERROR(AN64/Balance_Sheet_Qtr!AM17*4,"NM")</f>
        <v>0.13962367057540223</v>
      </c>
      <c r="AO65" s="137">
        <f>+AO64/Balance_Sheet_Qtr!AJ17</f>
        <v>0.14366818060379374</v>
      </c>
      <c r="AP65" s="33">
        <f>+AP64/Balance_Sheet_Qtr!AO17*4</f>
        <v>0.14212261041529334</v>
      </c>
      <c r="AQ65" s="33">
        <f>+IFERROR(AQ64/Balance_Sheet_Qtr!AP17*4,"NM")</f>
        <v>0.14099940590137963</v>
      </c>
      <c r="AR65" s="33">
        <f>+IFERROR(AR64/Balance_Sheet_Qtr!AQ17*4,"NM")</f>
        <v>0.14305328538738149</v>
      </c>
      <c r="AS65" s="32">
        <f>+IFERROR(AS64/Balance_Sheet_Qtr!AR17*4,"NM")</f>
        <v>0.13188245259659867</v>
      </c>
      <c r="AT65" s="137">
        <f>+AT64/Balance_Sheet_Qtr!AO17</f>
        <v>0.14014502307185234</v>
      </c>
      <c r="AU65" s="33">
        <f>+AU64/Balance_Sheet_Qtr!AT17*4</f>
        <v>0.14046228092456184</v>
      </c>
      <c r="AV65" s="33">
        <f>+IFERROR(AV64/Balance_Sheet_Qtr!AU17*4,"NM")</f>
        <v>0.13761350556337126</v>
      </c>
      <c r="AW65" s="33">
        <f>+IFERROR(AW64/Balance_Sheet_Qtr!AV17*4,"NM")</f>
        <v>0.14095456572994328</v>
      </c>
      <c r="AX65" s="32">
        <f>+IFERROR(AX64/Balance_Sheet_Qtr!AW17*4,"NM")</f>
        <v>0.13093289689034371</v>
      </c>
      <c r="AY65" s="137">
        <f>+AY64/Balance_Sheet_Qtr!AT17</f>
        <v>0.13741427482854965</v>
      </c>
      <c r="AZ65" s="33">
        <f>+AZ64/Balance_Sheet_Qtr!AY17*4</f>
        <v>0.13698800422649016</v>
      </c>
      <c r="BA65" s="33">
        <f>+IFERROR(BA64/Balance_Sheet_Qtr!AZ17*4,"NM")</f>
        <v>0.14081189959714904</v>
      </c>
      <c r="BB65" s="33">
        <f>+IFERROR(BB64/Balance_Sheet_Qtr!BA17*4,"NM")</f>
        <v>0.14094415303918545</v>
      </c>
      <c r="BC65" s="32">
        <f>+IFERROR(BC64/Balance_Sheet_Qtr!BB17*4,"NM")</f>
        <v>0.14407350689127105</v>
      </c>
      <c r="BD65" s="137">
        <f>+BD64/Balance_Sheet_Qtr!AY17</f>
        <v>0.14158741997638138</v>
      </c>
      <c r="BE65" s="33">
        <f>+BE64/Balance_Sheet_Qtr!BD17*4</f>
        <v>0.13682712829025373</v>
      </c>
      <c r="BF65" s="33">
        <f>+IFERROR(BF64/Balance_Sheet_Qtr!BE17*4,"NM")</f>
        <v>0.13893836836480228</v>
      </c>
      <c r="BG65" s="193">
        <f t="shared" ref="BG65" si="140">$BI65</f>
        <v>0.13300000000000001</v>
      </c>
      <c r="BH65" s="32">
        <f>+IFERROR(BH64/Balance_Sheet_Qtr!BG17*4,"NM")</f>
        <v>0.1204555426328312</v>
      </c>
      <c r="BI65" s="218">
        <v>0.13300000000000001</v>
      </c>
    </row>
    <row r="66" spans="1:76">
      <c r="A66" s="13" t="s">
        <v>85</v>
      </c>
      <c r="B66" s="21"/>
      <c r="C66" s="21"/>
      <c r="D66" s="21"/>
      <c r="E66" s="21"/>
      <c r="F66" s="43"/>
      <c r="G66" s="21"/>
      <c r="H66" s="21"/>
      <c r="I66" s="21"/>
      <c r="J66" s="21"/>
      <c r="K66" s="43"/>
      <c r="L66" s="21"/>
      <c r="M66" s="21"/>
      <c r="N66" s="21"/>
      <c r="O66" s="21"/>
      <c r="P66" s="43"/>
      <c r="Q66" s="21"/>
      <c r="R66" s="21"/>
      <c r="S66" s="21"/>
      <c r="T66" s="21"/>
      <c r="U66" s="43"/>
      <c r="V66" s="41">
        <v>374</v>
      </c>
      <c r="W66" s="41">
        <v>296</v>
      </c>
      <c r="X66" s="41">
        <v>318</v>
      </c>
      <c r="Y66" s="21">
        <f>Z66-X66-W66-V66</f>
        <v>256</v>
      </c>
      <c r="Z66" s="43">
        <v>1244</v>
      </c>
      <c r="AA66" s="41">
        <v>354</v>
      </c>
      <c r="AB66" s="41">
        <v>600</v>
      </c>
      <c r="AC66" s="41">
        <v>599</v>
      </c>
      <c r="AD66" s="21">
        <f>AE66-AC66-AB66-AA66</f>
        <v>572</v>
      </c>
      <c r="AE66" s="43">
        <v>2125</v>
      </c>
      <c r="AF66" s="41">
        <v>587</v>
      </c>
      <c r="AG66" s="41">
        <v>592</v>
      </c>
      <c r="AH66" s="41">
        <v>622</v>
      </c>
      <c r="AI66" s="21">
        <f>AJ66-AH66-AG66-AF66</f>
        <v>638</v>
      </c>
      <c r="AJ66" s="43">
        <v>2439</v>
      </c>
      <c r="AK66" s="18">
        <v>477</v>
      </c>
      <c r="AL66" s="41">
        <v>458</v>
      </c>
      <c r="AM66" s="41">
        <v>486</v>
      </c>
      <c r="AN66" s="21">
        <f>AO66-AM66-AL66-AK66</f>
        <v>536</v>
      </c>
      <c r="AO66" s="43">
        <v>1957</v>
      </c>
      <c r="AP66" s="18">
        <v>495</v>
      </c>
      <c r="AQ66" s="41">
        <v>510</v>
      </c>
      <c r="AR66" s="41">
        <v>527</v>
      </c>
      <c r="AS66" s="21">
        <f>AT66-AR66-AQ66-AP66</f>
        <v>553</v>
      </c>
      <c r="AT66" s="43">
        <v>2085</v>
      </c>
      <c r="AU66" s="18">
        <v>506</v>
      </c>
      <c r="AV66" s="41">
        <v>534</v>
      </c>
      <c r="AW66" s="41">
        <v>541</v>
      </c>
      <c r="AX66" s="21">
        <f>AY66-AW66-AV66-AU66</f>
        <v>619</v>
      </c>
      <c r="AY66" s="43">
        <v>2200</v>
      </c>
      <c r="AZ66" s="18">
        <v>501</v>
      </c>
      <c r="BA66" s="41">
        <v>508</v>
      </c>
      <c r="BB66" s="41">
        <v>520</v>
      </c>
      <c r="BC66" s="21">
        <f>BD66-BB66-BA66-AZ66</f>
        <v>571</v>
      </c>
      <c r="BD66" s="43">
        <v>2100</v>
      </c>
      <c r="BE66" s="18">
        <v>494</v>
      </c>
      <c r="BF66" s="41">
        <v>494</v>
      </c>
      <c r="BG66" s="41">
        <f>(BI66-SUM(BE66:BF66))/2</f>
        <v>491.5</v>
      </c>
      <c r="BH66" s="21">
        <f>BI66-BG66-BF66-BE66</f>
        <v>491.5</v>
      </c>
      <c r="BI66" s="529">
        <v>1971</v>
      </c>
      <c r="BJ66" s="372"/>
      <c r="BK66" s="112"/>
    </row>
    <row r="67" spans="1:76">
      <c r="A67" s="13"/>
      <c r="B67" s="21"/>
      <c r="C67" s="21"/>
      <c r="D67" s="21"/>
      <c r="E67" s="21"/>
      <c r="F67" s="249"/>
      <c r="G67" s="250"/>
      <c r="H67" s="250"/>
      <c r="I67" s="250"/>
      <c r="J67" s="250"/>
      <c r="K67" s="249"/>
      <c r="L67" s="250"/>
      <c r="M67" s="250"/>
      <c r="N67" s="250"/>
      <c r="O67" s="250"/>
      <c r="P67" s="249"/>
      <c r="Q67" s="250"/>
      <c r="R67" s="250"/>
      <c r="S67" s="250"/>
      <c r="T67" s="250"/>
      <c r="U67" s="249"/>
      <c r="V67" s="21"/>
      <c r="W67" s="21"/>
      <c r="X67" s="21"/>
      <c r="Y67" s="21"/>
      <c r="Z67" s="249"/>
      <c r="AA67" s="21"/>
      <c r="AB67" s="21"/>
      <c r="AC67" s="21"/>
      <c r="AD67" s="21"/>
      <c r="AE67" s="22"/>
      <c r="AF67" s="21"/>
      <c r="AG67" s="21"/>
      <c r="AH67" s="21"/>
      <c r="AI67" s="21"/>
      <c r="AJ67" s="22"/>
      <c r="AK67" s="21"/>
      <c r="AL67" s="21"/>
      <c r="AM67" s="21"/>
      <c r="AN67" s="21"/>
      <c r="AO67" s="22"/>
      <c r="AP67" s="21"/>
      <c r="AQ67" s="21"/>
      <c r="AR67" s="21"/>
      <c r="AS67" s="21"/>
      <c r="AT67" s="22"/>
      <c r="AU67" s="21"/>
      <c r="AV67" s="21"/>
      <c r="AW67" s="21"/>
      <c r="AX67" s="21"/>
      <c r="AY67" s="22"/>
      <c r="AZ67" s="21"/>
      <c r="BA67" s="21"/>
      <c r="BB67" s="21"/>
      <c r="BC67" s="21"/>
      <c r="BD67" s="22"/>
      <c r="BE67" s="21"/>
      <c r="BF67" s="21"/>
      <c r="BG67" s="21"/>
      <c r="BH67" s="21"/>
      <c r="BI67" s="22"/>
    </row>
    <row r="68" spans="1:76">
      <c r="A68" s="13" t="s">
        <v>23</v>
      </c>
      <c r="B68" s="21"/>
      <c r="C68" s="21"/>
      <c r="D68" s="21"/>
      <c r="E68" s="21"/>
      <c r="F68" s="22"/>
      <c r="G68" s="21"/>
      <c r="H68" s="21"/>
      <c r="I68" s="21"/>
      <c r="J68" s="21"/>
      <c r="K68" s="22"/>
      <c r="L68" s="21"/>
      <c r="M68" s="21"/>
      <c r="N68" s="21"/>
      <c r="O68" s="21"/>
      <c r="P68" s="22"/>
      <c r="Q68" s="21"/>
      <c r="R68" s="21"/>
      <c r="S68" s="21"/>
      <c r="T68" s="21"/>
      <c r="U68" s="22"/>
      <c r="V68" s="21"/>
      <c r="W68" s="21"/>
      <c r="X68" s="21"/>
      <c r="Y68" s="21"/>
      <c r="Z68" s="22"/>
      <c r="AA68" s="21"/>
      <c r="AB68" s="21"/>
      <c r="AC68" s="21"/>
      <c r="AD68" s="21"/>
      <c r="AE68" s="22"/>
      <c r="AF68" s="21"/>
      <c r="AG68" s="21"/>
      <c r="AH68" s="21"/>
      <c r="AI68" s="21"/>
      <c r="AJ68" s="22"/>
      <c r="AK68" s="21"/>
      <c r="AL68" s="21"/>
      <c r="AM68" s="21"/>
      <c r="AN68" s="21"/>
      <c r="AO68" s="22"/>
      <c r="AP68" s="21"/>
      <c r="AQ68" s="21"/>
      <c r="AR68" s="21"/>
      <c r="AS68" s="21"/>
      <c r="AT68" s="22"/>
      <c r="AU68" s="21"/>
      <c r="AV68" s="21"/>
      <c r="AW68" s="21"/>
      <c r="AX68" s="21"/>
      <c r="AY68" s="22"/>
      <c r="AZ68" s="21"/>
      <c r="BA68" s="21"/>
      <c r="BB68" s="21"/>
      <c r="BC68" s="21"/>
      <c r="BD68" s="22"/>
      <c r="BE68" s="21"/>
      <c r="BF68" s="21"/>
      <c r="BG68" s="21"/>
      <c r="BH68" s="21"/>
      <c r="BI68" s="22"/>
    </row>
    <row r="69" spans="1:76">
      <c r="A69" s="1" t="s">
        <v>24</v>
      </c>
      <c r="B69" s="35"/>
      <c r="C69" s="35"/>
      <c r="D69" s="35"/>
      <c r="E69" s="35"/>
      <c r="F69" s="36"/>
      <c r="G69" s="35"/>
      <c r="H69" s="35"/>
      <c r="I69" s="35"/>
      <c r="J69" s="35"/>
      <c r="K69" s="36"/>
      <c r="L69" s="35"/>
      <c r="M69" s="35"/>
      <c r="N69" s="35"/>
      <c r="O69" s="35"/>
      <c r="P69" s="36"/>
      <c r="Q69" s="35"/>
      <c r="R69" s="35"/>
      <c r="S69" s="35"/>
      <c r="T69" s="35"/>
      <c r="U69" s="36"/>
      <c r="V69" s="35">
        <f>+-V24/ProForma_IS_Qtr!V9</f>
        <v>2.0599250936329586E-2</v>
      </c>
      <c r="W69" s="35">
        <f>+-W24/ProForma_IS_Qtr!W9</f>
        <v>1.7104691572545613E-2</v>
      </c>
      <c r="X69" s="35">
        <f>+-X24/ProForma_IS_Qtr!X9</f>
        <v>2.3677474402730374E-2</v>
      </c>
      <c r="Y69" s="35">
        <f>+-Y24/ProForma_IS_Qtr!Y9</f>
        <v>3.8360672597315779E-2</v>
      </c>
      <c r="Z69" s="36">
        <f>+-Z24/ProForma_IS_Qtr!Z9</f>
        <v>2.5162654740897395E-2</v>
      </c>
      <c r="AA69" s="35">
        <f>+-AA24/ProForma_IS_Qtr!AA9</f>
        <v>2.2387654186817367E-2</v>
      </c>
      <c r="AB69" s="35">
        <f>+-AB24/ProForma_IS_Qtr!AB9</f>
        <v>2.5355385456533625E-2</v>
      </c>
      <c r="AC69" s="33">
        <f>+-AC24/ProForma_IS_Qtr!AC9</f>
        <v>2.5852329367980327E-2</v>
      </c>
      <c r="AD69" s="35">
        <f>+-AD24/ProForma_IS_Qtr!AD9</f>
        <v>3.7568594343604898E-2</v>
      </c>
      <c r="AE69" s="36">
        <f>+-AE24/ProForma_IS_Qtr!AE9</f>
        <v>2.7758447382664503E-2</v>
      </c>
      <c r="AF69" s="35">
        <f>+-AF24/ProForma_IS_Qtr!AF9</f>
        <v>2.5375385220641269E-2</v>
      </c>
      <c r="AG69" s="35">
        <f>+-AG24/ProForma_IS_Qtr!AG9</f>
        <v>2.2670025188916875E-2</v>
      </c>
      <c r="AH69" s="33">
        <f>+-AH24/ProForma_IS_Qtr!AH9</f>
        <v>2.6706963547770309E-2</v>
      </c>
      <c r="AI69" s="35">
        <f>+-AI24/ProForma_IS_Qtr!AI9</f>
        <v>5.5972776343581318E-2</v>
      </c>
      <c r="AJ69" s="36">
        <f>+-AJ24/ProForma_IS_Qtr!AJ9</f>
        <v>3.3142821643784556E-2</v>
      </c>
      <c r="AK69" s="35">
        <f>+-AK24/ProForma_IS_Qtr!AK9</f>
        <v>2.79333163654874E-2</v>
      </c>
      <c r="AL69" s="35">
        <f>+-AL24/ProForma_IS_Qtr!AL9</f>
        <v>2.9361284786073312E-2</v>
      </c>
      <c r="AM69" s="33">
        <f>+-AM24/ProForma_IS_Qtr!AM9</f>
        <v>3.0381688395964841E-2</v>
      </c>
      <c r="AN69" s="35">
        <f>+-AN24/ProForma_IS_Qtr!AN9</f>
        <v>4.7255844801857072E-2</v>
      </c>
      <c r="AO69" s="36">
        <f>+-AO24/ProForma_IS_Qtr!AO9</f>
        <v>3.4111578256850641E-2</v>
      </c>
      <c r="AP69" s="35">
        <f>+-AP24/ProForma_IS_Qtr!AP9</f>
        <v>3.0207970256767747E-2</v>
      </c>
      <c r="AQ69" s="35">
        <f>+-AQ24/ProForma_IS_Qtr!AQ9</f>
        <v>2.8719628719628718E-2</v>
      </c>
      <c r="AR69" s="33">
        <f>+-AR24/ProForma_IS_Qtr!AR9</f>
        <v>2.97593921485859E-2</v>
      </c>
      <c r="AS69" s="35">
        <f>+-AS24/ProForma_IS_Qtr!AS9</f>
        <v>4.0607344632768362E-2</v>
      </c>
      <c r="AT69" s="36">
        <f>+-AT24/ProForma_IS_Qtr!AT9</f>
        <v>3.2501177578897783E-2</v>
      </c>
      <c r="AU69" s="35">
        <f>+-AU24/ProForma_IS_Qtr!AU9</f>
        <v>2.4190624190624191E-2</v>
      </c>
      <c r="AV69" s="35">
        <f>+-AV24/ProForma_IS_Qtr!AV9</f>
        <v>2.7133545551008033E-2</v>
      </c>
      <c r="AW69" s="33">
        <f>+-AW24/ProForma_IS_Qtr!AW9</f>
        <v>2.7477724127632039E-2</v>
      </c>
      <c r="AX69" s="35">
        <f>+-AX24/ProForma_IS_Qtr!AX9</f>
        <v>4.943809832123202E-2</v>
      </c>
      <c r="AY69" s="36">
        <f>+-AY24/ProForma_IS_Qtr!AY9</f>
        <v>3.2484407484407486E-2</v>
      </c>
      <c r="AZ69" s="35">
        <f>+-AZ24/ProForma_IS_Qtr!AZ9</f>
        <v>2.5263468925440756E-2</v>
      </c>
      <c r="BA69" s="35">
        <f>+-BA24/ProForma_IS_Qtr!BA9</f>
        <v>2.4558639544043373E-2</v>
      </c>
      <c r="BB69" s="33">
        <f>+-BB24/ProForma_IS_Qtr!BB9</f>
        <v>2.7315597473084794E-2</v>
      </c>
      <c r="BC69" s="35">
        <f>+-BC24/ProForma_IS_Qtr!BC9</f>
        <v>4.0019803614159584E-2</v>
      </c>
      <c r="BD69" s="36">
        <f>+-BD24/ProForma_IS_Qtr!BD9</f>
        <v>2.9649108946649662E-2</v>
      </c>
      <c r="BE69" s="35">
        <f>+-BE24/ProForma_IS_Qtr!BE9</f>
        <v>2.4732741438666425E-2</v>
      </c>
      <c r="BF69" s="35">
        <f>+-BF24/ProForma_IS_Qtr!BF9</f>
        <v>2.7085020242914981E-2</v>
      </c>
      <c r="BG69" s="193">
        <f>BI69</f>
        <v>3.2500000000000001E-2</v>
      </c>
      <c r="BH69" s="467">
        <f>+-BH24/ProForma_IS_Qtr!BH9</f>
        <v>4.4590381005053602E-2</v>
      </c>
      <c r="BI69" s="244">
        <v>3.2500000000000001E-2</v>
      </c>
      <c r="BJ69" s="466"/>
      <c r="BK69" s="335"/>
      <c r="BL69" s="464"/>
    </row>
    <row r="70" spans="1:76">
      <c r="A70" s="1" t="s">
        <v>25</v>
      </c>
      <c r="B70" s="33"/>
      <c r="C70" s="33"/>
      <c r="D70" s="33"/>
      <c r="E70" s="33"/>
      <c r="F70" s="137"/>
      <c r="G70" s="33"/>
      <c r="H70" s="33"/>
      <c r="I70" s="33"/>
      <c r="J70" s="33"/>
      <c r="K70" s="137"/>
      <c r="L70" s="33"/>
      <c r="M70" s="33"/>
      <c r="N70" s="33"/>
      <c r="O70" s="33"/>
      <c r="P70" s="137"/>
      <c r="Q70" s="33"/>
      <c r="R70" s="33"/>
      <c r="S70" s="33"/>
      <c r="T70" s="33"/>
      <c r="U70" s="137"/>
      <c r="V70" s="33" t="str">
        <f>+IFERROR(-V24/Balance_Sheet_Qtr!U17*4,"NM")</f>
        <v>NM</v>
      </c>
      <c r="W70" s="33" t="str">
        <f>+IFERROR(-W24/Balance_Sheet_Qtr!V17*4,"NM")</f>
        <v>NM</v>
      </c>
      <c r="X70" s="33" t="str">
        <f>+IFERROR(-X24/Balance_Sheet_Qtr!W17*4,"NM")</f>
        <v>NM</v>
      </c>
      <c r="Y70" s="33" t="str">
        <f>+IFERROR(-Y24/Balance_Sheet_Qtr!X17*4,"NM")</f>
        <v>NM</v>
      </c>
      <c r="Z70" s="137" t="str">
        <f>+IFERROR(-Z24/Balance_Sheet_Qtr!U17,"NM")</f>
        <v>NM</v>
      </c>
      <c r="AA70" s="33">
        <f>+-AA24/Balance_Sheet_Qtr!Z17*4</f>
        <v>0.15965898081767099</v>
      </c>
      <c r="AB70" s="33">
        <f>IFERROR(+-AB24/Balance_Sheet_Qtr!AA17*4,"NA")</f>
        <v>0.11887215636014098</v>
      </c>
      <c r="AC70" s="33">
        <f>IFERROR(+-AC24/Balance_Sheet_Qtr!AB17*4,"NA")</f>
        <v>0.10509962850388382</v>
      </c>
      <c r="AD70" s="33">
        <f>+IFERROR(-AD24/Balance_Sheet_Qtr!AC17*4,"NM")</f>
        <v>0.16917854718262051</v>
      </c>
      <c r="AE70" s="137">
        <f>+IFERROR(-AE24/Balance_Sheet_Qtr!Z17,"NM")</f>
        <v>0.17390040689788799</v>
      </c>
      <c r="AF70" s="33">
        <f>+-AF24/Balance_Sheet_Qtr!AE17*4</f>
        <v>0.10346210399679187</v>
      </c>
      <c r="AG70" s="33">
        <f>IFERROR(+-AG24/Balance_Sheet_Qtr!AF17*4,"NA")</f>
        <v>9.768009768009768E-2</v>
      </c>
      <c r="AH70" s="33">
        <f>IFERROR(+-AH24/Balance_Sheet_Qtr!AG17*4,"NA")</f>
        <v>0.11810433003750426</v>
      </c>
      <c r="AI70" s="33">
        <f>+IFERROR(-AI24/Balance_Sheet_Qtr!AH17*4,"NM")</f>
        <v>0.26286422814631122</v>
      </c>
      <c r="AJ70" s="137">
        <f>+IFERROR(-AJ24/Balance_Sheet_Qtr!AE17,"NM")</f>
        <v>0.14262799091030612</v>
      </c>
      <c r="AK70" s="33">
        <f>+-AK24/Balance_Sheet_Qtr!AJ17*4</f>
        <v>0.11728559978626769</v>
      </c>
      <c r="AL70" s="33">
        <f>IFERROR(+-AL24/Balance_Sheet_Qtr!AK17*4,"NA")</f>
        <v>0.12913661791467279</v>
      </c>
      <c r="AM70" s="33">
        <f>IFERROR(+-AM24/Balance_Sheet_Qtr!AL17*4,"NA")</f>
        <v>0.13974628586934401</v>
      </c>
      <c r="AN70" s="33">
        <f>+IFERROR(-AN24/Balance_Sheet_Qtr!AM17*4,"NM")</f>
        <v>0.23316062176165803</v>
      </c>
      <c r="AO70" s="137">
        <f>+IFERROR(-AO24/Balance_Sheet_Qtr!AJ17,"NM")</f>
        <v>0.15281859471012557</v>
      </c>
      <c r="AP70" s="33">
        <f>+-AP24/Balance_Sheet_Qtr!AO17*4</f>
        <v>0.13711272247857614</v>
      </c>
      <c r="AQ70" s="33">
        <f>IFERROR(+-AQ24/Balance_Sheet_Qtr!AP17*4,"NA")</f>
        <v>0.1388870552511717</v>
      </c>
      <c r="AR70" s="33">
        <f>IFERROR(+-AR24/Balance_Sheet_Qtr!AQ17*4,"NA")</f>
        <v>0.14749918273945734</v>
      </c>
      <c r="AS70" s="33">
        <f>+IFERROR(-AS24/Balance_Sheet_Qtr!AR17*4,"NM")</f>
        <v>0.20981299276731608</v>
      </c>
      <c r="AT70" s="137">
        <f>+IFERROR(-AT24/Balance_Sheet_Qtr!AO17,"NM")</f>
        <v>0.15919578114700067</v>
      </c>
      <c r="AU70" s="33">
        <f>+-AU24/Balance_Sheet_Qtr!AT17*4</f>
        <v>0.11861823723647447</v>
      </c>
      <c r="AV70" s="33">
        <f>IFERROR(+-AV24/Balance_Sheet_Qtr!AU17*4,"NA")</f>
        <v>0.13735771837830923</v>
      </c>
      <c r="AW70" s="33">
        <f>IFERROR(+-AW24/Balance_Sheet_Qtr!AV17*4,"NA")</f>
        <v>0.14069967501433761</v>
      </c>
      <c r="AX70" s="33">
        <f>+IFERROR(-AX24/Balance_Sheet_Qtr!AW17*4,"NM")</f>
        <v>0.26916782072264889</v>
      </c>
      <c r="AY70" s="137">
        <f>+IFERROR(-AY24/Balance_Sheet_Qtr!AT17,"NM")</f>
        <v>0.16668783337566676</v>
      </c>
      <c r="AZ70" s="33">
        <f>+-AZ24/Balance_Sheet_Qtr!AY17*4</f>
        <v>0.12754055565914599</v>
      </c>
      <c r="BA70" s="33">
        <f>IFERROR(+-BA24/Balance_Sheet_Qtr!AZ17*4,"NA")</f>
        <v>0.13139138518748064</v>
      </c>
      <c r="BB70" s="33">
        <f>IFERROR(+-BB24/Balance_Sheet_Qtr!BA17*4,"NA")</f>
        <v>0.1515581610614008</v>
      </c>
      <c r="BC70" s="33">
        <f>+IFERROR(-BC24/Balance_Sheet_Qtr!BB17*4,"NM")</f>
        <v>0.23767228177641653</v>
      </c>
      <c r="BD70" s="137">
        <f>+IFERROR(-BD24/Balance_Sheet_Qtr!AY17,"NM")</f>
        <v>0.16327925912113866</v>
      </c>
      <c r="BE70" s="33">
        <f>+-BE24/Balance_Sheet_Qtr!BD17*4</f>
        <v>0.12947593075646194</v>
      </c>
      <c r="BF70" s="33">
        <f>IFERROR(+-BF24/Balance_Sheet_Qtr!BE17*4,"NA")</f>
        <v>0.15888849305308159</v>
      </c>
      <c r="BG70" s="33">
        <f>+-BG24/Balance_Sheet_Qtr!BF17*4</f>
        <v>0.1837019540229885</v>
      </c>
      <c r="BH70" s="33">
        <f>+-BH24/Balance_Sheet_Qtr!BH17*4</f>
        <v>0.25312688063158695</v>
      </c>
      <c r="BI70" s="137">
        <f>+-BI24/Balance_Sheet_Qtr!BD17</f>
        <v>0.18495399143348351</v>
      </c>
    </row>
    <row r="71" spans="1:76">
      <c r="F71" s="26"/>
      <c r="K71" s="26"/>
      <c r="P71" s="26"/>
      <c r="U71" s="26"/>
      <c r="Z71" s="26"/>
      <c r="AE71" s="26"/>
      <c r="AJ71" s="26"/>
      <c r="AO71" s="26"/>
      <c r="AT71" s="26"/>
      <c r="AY71" s="26"/>
      <c r="BD71" s="26"/>
      <c r="BI71" s="26"/>
      <c r="BN71" s="283"/>
      <c r="BO71" s="283"/>
      <c r="BV71" s="283"/>
      <c r="BW71" s="283"/>
      <c r="BX71" s="358"/>
    </row>
    <row r="72" spans="1:76">
      <c r="A72" s="4" t="s">
        <v>26</v>
      </c>
      <c r="B72" s="80"/>
      <c r="C72" s="80"/>
      <c r="D72" s="80"/>
      <c r="E72" s="80"/>
      <c r="F72" s="81"/>
      <c r="G72" s="80"/>
      <c r="H72" s="80"/>
      <c r="I72" s="80"/>
      <c r="J72" s="80"/>
      <c r="K72" s="81"/>
      <c r="L72" s="80"/>
      <c r="M72" s="80"/>
      <c r="N72" s="80"/>
      <c r="O72" s="80"/>
      <c r="P72" s="81"/>
      <c r="Q72" s="80"/>
      <c r="R72" s="80"/>
      <c r="S72" s="80"/>
      <c r="T72" s="80"/>
      <c r="U72" s="81"/>
      <c r="V72" s="80">
        <f t="shared" ref="V72:AB72" si="141">+V21+V24</f>
        <v>1137</v>
      </c>
      <c r="W72" s="80">
        <f t="shared" si="141"/>
        <v>954</v>
      </c>
      <c r="X72" s="80">
        <f t="shared" si="141"/>
        <v>1283</v>
      </c>
      <c r="Y72" s="80">
        <f t="shared" si="141"/>
        <v>579</v>
      </c>
      <c r="Z72" s="81">
        <f t="shared" si="141"/>
        <v>3953</v>
      </c>
      <c r="AA72" s="80">
        <f>+AA21+AA24</f>
        <v>249</v>
      </c>
      <c r="AB72" s="80">
        <f t="shared" si="141"/>
        <v>310</v>
      </c>
      <c r="AC72" s="80">
        <f t="shared" ref="AC72:AE72" si="142">+AC21+AC24</f>
        <v>1233</v>
      </c>
      <c r="AD72" s="80">
        <f t="shared" si="142"/>
        <v>747</v>
      </c>
      <c r="AE72" s="81">
        <f t="shared" si="142"/>
        <v>2539</v>
      </c>
      <c r="AF72" s="80">
        <f>+AF21+AF24</f>
        <v>336</v>
      </c>
      <c r="AG72" s="80">
        <f t="shared" ref="AG72:AJ72" si="143">+AG21+AG24</f>
        <v>966</v>
      </c>
      <c r="AH72" s="80">
        <f t="shared" si="143"/>
        <v>1499</v>
      </c>
      <c r="AI72" s="80">
        <f t="shared" si="143"/>
        <v>2207</v>
      </c>
      <c r="AJ72" s="81">
        <f t="shared" si="143"/>
        <v>5008</v>
      </c>
      <c r="AK72" s="80">
        <f>+AK21+AK24</f>
        <v>37</v>
      </c>
      <c r="AL72" s="80">
        <f t="shared" ref="AL72:AO72" si="144">+AL21+AL24</f>
        <v>807</v>
      </c>
      <c r="AM72" s="80">
        <f t="shared" si="144"/>
        <v>263</v>
      </c>
      <c r="AN72" s="80">
        <f t="shared" si="144"/>
        <v>3773</v>
      </c>
      <c r="AO72" s="81">
        <f t="shared" si="144"/>
        <v>4880</v>
      </c>
      <c r="AP72" s="80">
        <f>+AP21+AP24</f>
        <v>-1383</v>
      </c>
      <c r="AQ72" s="80">
        <f t="shared" ref="AQ72:AT72" si="145">+AQ21+AQ24</f>
        <v>193</v>
      </c>
      <c r="AR72" s="80">
        <f t="shared" si="145"/>
        <v>2752</v>
      </c>
      <c r="AS72" s="80">
        <f t="shared" si="145"/>
        <v>3906</v>
      </c>
      <c r="AT72" s="81">
        <f t="shared" si="145"/>
        <v>5468</v>
      </c>
      <c r="AU72" s="80">
        <f>+AU21+AU24</f>
        <v>-125</v>
      </c>
      <c r="AV72" s="80">
        <f t="shared" ref="AV72:AY72" si="146">+AV21+AV24</f>
        <v>2196</v>
      </c>
      <c r="AW72" s="80">
        <f t="shared" si="146"/>
        <v>1971</v>
      </c>
      <c r="AX72" s="80">
        <f t="shared" si="146"/>
        <v>492</v>
      </c>
      <c r="AY72" s="81">
        <f t="shared" si="146"/>
        <v>4534</v>
      </c>
      <c r="AZ72" s="80">
        <f>+AZ21+AZ24</f>
        <v>792</v>
      </c>
      <c r="BA72" s="80">
        <f t="shared" ref="BA72:BD72" si="147">+BA21+BA24</f>
        <v>-72</v>
      </c>
      <c r="BB72" s="80">
        <f t="shared" si="147"/>
        <v>4025</v>
      </c>
      <c r="BC72" s="80">
        <f t="shared" si="147"/>
        <v>3195</v>
      </c>
      <c r="BD72" s="81">
        <f t="shared" si="147"/>
        <v>7940</v>
      </c>
      <c r="BE72" s="80">
        <f>+BE21+BE24</f>
        <v>1309</v>
      </c>
      <c r="BF72" s="80">
        <f t="shared" ref="BF72" si="148">+BF21+BF24</f>
        <v>2878</v>
      </c>
      <c r="BG72" s="80">
        <f t="shared" ref="BG72" si="149">+BG21+BG24</f>
        <v>2017.9013507592522</v>
      </c>
      <c r="BH72" s="80">
        <f t="shared" ref="BH72" si="150">+BH21+BH24</f>
        <v>2507.9101507524283</v>
      </c>
      <c r="BI72" s="81">
        <f>+BI21+BI24</f>
        <v>8712.8115015116819</v>
      </c>
      <c r="BJ72" s="373" t="s">
        <v>523</v>
      </c>
      <c r="BK72" s="348"/>
      <c r="BL72" s="380"/>
      <c r="BN72" s="77"/>
      <c r="BO72" s="77"/>
      <c r="BV72" s="77"/>
      <c r="BW72" s="77"/>
      <c r="BX72" s="348"/>
    </row>
    <row r="73" spans="1:76">
      <c r="A73" s="1" t="s">
        <v>27</v>
      </c>
      <c r="B73" s="35"/>
      <c r="C73" s="35"/>
      <c r="D73" s="35"/>
      <c r="E73" s="35"/>
      <c r="F73" s="36"/>
      <c r="G73" s="35"/>
      <c r="H73" s="35"/>
      <c r="I73" s="35"/>
      <c r="J73" s="35"/>
      <c r="K73" s="36"/>
      <c r="L73" s="35"/>
      <c r="M73" s="35"/>
      <c r="N73" s="35"/>
      <c r="O73" s="35"/>
      <c r="P73" s="36"/>
      <c r="Q73" s="35"/>
      <c r="R73" s="35"/>
      <c r="S73" s="35"/>
      <c r="T73" s="35"/>
      <c r="U73" s="36"/>
      <c r="V73" s="35">
        <f t="shared" ref="V73:AB73" si="151">+V72/V4</f>
        <v>0.79789473684210521</v>
      </c>
      <c r="W73" s="35">
        <f t="shared" si="151"/>
        <v>1.6914893617021276</v>
      </c>
      <c r="X73" s="35">
        <f t="shared" si="151"/>
        <v>1.2690405539070226</v>
      </c>
      <c r="Y73" s="35">
        <f t="shared" si="151"/>
        <v>0.79206566347469221</v>
      </c>
      <c r="Z73" s="36">
        <f t="shared" si="151"/>
        <v>1.0595014741356206</v>
      </c>
      <c r="AA73" s="35">
        <f t="shared" si="151"/>
        <v>17.785714285714285</v>
      </c>
      <c r="AB73" s="35">
        <f t="shared" si="151"/>
        <v>-9.2758827049670853E-2</v>
      </c>
      <c r="AC73" s="33">
        <f t="shared" ref="AC73:AG73" si="152">+AC72/AC4</f>
        <v>6.6648648648648647</v>
      </c>
      <c r="AD73" s="35">
        <f t="shared" si="152"/>
        <v>3.4744186046511629</v>
      </c>
      <c r="AE73" s="36">
        <f t="shared" si="152"/>
        <v>-0.86714480874316935</v>
      </c>
      <c r="AF73" s="35">
        <f t="shared" si="152"/>
        <v>0.41328413284132842</v>
      </c>
      <c r="AG73" s="35">
        <f t="shared" si="152"/>
        <v>0.88786764705882348</v>
      </c>
      <c r="AH73" s="33">
        <f t="shared" ref="AH73:AL73" si="153">+AH72/AH4</f>
        <v>1.0176510522742701</v>
      </c>
      <c r="AI73" s="35">
        <f t="shared" si="153"/>
        <v>2.8625162127107653</v>
      </c>
      <c r="AJ73" s="36">
        <f t="shared" si="153"/>
        <v>1.2082026537997588</v>
      </c>
      <c r="AK73" s="35">
        <f t="shared" si="153"/>
        <v>3.2859680284191832E-2</v>
      </c>
      <c r="AL73" s="35">
        <f t="shared" si="153"/>
        <v>0.60313901345291476</v>
      </c>
      <c r="AM73" s="33">
        <f t="shared" ref="AM73:AQ73" si="154">+AM72/AM4</f>
        <v>0.18853046594982079</v>
      </c>
      <c r="AN73" s="35">
        <f t="shared" si="154"/>
        <v>2.5701634877384194</v>
      </c>
      <c r="AO73" s="36">
        <f t="shared" si="154"/>
        <v>0.91608785432701334</v>
      </c>
      <c r="AP73" s="35">
        <f t="shared" si="154"/>
        <v>-0.93382849426063474</v>
      </c>
      <c r="AQ73" s="35">
        <f t="shared" si="154"/>
        <v>0.14201618837380428</v>
      </c>
      <c r="AR73" s="33">
        <f t="shared" ref="AR73:AT73" si="155">+AR72/AR4</f>
        <v>-2.94962486602358</v>
      </c>
      <c r="AS73" s="35">
        <f t="shared" si="155"/>
        <v>2.6517311608961305</v>
      </c>
      <c r="AT73" s="36">
        <f t="shared" si="155"/>
        <v>1.6177514792899408</v>
      </c>
      <c r="AU73" s="35">
        <f>+AU72/ProForma_IS_Qtr!AU44</f>
        <v>-6.9788479070523476E-2</v>
      </c>
      <c r="AV73" s="35">
        <f>+AV72/ProForma_IS_Qtr!AV44</f>
        <v>1.1588390501319261</v>
      </c>
      <c r="AW73" s="33">
        <f>+AW72/ProForma_IS_Qtr!AW44</f>
        <v>1.0118069815195072</v>
      </c>
      <c r="AX73" s="35">
        <f t="shared" ref="AX73:AY73" si="156">+AX72/AX4</f>
        <v>0.31538461538461537</v>
      </c>
      <c r="AY73" s="36">
        <f t="shared" si="156"/>
        <v>0.90444843407141429</v>
      </c>
      <c r="AZ73" s="35">
        <f>+AZ72/ProForma_IS_Qtr!AZ44</f>
        <v>0.3978153472491559</v>
      </c>
      <c r="BA73" s="35">
        <f>+BA72/ProForma_IS_Qtr!BA44</f>
        <v>-3.3993115318416527E-2</v>
      </c>
      <c r="BB73" s="33">
        <f>+BB72/ProForma_IS_Qtr!BB44</f>
        <v>1.7416702726092601</v>
      </c>
      <c r="BC73" s="35">
        <f t="shared" ref="BC73:BD73" si="157">+BC72/BC4</f>
        <v>1.8651488616462346</v>
      </c>
      <c r="BD73" s="36">
        <f t="shared" si="157"/>
        <v>1.1232140331022775</v>
      </c>
      <c r="BE73" s="35">
        <f>+BE72/ProForma_IS_Qtr!BE44</f>
        <v>0.53979381443298968</v>
      </c>
      <c r="BF73" s="35">
        <f>+BF72/ProForma_IS_Qtr!BF44</f>
        <v>1.1159364094610313</v>
      </c>
      <c r="BG73" s="33">
        <f t="shared" ref="BG73" si="158">+BG72/BG4</f>
        <v>0.92638335542252359</v>
      </c>
      <c r="BH73" s="35">
        <f>+BH72/ProForma_IS_Qtr!BH44</f>
        <v>1.026915034162023</v>
      </c>
      <c r="BI73" s="36">
        <f>+BI72/ProForma_IS_Qtr!BI44</f>
        <v>0.87979793090968172</v>
      </c>
    </row>
    <row r="74" spans="1:76">
      <c r="A74" s="13" t="s">
        <v>28</v>
      </c>
      <c r="B74" s="82"/>
      <c r="C74" s="82"/>
      <c r="D74" s="82"/>
      <c r="E74" s="82"/>
      <c r="F74" s="83"/>
      <c r="G74" s="82"/>
      <c r="H74" s="82"/>
      <c r="I74" s="82"/>
      <c r="J74" s="82"/>
      <c r="K74" s="83"/>
      <c r="L74" s="82"/>
      <c r="M74" s="82"/>
      <c r="N74" s="82"/>
      <c r="O74" s="82"/>
      <c r="P74" s="83"/>
      <c r="Q74" s="82"/>
      <c r="R74" s="82"/>
      <c r="S74" s="82"/>
      <c r="T74" s="82"/>
      <c r="U74" s="83"/>
      <c r="V74" s="82">
        <f>+V72/ProForma_IS_Qtr!V61</f>
        <v>0.74906120297779821</v>
      </c>
      <c r="W74" s="82">
        <f>+W72/ProForma_IS_Qtr!W61</f>
        <v>0.6284999011792608</v>
      </c>
      <c r="X74" s="82">
        <f>+X72/ProForma_IS_Qtr!X61</f>
        <v>0.84524672244548382</v>
      </c>
      <c r="Y74" s="82">
        <f>+Y72/ProForma_IS_Qtr!Y61</f>
        <v>0.38144805323143816</v>
      </c>
      <c r="Z74" s="83">
        <f>+Z72/ProForma_IS_Qtr!Z61</f>
        <v>2.604255879833981</v>
      </c>
      <c r="AA74" s="82">
        <f>+AA72/ProForma_IS_Qtr!AA61</f>
        <v>0.16404242703735422</v>
      </c>
      <c r="AB74" s="82">
        <f>+AB72/ProForma_IS_Qtr!AB61</f>
        <v>0.20648771065076935</v>
      </c>
      <c r="AC74" s="394">
        <f>+AC72/ProForma_IS_Qtr!AC61</f>
        <v>0.81429137498348958</v>
      </c>
      <c r="AD74" s="82">
        <f>+AD72/ProForma_IS_Qtr!AD61</f>
        <v>0.49293915797809157</v>
      </c>
      <c r="AE74" s="83">
        <f>+AE72/ProForma_IS_Qtr!AE61</f>
        <v>1.6790107128686684</v>
      </c>
      <c r="AF74" s="82">
        <f>+AF72/ProForma_IS_Qtr!AF61</f>
        <v>0.22191400832177532</v>
      </c>
      <c r="AG74" s="82">
        <f>+AG72/ProForma_IS_Qtr!AG61</f>
        <v>0.6382556987115956</v>
      </c>
      <c r="AH74" s="394">
        <f>+AH72/ProForma_IS_Qtr!AH61</f>
        <v>0.9954180224450494</v>
      </c>
      <c r="AI74" s="82">
        <f>+AI72/ProForma_IS_Qtr!AI61</f>
        <v>1.4711371817091055</v>
      </c>
      <c r="AJ74" s="83">
        <f>+AJ72/ProForma_IS_Qtr!AJ61</f>
        <v>3.3200192253509457</v>
      </c>
      <c r="AK74" s="82">
        <f>+AK72/ProForma_IS_Qtr!AK61</f>
        <v>2.4701248414446892E-2</v>
      </c>
      <c r="AL74" s="82">
        <f>+AL72/ProForma_IS_Qtr!AL61</f>
        <v>0.54175617615467242</v>
      </c>
      <c r="AM74" s="394">
        <f>+AM72/ProForma_IS_Qtr!AM61</f>
        <v>0.17778679104982087</v>
      </c>
      <c r="AN74" s="82">
        <f>+AN72/ProForma_IS_Qtr!AN61</f>
        <v>2.5557136083451875</v>
      </c>
      <c r="AO74" s="83">
        <f>+AO72/ProForma_IS_Qtr!AO61</f>
        <v>3.2844811630293953</v>
      </c>
      <c r="AP74" s="82">
        <f>+AP72/ProForma_IS_Qtr!AP61</f>
        <v>-0.9381359381359381</v>
      </c>
      <c r="AQ74" s="82">
        <f>+AQ72/ProForma_IS_Qtr!AQ61</f>
        <v>0.1314087288077892</v>
      </c>
      <c r="AR74" s="394">
        <f>+AR72/ProForma_IS_Qtr!AR61</f>
        <v>1.8904994160884796</v>
      </c>
      <c r="AS74" s="82">
        <f>+AS72/ProForma_IS_Qtr!AS61</f>
        <v>2.8684732319894248</v>
      </c>
      <c r="AT74" s="83">
        <f>+AT72/ProForma_IS_Qtr!AT61</f>
        <v>3.8093911104918488</v>
      </c>
      <c r="AU74" s="82">
        <f>+AU72/ProForma_IS_Qtr!AU61</f>
        <v>-9.3471921034921107E-2</v>
      </c>
      <c r="AV74" s="82">
        <f>+AV72/ProForma_IS_Qtr!AV61</f>
        <v>1.636241710751807</v>
      </c>
      <c r="AW74" s="394">
        <f>+AW72/ProForma_IS_Qtr!AW61</f>
        <v>1.4641212301292528</v>
      </c>
      <c r="AX74" s="82">
        <f>+AX72/ProForma_IS_Qtr!AX61</f>
        <v>0.36474164133738601</v>
      </c>
      <c r="AY74" s="83">
        <f>+AY72/ProForma_IS_Qtr!AY61</f>
        <v>3.3745162250669845</v>
      </c>
      <c r="AZ74" s="82">
        <f>+AZ72/ProForma_IS_Qtr!AZ61</f>
        <v>0.58588548601864188</v>
      </c>
      <c r="BA74" s="82">
        <f>+BA72/ProForma_IS_Qtr!BA61</f>
        <v>-5.3175775480059084E-2</v>
      </c>
      <c r="BB74" s="394">
        <f>+BB72/ProForma_IS_Qtr!BB61</f>
        <v>2.9630447585394579</v>
      </c>
      <c r="BC74" s="82">
        <f>+BC72/ProForma_IS_Qtr!BC61</f>
        <v>2.3463317911434234</v>
      </c>
      <c r="BD74" s="83">
        <f>+BD72/ProForma_IS_Qtr!BD61</f>
        <v>5.853730462990268</v>
      </c>
      <c r="BE74" s="82">
        <f>+BE72/ProForma_IS_Qtr!BE61</f>
        <v>0.95925545947530422</v>
      </c>
      <c r="BF74" s="82">
        <f>+BF72/ProForma_IS_Qtr!BF61</f>
        <v>2.1084249084249085</v>
      </c>
      <c r="BG74" s="394">
        <f>+BG72/ProForma_IS_Qtr!BG61</f>
        <v>1.4796025745547514</v>
      </c>
      <c r="BH74" s="82">
        <f>+BH72/ProForma_IS_Qtr!BH61</f>
        <v>1.8324260569636908</v>
      </c>
      <c r="BI74" s="83">
        <f>+BI72/ProForma_IS_Qtr!BI61</f>
        <v>6.3806265063506142</v>
      </c>
    </row>
    <row r="75" spans="1:76">
      <c r="F75" s="26"/>
      <c r="K75" s="26"/>
      <c r="P75" s="26"/>
      <c r="U75" s="26"/>
      <c r="Z75" s="26"/>
      <c r="AE75" s="26"/>
      <c r="AJ75" s="26"/>
      <c r="AO75" s="26"/>
      <c r="AT75" s="26"/>
      <c r="AY75" s="26"/>
      <c r="BD75" s="26"/>
      <c r="BI75" s="26"/>
    </row>
    <row r="76" spans="1:76">
      <c r="A76" s="4" t="s">
        <v>86</v>
      </c>
      <c r="B76" s="80"/>
      <c r="C76" s="80"/>
      <c r="D76" s="80"/>
      <c r="E76" s="80"/>
      <c r="F76" s="81"/>
      <c r="G76" s="80"/>
      <c r="H76" s="80"/>
      <c r="I76" s="80"/>
      <c r="J76" s="80"/>
      <c r="K76" s="81"/>
      <c r="L76" s="80"/>
      <c r="M76" s="80"/>
      <c r="N76" s="80"/>
      <c r="O76" s="80"/>
      <c r="P76" s="81"/>
      <c r="Q76" s="80"/>
      <c r="R76" s="80"/>
      <c r="S76" s="80"/>
      <c r="T76" s="80"/>
      <c r="U76" s="81"/>
      <c r="V76" s="80">
        <f t="shared" ref="V76:AB76" si="159">-V40-V41</f>
        <v>638</v>
      </c>
      <c r="W76" s="80">
        <f t="shared" si="159"/>
        <v>650</v>
      </c>
      <c r="X76" s="80">
        <f t="shared" si="159"/>
        <v>653</v>
      </c>
      <c r="Y76" s="80">
        <f t="shared" si="159"/>
        <v>652</v>
      </c>
      <c r="Z76" s="81">
        <f t="shared" si="159"/>
        <v>2593</v>
      </c>
      <c r="AA76" s="80">
        <f t="shared" si="159"/>
        <v>661</v>
      </c>
      <c r="AB76" s="80">
        <f t="shared" si="159"/>
        <v>724</v>
      </c>
      <c r="AC76" s="80">
        <f t="shared" ref="AC76:AG76" si="160">-AC40-AC41</f>
        <v>688</v>
      </c>
      <c r="AD76" s="80">
        <f t="shared" si="160"/>
        <v>706</v>
      </c>
      <c r="AE76" s="81">
        <f t="shared" si="160"/>
        <v>2779</v>
      </c>
      <c r="AF76" s="80">
        <f t="shared" si="160"/>
        <v>1080</v>
      </c>
      <c r="AG76" s="80">
        <f t="shared" si="160"/>
        <v>1388</v>
      </c>
      <c r="AH76" s="80">
        <f t="shared" ref="AH76:AL76" si="161">-AH40-AH41</f>
        <v>1744</v>
      </c>
      <c r="AI76" s="80">
        <f t="shared" si="161"/>
        <v>1072</v>
      </c>
      <c r="AJ76" s="81">
        <f t="shared" si="161"/>
        <v>5284</v>
      </c>
      <c r="AK76" s="80">
        <f t="shared" si="161"/>
        <v>1488</v>
      </c>
      <c r="AL76" s="80">
        <f t="shared" si="161"/>
        <v>1834</v>
      </c>
      <c r="AM76" s="80">
        <f t="shared" ref="AM76:AQ76" si="162">-AM40-AM41</f>
        <v>1410</v>
      </c>
      <c r="AN76" s="80">
        <f t="shared" si="162"/>
        <v>1199</v>
      </c>
      <c r="AO76" s="81">
        <f t="shared" si="162"/>
        <v>5931</v>
      </c>
      <c r="AP76" s="80">
        <f t="shared" si="162"/>
        <v>1352</v>
      </c>
      <c r="AQ76" s="80">
        <f t="shared" si="162"/>
        <v>1440</v>
      </c>
      <c r="AR76" s="80">
        <f t="shared" ref="AR76:AV76" si="163">-AR40-AR41</f>
        <v>2267</v>
      </c>
      <c r="AS76" s="80">
        <f t="shared" si="163"/>
        <v>11050</v>
      </c>
      <c r="AT76" s="81">
        <f t="shared" si="163"/>
        <v>16109</v>
      </c>
      <c r="AU76" s="80">
        <f t="shared" si="163"/>
        <v>825</v>
      </c>
      <c r="AV76" s="80">
        <f t="shared" si="163"/>
        <v>867</v>
      </c>
      <c r="AW76" s="80">
        <f t="shared" ref="AW76:BA76" si="164">-AW40-AW41</f>
        <v>1117</v>
      </c>
      <c r="AX76" s="80">
        <f t="shared" si="164"/>
        <v>852</v>
      </c>
      <c r="AY76" s="81">
        <f t="shared" si="164"/>
        <v>3661</v>
      </c>
      <c r="AZ76" s="80">
        <f t="shared" si="164"/>
        <v>890</v>
      </c>
      <c r="BA76" s="80">
        <f t="shared" si="164"/>
        <v>910</v>
      </c>
      <c r="BB76" s="80">
        <f t="shared" ref="BB76:BF76" si="165">-BB40-BB41</f>
        <v>910</v>
      </c>
      <c r="BC76" s="80">
        <f t="shared" si="165"/>
        <v>914</v>
      </c>
      <c r="BD76" s="81">
        <f t="shared" si="165"/>
        <v>3624</v>
      </c>
      <c r="BE76" s="80">
        <f t="shared" si="165"/>
        <v>915</v>
      </c>
      <c r="BF76" s="80">
        <f t="shared" si="165"/>
        <v>983</v>
      </c>
      <c r="BG76" s="80">
        <f t="shared" ref="BG76" si="166">-BG40-BG41</f>
        <v>987.79510502666665</v>
      </c>
      <c r="BH76" s="80">
        <f t="shared" ref="BH76:BI76" si="167">-BH40-BH41</f>
        <v>989.80203772300047</v>
      </c>
      <c r="BI76" s="81">
        <f t="shared" si="167"/>
        <v>3875.597142749667</v>
      </c>
    </row>
    <row r="77" spans="1:76">
      <c r="A77" s="1" t="s">
        <v>87</v>
      </c>
      <c r="B77" s="35"/>
      <c r="C77" s="35"/>
      <c r="D77" s="35"/>
      <c r="E77" s="35"/>
      <c r="F77" s="36"/>
      <c r="G77" s="35"/>
      <c r="H77" s="35"/>
      <c r="I77" s="35"/>
      <c r="J77" s="35"/>
      <c r="K77" s="36"/>
      <c r="L77" s="35"/>
      <c r="M77" s="35"/>
      <c r="N77" s="35"/>
      <c r="O77" s="35"/>
      <c r="P77" s="36"/>
      <c r="Q77" s="35"/>
      <c r="R77" s="35"/>
      <c r="S77" s="35"/>
      <c r="T77" s="35"/>
      <c r="U77" s="36"/>
      <c r="V77" s="35">
        <f t="shared" ref="V77:AB77" si="168">V76/V72</f>
        <v>0.56112576956904137</v>
      </c>
      <c r="W77" s="35">
        <f t="shared" si="168"/>
        <v>0.68134171907756813</v>
      </c>
      <c r="X77" s="35">
        <f t="shared" si="168"/>
        <v>0.50896336710833978</v>
      </c>
      <c r="Y77" s="35">
        <f t="shared" si="168"/>
        <v>1.1260794473229707</v>
      </c>
      <c r="Z77" s="36">
        <f t="shared" si="168"/>
        <v>0.65595750063243108</v>
      </c>
      <c r="AA77" s="35">
        <f t="shared" si="168"/>
        <v>2.6546184738955825</v>
      </c>
      <c r="AB77" s="35">
        <f t="shared" si="168"/>
        <v>2.3354838709677419</v>
      </c>
      <c r="AC77" s="33">
        <f t="shared" ref="AC77:AG77" si="169">AC76/AC72</f>
        <v>0.55798864557988648</v>
      </c>
      <c r="AD77" s="35">
        <f t="shared" si="169"/>
        <v>0.94511378848728245</v>
      </c>
      <c r="AE77" s="36">
        <f t="shared" si="169"/>
        <v>1.0945254037022449</v>
      </c>
      <c r="AF77" s="35">
        <f t="shared" si="169"/>
        <v>3.2142857142857144</v>
      </c>
      <c r="AG77" s="35">
        <f t="shared" si="169"/>
        <v>1.4368530020703933</v>
      </c>
      <c r="AH77" s="33">
        <f t="shared" ref="AH77:AL77" si="170">AH76/AH72</f>
        <v>1.1634422948632421</v>
      </c>
      <c r="AI77" s="35">
        <f t="shared" si="170"/>
        <v>0.48572723153602176</v>
      </c>
      <c r="AJ77" s="36">
        <f t="shared" si="170"/>
        <v>1.055111821086262</v>
      </c>
      <c r="AK77" s="35">
        <f t="shared" si="170"/>
        <v>40.216216216216218</v>
      </c>
      <c r="AL77" s="35">
        <f t="shared" si="170"/>
        <v>2.2726146220570014</v>
      </c>
      <c r="AM77" s="33">
        <f t="shared" ref="AM77:AQ77" si="171">AM76/AM72</f>
        <v>5.3612167300380227</v>
      </c>
      <c r="AN77" s="35">
        <f t="shared" si="171"/>
        <v>0.31778425655976678</v>
      </c>
      <c r="AO77" s="36">
        <f t="shared" si="171"/>
        <v>1.2153688524590165</v>
      </c>
      <c r="AP77" s="35">
        <f t="shared" si="171"/>
        <v>-0.97758496023138108</v>
      </c>
      <c r="AQ77" s="35">
        <f t="shared" si="171"/>
        <v>7.4611398963730569</v>
      </c>
      <c r="AR77" s="33">
        <f t="shared" ref="AR77:AV77" si="172">AR76/AR72</f>
        <v>0.82376453488372092</v>
      </c>
      <c r="AS77" s="35">
        <f t="shared" si="172"/>
        <v>2.8289810547875063</v>
      </c>
      <c r="AT77" s="36">
        <f t="shared" si="172"/>
        <v>2.9460497439648865</v>
      </c>
      <c r="AU77" s="35">
        <f t="shared" si="172"/>
        <v>-6.6</v>
      </c>
      <c r="AV77" s="35">
        <f t="shared" si="172"/>
        <v>0.3948087431693989</v>
      </c>
      <c r="AW77" s="33">
        <f t="shared" ref="AW77:BA77" si="173">AW76/AW72</f>
        <v>0.56671740233384071</v>
      </c>
      <c r="AX77" s="35">
        <f t="shared" si="173"/>
        <v>1.7317073170731707</v>
      </c>
      <c r="AY77" s="36">
        <f t="shared" si="173"/>
        <v>0.8074547860608734</v>
      </c>
      <c r="AZ77" s="35">
        <f t="shared" si="173"/>
        <v>1.1237373737373737</v>
      </c>
      <c r="BA77" s="35">
        <f t="shared" si="173"/>
        <v>-12.638888888888889</v>
      </c>
      <c r="BB77" s="33">
        <f t="shared" ref="BB77:BF77" si="174">BB76/BB72</f>
        <v>0.22608695652173913</v>
      </c>
      <c r="BC77" s="35">
        <f t="shared" si="174"/>
        <v>0.28607198748043816</v>
      </c>
      <c r="BD77" s="36">
        <f t="shared" si="174"/>
        <v>0.45642317380352643</v>
      </c>
      <c r="BE77" s="35">
        <f t="shared" si="174"/>
        <v>0.69900687547746376</v>
      </c>
      <c r="BF77" s="35">
        <f t="shared" si="174"/>
        <v>0.34155663655316193</v>
      </c>
      <c r="BG77" s="33">
        <f t="shared" ref="BG77" si="175">BG76/BG72</f>
        <v>0.48951605322777575</v>
      </c>
      <c r="BH77" s="35">
        <f t="shared" ref="BH77:BI77" si="176">BH76/BH72</f>
        <v>0.39467204892728636</v>
      </c>
      <c r="BI77" s="36">
        <f t="shared" si="176"/>
        <v>0.44481590610301242</v>
      </c>
    </row>
    <row r="78" spans="1:76">
      <c r="A78" s="11"/>
      <c r="B78" s="82"/>
      <c r="C78" s="82"/>
      <c r="D78" s="82"/>
      <c r="E78" s="82"/>
      <c r="F78" s="83"/>
      <c r="G78" s="82"/>
      <c r="H78" s="82"/>
      <c r="I78" s="82"/>
      <c r="J78" s="82"/>
      <c r="K78" s="83"/>
      <c r="L78" s="82"/>
      <c r="M78" s="82"/>
      <c r="N78" s="82"/>
      <c r="O78" s="82"/>
      <c r="P78" s="83"/>
      <c r="Q78" s="82"/>
      <c r="R78" s="82"/>
      <c r="S78" s="82"/>
      <c r="T78" s="82"/>
      <c r="U78" s="83"/>
      <c r="V78" s="82"/>
      <c r="W78" s="82"/>
      <c r="X78" s="82"/>
      <c r="Y78" s="82"/>
      <c r="Z78" s="83"/>
      <c r="AA78" s="82"/>
      <c r="AB78" s="82"/>
      <c r="AC78" s="394"/>
      <c r="AD78" s="394"/>
      <c r="AE78" s="395"/>
      <c r="AF78" s="82"/>
      <c r="AG78" s="82"/>
      <c r="AH78" s="394"/>
      <c r="AI78" s="394"/>
      <c r="AJ78" s="395"/>
      <c r="AK78" s="82"/>
      <c r="AL78" s="82"/>
      <c r="AM78" s="394"/>
      <c r="AN78" s="394"/>
      <c r="AO78" s="395"/>
      <c r="AP78" s="82"/>
      <c r="AQ78" s="82"/>
      <c r="AR78" s="394"/>
      <c r="AS78" s="394"/>
      <c r="AT78" s="395"/>
      <c r="AU78" s="82"/>
      <c r="AV78" s="82"/>
      <c r="AW78" s="394"/>
      <c r="AX78" s="82"/>
      <c r="AY78" s="83"/>
      <c r="AZ78" s="82"/>
      <c r="BA78" s="82"/>
      <c r="BB78" s="394"/>
      <c r="BC78" s="82"/>
      <c r="BD78" s="83"/>
      <c r="BE78" s="82"/>
      <c r="BF78" s="82"/>
      <c r="BG78" s="394"/>
      <c r="BH78" s="82"/>
      <c r="BI78" s="83"/>
    </row>
    <row r="79" spans="1:76">
      <c r="A79" s="4" t="s">
        <v>216</v>
      </c>
      <c r="B79" s="229"/>
      <c r="C79" s="229"/>
      <c r="D79" s="229"/>
      <c r="E79" s="229"/>
      <c r="F79" s="83"/>
      <c r="G79" s="229"/>
      <c r="H79" s="229"/>
      <c r="I79" s="229"/>
      <c r="J79" s="229"/>
      <c r="K79" s="83"/>
      <c r="L79" s="229"/>
      <c r="M79" s="229"/>
      <c r="N79" s="229"/>
      <c r="O79" s="229"/>
      <c r="P79" s="83"/>
      <c r="Q79" s="229"/>
      <c r="R79" s="229"/>
      <c r="S79" s="229"/>
      <c r="T79" s="229"/>
      <c r="U79" s="83"/>
      <c r="V79" s="229">
        <f>W79</f>
        <v>0.73499999999999999</v>
      </c>
      <c r="W79" s="229">
        <f>1.47/2</f>
        <v>0.73499999999999999</v>
      </c>
      <c r="X79" s="82">
        <f>W79</f>
        <v>0.73499999999999999</v>
      </c>
      <c r="Y79" s="82">
        <f>X79</f>
        <v>0.73499999999999999</v>
      </c>
      <c r="Z79" s="83">
        <f>SUM(V79:Y79)</f>
        <v>2.94</v>
      </c>
      <c r="AA79" s="229">
        <v>0.73499999999999999</v>
      </c>
      <c r="AB79" s="229">
        <v>0.47499999999999998</v>
      </c>
      <c r="AC79" s="396">
        <v>0.47499999999999998</v>
      </c>
      <c r="AD79" s="229">
        <v>0.47499999999999998</v>
      </c>
      <c r="AE79" s="395">
        <f>SUM(AA79:AD79)</f>
        <v>2.16</v>
      </c>
      <c r="AF79" s="229">
        <v>0.47499999999999998</v>
      </c>
      <c r="AG79" s="396">
        <v>0.51</v>
      </c>
      <c r="AH79" s="396">
        <v>0.51</v>
      </c>
      <c r="AI79" s="396">
        <v>0.51</v>
      </c>
      <c r="AJ79" s="395">
        <f>SUM(AF79:AI79)</f>
        <v>2.0049999999999999</v>
      </c>
      <c r="AK79" s="479">
        <v>0.51</v>
      </c>
      <c r="AL79" s="396">
        <v>0.55000000000000004</v>
      </c>
      <c r="AM79" s="396">
        <v>0.55000000000000004</v>
      </c>
      <c r="AN79" s="396">
        <v>0.55000000000000004</v>
      </c>
      <c r="AO79" s="395">
        <f>SUM(AK79:AN79)</f>
        <v>2.16</v>
      </c>
      <c r="AP79" s="396">
        <v>0.55000000000000004</v>
      </c>
      <c r="AQ79" s="396">
        <v>0.59</v>
      </c>
      <c r="AR79" s="396">
        <v>0.59</v>
      </c>
      <c r="AS79" s="396">
        <v>0.59</v>
      </c>
      <c r="AT79" s="395">
        <f>SUM(AP79:AS79)</f>
        <v>2.3199999999999998</v>
      </c>
      <c r="AU79" s="396">
        <v>0.59</v>
      </c>
      <c r="AV79" s="396">
        <v>0.63</v>
      </c>
      <c r="AW79" s="396">
        <v>0.63</v>
      </c>
      <c r="AX79" s="229">
        <v>0.63</v>
      </c>
      <c r="AY79" s="395">
        <f>SUM(AU79:AX79)</f>
        <v>2.48</v>
      </c>
      <c r="AZ79" s="396">
        <v>0.63</v>
      </c>
      <c r="BA79" s="396">
        <v>0.68</v>
      </c>
      <c r="BB79" s="396">
        <v>0.68</v>
      </c>
      <c r="BC79" s="229">
        <v>0.68</v>
      </c>
      <c r="BD79" s="395">
        <f>SUM(AZ79:BC79)</f>
        <v>2.6700000000000004</v>
      </c>
      <c r="BE79" s="396">
        <v>0.68</v>
      </c>
      <c r="BF79" s="396">
        <v>0.73</v>
      </c>
      <c r="BG79" s="550">
        <f t="shared" ref="BG79" si="177">BB79*(1+BG80)</f>
        <v>0.73099999999999998</v>
      </c>
      <c r="BH79" s="82">
        <f>BI79-SUM(BE79:BG79)</f>
        <v>0.7292500000000004</v>
      </c>
      <c r="BI79" s="512">
        <f>BD79*(1+BI80)</f>
        <v>2.8702500000000004</v>
      </c>
      <c r="BJ79" s="418"/>
    </row>
    <row r="80" spans="1:76">
      <c r="A80" s="1" t="s">
        <v>4</v>
      </c>
      <c r="B80" s="35"/>
      <c r="C80" s="35"/>
      <c r="D80" s="35"/>
      <c r="E80" s="35"/>
      <c r="F80" s="36"/>
      <c r="G80" s="35"/>
      <c r="H80" s="35"/>
      <c r="I80" s="35"/>
      <c r="J80" s="35"/>
      <c r="K80" s="36"/>
      <c r="L80" s="35"/>
      <c r="M80" s="35"/>
      <c r="N80" s="35"/>
      <c r="O80" s="35"/>
      <c r="P80" s="36"/>
      <c r="Q80" s="35"/>
      <c r="R80" s="35"/>
      <c r="S80" s="35"/>
      <c r="T80" s="35"/>
      <c r="U80" s="36"/>
      <c r="V80" s="35" t="str">
        <f t="shared" ref="V80:AA80" si="178">IFERROR(V79/Q79-1,"NM")</f>
        <v>NM</v>
      </c>
      <c r="W80" s="35" t="str">
        <f t="shared" si="178"/>
        <v>NM</v>
      </c>
      <c r="X80" s="35" t="str">
        <f t="shared" si="178"/>
        <v>NM</v>
      </c>
      <c r="Y80" s="35" t="str">
        <f t="shared" si="178"/>
        <v>NM</v>
      </c>
      <c r="Z80" s="36" t="str">
        <f t="shared" si="178"/>
        <v>NM</v>
      </c>
      <c r="AA80" s="35">
        <f t="shared" si="178"/>
        <v>0</v>
      </c>
      <c r="AB80" s="35">
        <f>AB79/W79-1</f>
        <v>-0.35374149659863952</v>
      </c>
      <c r="AC80" s="33">
        <f>AC79/X79-1</f>
        <v>-0.35374149659863952</v>
      </c>
      <c r="AD80" s="32">
        <f>AD79/Y79-1</f>
        <v>-0.35374149659863952</v>
      </c>
      <c r="AE80" s="137">
        <f>AE79/Z79-1</f>
        <v>-0.26530612244897955</v>
      </c>
      <c r="AF80" s="35">
        <f t="shared" ref="AF80" si="179">IFERROR(AF79/AA79-1,"NM")</f>
        <v>-0.35374149659863952</v>
      </c>
      <c r="AG80" s="33">
        <f>AG79/AB79-1</f>
        <v>7.3684210526315796E-2</v>
      </c>
      <c r="AH80" s="33">
        <f>AH79/AC79-1</f>
        <v>7.3684210526315796E-2</v>
      </c>
      <c r="AI80" s="32">
        <f>AI79/AD79-1</f>
        <v>7.3684210526315796E-2</v>
      </c>
      <c r="AJ80" s="137">
        <f>AJ79/AE79-1</f>
        <v>-7.1759259259259411E-2</v>
      </c>
      <c r="AK80" s="35">
        <f t="shared" ref="AK80" si="180">IFERROR(AK79/AF79-1,"NM")</f>
        <v>7.3684210526315796E-2</v>
      </c>
      <c r="AL80" s="33">
        <f>AL79/AG79-1</f>
        <v>7.8431372549019773E-2</v>
      </c>
      <c r="AM80" s="33">
        <f>AM79/AH79-1</f>
        <v>7.8431372549019773E-2</v>
      </c>
      <c r="AN80" s="32">
        <f>AN79/AI79-1</f>
        <v>7.8431372549019773E-2</v>
      </c>
      <c r="AO80" s="137">
        <f>AO79/AJ79-1</f>
        <v>7.7306733167082475E-2</v>
      </c>
      <c r="AP80" s="35">
        <f t="shared" ref="AP80" si="181">IFERROR(AP79/AK79-1,"NM")</f>
        <v>7.8431372549019773E-2</v>
      </c>
      <c r="AQ80" s="33">
        <f>AQ79/AL79-1</f>
        <v>7.2727272727272529E-2</v>
      </c>
      <c r="AR80" s="33">
        <f>AR79/AM79-1</f>
        <v>7.2727272727272529E-2</v>
      </c>
      <c r="AS80" s="32">
        <f>AS79/AN79-1</f>
        <v>7.2727272727272529E-2</v>
      </c>
      <c r="AT80" s="137">
        <f>AT79/AO79-1</f>
        <v>7.4074074074073959E-2</v>
      </c>
      <c r="AU80" s="35">
        <f t="shared" ref="AU80" si="182">IFERROR(AU79/AP79-1,"NM")</f>
        <v>7.2727272727272529E-2</v>
      </c>
      <c r="AV80" s="33">
        <f>AV79/AQ79-1</f>
        <v>6.7796610169491567E-2</v>
      </c>
      <c r="AW80" s="33">
        <f>AW79/AR79-1</f>
        <v>6.7796610169491567E-2</v>
      </c>
      <c r="AX80" s="32">
        <f t="shared" ref="AX80" si="183">AX79/AS79-1</f>
        <v>6.7796610169491567E-2</v>
      </c>
      <c r="AY80" s="137">
        <f>AY79/AT79-1</f>
        <v>6.8965517241379448E-2</v>
      </c>
      <c r="AZ80" s="35">
        <f t="shared" ref="AZ80" si="184">IFERROR(AZ79/AU79-1,"NM")</f>
        <v>6.7796610169491567E-2</v>
      </c>
      <c r="BA80" s="33">
        <f>BA79/AV79-1</f>
        <v>7.9365079365079527E-2</v>
      </c>
      <c r="BB80" s="33">
        <f>BB79/AW79-1</f>
        <v>7.9365079365079527E-2</v>
      </c>
      <c r="BC80" s="32">
        <f t="shared" ref="BC80" si="185">BC79/AX79-1</f>
        <v>7.9365079365079527E-2</v>
      </c>
      <c r="BD80" s="137">
        <f>BD79/AY79-1</f>
        <v>7.6612903225806717E-2</v>
      </c>
      <c r="BE80" s="35">
        <f t="shared" ref="BE80" si="186">IFERROR(BE79/AZ79-1,"NM")</f>
        <v>7.9365079365079527E-2</v>
      </c>
      <c r="BF80" s="33">
        <f>BF79/BA79-1</f>
        <v>7.3529411764705843E-2</v>
      </c>
      <c r="BG80" s="193">
        <f t="shared" ref="BG80" si="187">$BI80</f>
        <v>7.4999999999999997E-2</v>
      </c>
      <c r="BH80" s="32">
        <f t="shared" ref="BH80" si="188">BH79/BC79-1</f>
        <v>7.2426470588235814E-2</v>
      </c>
      <c r="BI80" s="230">
        <v>7.4999999999999997E-2</v>
      </c>
    </row>
    <row r="81" spans="1:65">
      <c r="A81" s="1"/>
      <c r="B81" s="41"/>
      <c r="C81" s="41"/>
      <c r="D81" s="41"/>
      <c r="E81" s="21"/>
      <c r="F81" s="43"/>
      <c r="G81" s="41"/>
      <c r="H81" s="41"/>
      <c r="I81" s="41"/>
      <c r="J81" s="21"/>
      <c r="K81" s="43"/>
      <c r="L81" s="41"/>
      <c r="M81" s="41"/>
      <c r="N81" s="41"/>
      <c r="O81" s="21"/>
      <c r="P81" s="43"/>
      <c r="Q81" s="41"/>
      <c r="R81" s="41"/>
      <c r="S81" s="41"/>
      <c r="T81" s="21"/>
      <c r="U81" s="43"/>
      <c r="V81" s="41"/>
      <c r="W81" s="41"/>
      <c r="X81" s="41"/>
      <c r="Y81" s="21"/>
      <c r="Z81" s="43"/>
      <c r="AA81" s="41"/>
      <c r="AB81" s="21"/>
      <c r="AC81" s="21"/>
      <c r="AD81" s="21"/>
      <c r="AE81" s="22"/>
      <c r="AF81" s="41"/>
      <c r="AG81" s="21"/>
      <c r="AH81" s="21"/>
      <c r="AI81" s="21"/>
      <c r="AJ81" s="22"/>
      <c r="AK81" s="41"/>
      <c r="AL81" s="21"/>
      <c r="AM81" s="21"/>
      <c r="AN81" s="21"/>
      <c r="AO81" s="22"/>
      <c r="AP81" s="41"/>
      <c r="AQ81" s="21"/>
      <c r="AR81" s="21"/>
      <c r="AS81" s="21"/>
      <c r="AT81" s="22"/>
      <c r="AU81" s="41"/>
      <c r="AV81" s="21"/>
      <c r="AW81" s="21"/>
      <c r="AX81" s="21"/>
      <c r="AY81" s="22"/>
      <c r="AZ81" s="41"/>
      <c r="BA81" s="21"/>
      <c r="BB81" s="21"/>
      <c r="BC81" s="450"/>
      <c r="BD81" s="452"/>
      <c r="BE81" s="41"/>
      <c r="BF81" s="450"/>
      <c r="BG81" s="450"/>
      <c r="BH81" s="450"/>
      <c r="BI81" s="452"/>
    </row>
    <row r="82" spans="1:65">
      <c r="A82" s="4" t="s">
        <v>413</v>
      </c>
      <c r="B82" s="41"/>
      <c r="C82" s="41"/>
      <c r="D82" s="41"/>
      <c r="E82" s="21"/>
      <c r="F82" s="43"/>
      <c r="G82" s="41"/>
      <c r="H82" s="41"/>
      <c r="I82" s="41"/>
      <c r="J82" s="21"/>
      <c r="K82" s="43"/>
      <c r="L82" s="41"/>
      <c r="M82" s="41"/>
      <c r="N82" s="41"/>
      <c r="O82" s="21"/>
      <c r="P82" s="43"/>
      <c r="Q82" s="41"/>
      <c r="R82" s="41"/>
      <c r="S82" s="41"/>
      <c r="T82" s="21"/>
      <c r="U82" s="43"/>
      <c r="V82" s="41"/>
      <c r="W82" s="41"/>
      <c r="X82" s="41"/>
      <c r="Y82" s="21"/>
      <c r="Z82" s="43"/>
      <c r="AA82" s="41" t="s">
        <v>310</v>
      </c>
      <c r="AB82" s="41" t="s">
        <v>310</v>
      </c>
      <c r="AC82" s="389" t="s">
        <v>310</v>
      </c>
      <c r="AD82" s="392">
        <f t="shared" ref="AD82:AE82" si="189">AD83+AD84</f>
        <v>0</v>
      </c>
      <c r="AE82" s="390">
        <f t="shared" si="189"/>
        <v>0</v>
      </c>
      <c r="AF82" s="41" t="s">
        <v>310</v>
      </c>
      <c r="AG82" s="41" t="s">
        <v>310</v>
      </c>
      <c r="AH82" s="41" t="s">
        <v>310</v>
      </c>
      <c r="AI82" s="392">
        <f t="shared" ref="AI82:AJ82" si="190">AI83+AI84</f>
        <v>0</v>
      </c>
      <c r="AJ82" s="390">
        <f t="shared" si="190"/>
        <v>0</v>
      </c>
      <c r="AK82" s="41" t="s">
        <v>310</v>
      </c>
      <c r="AL82" s="41" t="s">
        <v>310</v>
      </c>
      <c r="AM82" s="41" t="s">
        <v>310</v>
      </c>
      <c r="AN82" s="392">
        <f t="shared" ref="AN82:AO82" si="191">AN83+AN84</f>
        <v>0</v>
      </c>
      <c r="AO82" s="390">
        <f t="shared" si="191"/>
        <v>0</v>
      </c>
      <c r="AP82" s="41" t="s">
        <v>310</v>
      </c>
      <c r="AQ82" s="41" t="s">
        <v>310</v>
      </c>
      <c r="AR82" s="41" t="s">
        <v>310</v>
      </c>
      <c r="AS82" s="392">
        <f t="shared" ref="AS82:AT82" si="192">AS83+AS84</f>
        <v>0</v>
      </c>
      <c r="AT82" s="390">
        <f t="shared" si="192"/>
        <v>0</v>
      </c>
      <c r="AU82" s="41" t="s">
        <v>310</v>
      </c>
      <c r="AV82" s="41" t="s">
        <v>310</v>
      </c>
      <c r="AW82" s="41" t="s">
        <v>310</v>
      </c>
      <c r="AX82" s="42"/>
      <c r="AY82" s="22"/>
      <c r="AZ82" s="41" t="s">
        <v>310</v>
      </c>
      <c r="BA82" s="41" t="s">
        <v>310</v>
      </c>
      <c r="BB82" s="41" t="s">
        <v>310</v>
      </c>
      <c r="BC82" s="42"/>
      <c r="BD82" s="22"/>
      <c r="BE82" s="41" t="s">
        <v>310</v>
      </c>
      <c r="BF82" s="41" t="s">
        <v>310</v>
      </c>
      <c r="BG82" s="42"/>
      <c r="BH82" s="42"/>
      <c r="BI82" s="22"/>
      <c r="BK82" s="112"/>
    </row>
    <row r="83" spans="1:65">
      <c r="A83" s="1" t="s">
        <v>315</v>
      </c>
      <c r="B83" s="41"/>
      <c r="C83" s="41"/>
      <c r="D83" s="41"/>
      <c r="E83" s="21"/>
      <c r="F83" s="43"/>
      <c r="G83" s="41"/>
      <c r="H83" s="41"/>
      <c r="I83" s="41"/>
      <c r="J83" s="21"/>
      <c r="K83" s="43"/>
      <c r="L83" s="41"/>
      <c r="M83" s="41"/>
      <c r="N83" s="41"/>
      <c r="O83" s="21"/>
      <c r="P83" s="43"/>
      <c r="Q83" s="41"/>
      <c r="R83" s="41"/>
      <c r="S83" s="41"/>
      <c r="T83" s="21"/>
      <c r="U83" s="43"/>
      <c r="V83" s="41"/>
      <c r="W83" s="41"/>
      <c r="X83" s="41"/>
      <c r="Y83" s="21"/>
      <c r="Z83" s="43"/>
      <c r="AA83" s="41" t="s">
        <v>310</v>
      </c>
      <c r="AB83" s="41" t="s">
        <v>310</v>
      </c>
      <c r="AC83" s="389" t="s">
        <v>310</v>
      </c>
      <c r="AD83" s="389">
        <v>0</v>
      </c>
      <c r="AE83" s="390">
        <f>SUM(AA83,AB83,AC83,AD83)</f>
        <v>0</v>
      </c>
      <c r="AF83" s="41" t="s">
        <v>310</v>
      </c>
      <c r="AG83" s="41" t="s">
        <v>310</v>
      </c>
      <c r="AH83" s="41" t="s">
        <v>310</v>
      </c>
      <c r="AI83" s="389">
        <v>0</v>
      </c>
      <c r="AJ83" s="390">
        <f>SUM(AF83,AG83,AH83,AI83)</f>
        <v>0</v>
      </c>
      <c r="AK83" s="41" t="s">
        <v>310</v>
      </c>
      <c r="AL83" s="41" t="s">
        <v>310</v>
      </c>
      <c r="AM83" s="41" t="s">
        <v>310</v>
      </c>
      <c r="AN83" s="389">
        <v>0</v>
      </c>
      <c r="AO83" s="390">
        <f>SUM(AK83,AL83,AM83,AN83)</f>
        <v>0</v>
      </c>
      <c r="AP83" s="41" t="s">
        <v>310</v>
      </c>
      <c r="AQ83" s="41" t="s">
        <v>310</v>
      </c>
      <c r="AR83" s="41" t="s">
        <v>310</v>
      </c>
      <c r="AS83" s="393">
        <f>AN83</f>
        <v>0</v>
      </c>
      <c r="AT83" s="390">
        <f>SUM(AP83,AQ83,AR83,AS83)</f>
        <v>0</v>
      </c>
      <c r="AU83" s="41" t="s">
        <v>310</v>
      </c>
      <c r="AV83" s="41" t="s">
        <v>310</v>
      </c>
      <c r="AW83" s="41" t="s">
        <v>310</v>
      </c>
      <c r="AX83" s="389">
        <v>0</v>
      </c>
      <c r="AY83" s="22">
        <f>SUM(AU83,AV83,AW83,AX83)</f>
        <v>0</v>
      </c>
      <c r="AZ83" s="41" t="s">
        <v>310</v>
      </c>
      <c r="BA83" s="41" t="s">
        <v>310</v>
      </c>
      <c r="BB83" s="41" t="s">
        <v>310</v>
      </c>
      <c r="BC83" s="41">
        <v>0</v>
      </c>
      <c r="BD83" s="22">
        <f>SUM(AZ83,BA83,BB83,BC83)</f>
        <v>0</v>
      </c>
      <c r="BE83" s="41" t="s">
        <v>310</v>
      </c>
      <c r="BF83" s="41" t="s">
        <v>310</v>
      </c>
      <c r="BG83" s="41">
        <v>0</v>
      </c>
      <c r="BH83" s="41">
        <v>0</v>
      </c>
      <c r="BI83" s="22">
        <f>SUM(BE83,BF83,BG83,BH83)</f>
        <v>0</v>
      </c>
    </row>
    <row r="84" spans="1:65">
      <c r="A84" s="1" t="s">
        <v>316</v>
      </c>
      <c r="B84" s="41"/>
      <c r="C84" s="41"/>
      <c r="D84" s="41"/>
      <c r="E84" s="21"/>
      <c r="F84" s="43"/>
      <c r="G84" s="41"/>
      <c r="H84" s="41"/>
      <c r="I84" s="41"/>
      <c r="J84" s="21"/>
      <c r="K84" s="43"/>
      <c r="L84" s="41"/>
      <c r="M84" s="41"/>
      <c r="N84" s="41"/>
      <c r="O84" s="21"/>
      <c r="P84" s="43"/>
      <c r="Q84" s="41"/>
      <c r="R84" s="41"/>
      <c r="S84" s="41"/>
      <c r="T84" s="21"/>
      <c r="U84" s="43"/>
      <c r="V84" s="41"/>
      <c r="W84" s="41"/>
      <c r="X84" s="41"/>
      <c r="Y84" s="21"/>
      <c r="Z84" s="43"/>
      <c r="AA84" s="41" t="s">
        <v>310</v>
      </c>
      <c r="AB84" s="41" t="s">
        <v>310</v>
      </c>
      <c r="AC84" s="389" t="s">
        <v>310</v>
      </c>
      <c r="AD84" s="389">
        <v>0</v>
      </c>
      <c r="AE84" s="390">
        <f>SUM(AA84,AB84,AC84,AD84)</f>
        <v>0</v>
      </c>
      <c r="AF84" s="41" t="s">
        <v>310</v>
      </c>
      <c r="AG84" s="41" t="s">
        <v>310</v>
      </c>
      <c r="AH84" s="41" t="s">
        <v>310</v>
      </c>
      <c r="AI84" s="389">
        <v>0</v>
      </c>
      <c r="AJ84" s="390">
        <f>SUM(AF84,AG84,AH84,AI84)</f>
        <v>0</v>
      </c>
      <c r="AK84" s="41" t="s">
        <v>310</v>
      </c>
      <c r="AL84" s="41" t="s">
        <v>310</v>
      </c>
      <c r="AM84" s="41" t="s">
        <v>310</v>
      </c>
      <c r="AN84" s="389">
        <v>0</v>
      </c>
      <c r="AO84" s="390">
        <f>SUM(AK84,AL84,AM84,AN84)</f>
        <v>0</v>
      </c>
      <c r="AP84" s="41" t="s">
        <v>310</v>
      </c>
      <c r="AQ84" s="41" t="s">
        <v>310</v>
      </c>
      <c r="AR84" s="41" t="s">
        <v>310</v>
      </c>
      <c r="AS84" s="393">
        <f>AN84</f>
        <v>0</v>
      </c>
      <c r="AT84" s="390">
        <f>SUM(AP84,AQ84,AR84,AS84)</f>
        <v>0</v>
      </c>
      <c r="AU84" s="41" t="s">
        <v>310</v>
      </c>
      <c r="AV84" s="41" t="s">
        <v>310</v>
      </c>
      <c r="AW84" s="41" t="s">
        <v>310</v>
      </c>
      <c r="AX84" s="389">
        <v>0</v>
      </c>
      <c r="AY84" s="22">
        <f>SUM(AU84,AV84,AW84,AX84)</f>
        <v>0</v>
      </c>
      <c r="AZ84" s="41" t="s">
        <v>310</v>
      </c>
      <c r="BA84" s="41" t="s">
        <v>310</v>
      </c>
      <c r="BB84" s="41" t="s">
        <v>310</v>
      </c>
      <c r="BC84" s="41">
        <v>0</v>
      </c>
      <c r="BD84" s="22">
        <f>SUM(AZ84,BA84,BB84,BC84)</f>
        <v>0</v>
      </c>
      <c r="BE84" s="41" t="s">
        <v>310</v>
      </c>
      <c r="BF84" s="41" t="s">
        <v>310</v>
      </c>
      <c r="BG84" s="41">
        <v>0</v>
      </c>
      <c r="BH84" s="41">
        <v>0</v>
      </c>
      <c r="BI84" s="22">
        <f>SUM(BE84,BF84,BG84,BH84)</f>
        <v>0</v>
      </c>
      <c r="BM84" s="112"/>
    </row>
    <row r="85" spans="1:65">
      <c r="A85" s="1" t="s">
        <v>425</v>
      </c>
      <c r="B85" s="41"/>
      <c r="C85" s="41"/>
      <c r="D85" s="41"/>
      <c r="E85" s="21"/>
      <c r="F85" s="43"/>
      <c r="G85" s="41"/>
      <c r="H85" s="41"/>
      <c r="I85" s="41"/>
      <c r="J85" s="21"/>
      <c r="K85" s="43"/>
      <c r="L85" s="41"/>
      <c r="M85" s="41"/>
      <c r="N85" s="41"/>
      <c r="O85" s="21"/>
      <c r="P85" s="43"/>
      <c r="Q85" s="41"/>
      <c r="R85" s="41"/>
      <c r="S85" s="41"/>
      <c r="T85" s="21"/>
      <c r="U85" s="43"/>
      <c r="V85" s="41"/>
      <c r="W85" s="41"/>
      <c r="X85" s="41"/>
      <c r="Y85" s="21"/>
      <c r="Z85" s="43"/>
      <c r="AA85" s="41"/>
      <c r="AB85" s="41"/>
      <c r="AC85" s="389"/>
      <c r="AD85" s="389"/>
      <c r="AE85" s="390"/>
      <c r="AF85" s="41"/>
      <c r="AG85" s="41"/>
      <c r="AH85" s="41"/>
      <c r="AI85" s="389"/>
      <c r="AJ85" s="390"/>
      <c r="AK85" s="41"/>
      <c r="AL85" s="41"/>
      <c r="AM85" s="41"/>
      <c r="AN85" s="389"/>
      <c r="AO85" s="390"/>
      <c r="AP85" s="41"/>
      <c r="AQ85" s="41"/>
      <c r="AR85" s="41"/>
      <c r="AS85" s="389"/>
      <c r="AT85" s="390"/>
      <c r="AU85" s="41"/>
      <c r="AV85" s="41"/>
      <c r="AW85" s="41"/>
      <c r="AX85" s="21">
        <f>ProForma_IS_Qtr!AX32*(1-0.21)</f>
        <v>-303.36</v>
      </c>
      <c r="AY85" s="22">
        <f>SUM(AU85:AX85)</f>
        <v>-303.36</v>
      </c>
      <c r="AZ85" s="42">
        <f>ProForma_IS_Qtr!AZ32*(1-0.21)</f>
        <v>-289.14</v>
      </c>
      <c r="BA85" s="42">
        <f>ProForma_IS_Qtr!BA32*(1-0.21)</f>
        <v>-277.29000000000002</v>
      </c>
      <c r="BB85" s="42">
        <f>ProForma_IS_Qtr!BB32*(1-0.21)</f>
        <v>-287.56</v>
      </c>
      <c r="BC85" s="21">
        <f>ProForma_IS_Qtr!BC32*(1-0.21)</f>
        <v>-79.790000000000006</v>
      </c>
      <c r="BD85" s="22">
        <f>SUM(AZ85:BC85)</f>
        <v>-933.78</v>
      </c>
      <c r="BE85" s="42">
        <f>ProForma_IS_Qtr!BE32*(1-0.21)</f>
        <v>-282.03000000000003</v>
      </c>
      <c r="BF85" s="42">
        <f>ProForma_IS_Qtr!BF32*(1-0.21)</f>
        <v>-276.5</v>
      </c>
      <c r="BG85" s="21">
        <f>ProForma_IS_Qtr!BG32*(1-0.21)</f>
        <v>-273.73500000000001</v>
      </c>
      <c r="BH85" s="21">
        <f>ProForma_IS_Qtr!BH32*(1-0.21)</f>
        <v>-273.73500000000001</v>
      </c>
      <c r="BI85" s="22">
        <f>SUM(BE85:BH85)</f>
        <v>-1106</v>
      </c>
    </row>
    <row r="86" spans="1:65">
      <c r="A86" s="1"/>
      <c r="B86" s="41"/>
      <c r="C86" s="41"/>
      <c r="D86" s="41"/>
      <c r="E86" s="21"/>
      <c r="F86" s="43"/>
      <c r="G86" s="41"/>
      <c r="H86" s="41"/>
      <c r="I86" s="41"/>
      <c r="J86" s="21"/>
      <c r="K86" s="43"/>
      <c r="L86" s="41"/>
      <c r="M86" s="41"/>
      <c r="N86" s="41"/>
      <c r="O86" s="21"/>
      <c r="P86" s="43"/>
      <c r="Q86" s="41"/>
      <c r="R86" s="41"/>
      <c r="S86" s="41"/>
      <c r="T86" s="21"/>
      <c r="U86" s="43"/>
      <c r="V86" s="41"/>
      <c r="W86" s="41"/>
      <c r="X86" s="41"/>
      <c r="Y86" s="21"/>
      <c r="Z86" s="43"/>
      <c r="AA86" s="41"/>
      <c r="AB86" s="41"/>
      <c r="AC86" s="389"/>
      <c r="AD86" s="389"/>
      <c r="AE86" s="390"/>
      <c r="AF86" s="41"/>
      <c r="AG86" s="41"/>
      <c r="AH86" s="41"/>
      <c r="AI86" s="389"/>
      <c r="AJ86" s="390"/>
      <c r="AK86" s="41"/>
      <c r="AL86" s="41"/>
      <c r="AM86" s="41"/>
      <c r="AN86" s="389"/>
      <c r="AO86" s="390"/>
      <c r="AP86" s="41"/>
      <c r="AQ86" s="41"/>
      <c r="AR86" s="41"/>
      <c r="AS86" s="389"/>
      <c r="AT86" s="390"/>
      <c r="AU86" s="41"/>
      <c r="AV86" s="41"/>
      <c r="AW86" s="41"/>
      <c r="AX86" s="41"/>
      <c r="AY86" s="22"/>
      <c r="AZ86" s="41"/>
      <c r="BA86" s="41"/>
      <c r="BB86" s="41"/>
      <c r="BC86" s="450">
        <v>0</v>
      </c>
      <c r="BD86" s="452">
        <v>0</v>
      </c>
      <c r="BE86" s="41"/>
      <c r="BF86" s="450"/>
      <c r="BG86" s="450">
        <v>0</v>
      </c>
      <c r="BH86" s="450">
        <v>0</v>
      </c>
      <c r="BI86" s="452">
        <v>0</v>
      </c>
    </row>
    <row r="87" spans="1:65">
      <c r="A87" s="1" t="s">
        <v>317</v>
      </c>
      <c r="B87" s="41"/>
      <c r="C87" s="41"/>
      <c r="D87" s="41"/>
      <c r="E87" s="21"/>
      <c r="F87" s="43"/>
      <c r="G87" s="41"/>
      <c r="H87" s="41"/>
      <c r="I87" s="41"/>
      <c r="J87" s="21"/>
      <c r="K87" s="43"/>
      <c r="L87" s="41"/>
      <c r="M87" s="41"/>
      <c r="N87" s="41"/>
      <c r="O87" s="21"/>
      <c r="P87" s="43"/>
      <c r="Q87" s="41"/>
      <c r="R87" s="41"/>
      <c r="S87" s="41"/>
      <c r="T87" s="21"/>
      <c r="U87" s="43"/>
      <c r="V87" s="41"/>
      <c r="W87" s="41"/>
      <c r="X87" s="41"/>
      <c r="Y87" s="21"/>
      <c r="Z87" s="43"/>
      <c r="AA87" s="21">
        <f t="shared" ref="AA87:AE87" si="193">AA88+AA89</f>
        <v>39</v>
      </c>
      <c r="AB87" s="21">
        <f t="shared" si="193"/>
        <v>3</v>
      </c>
      <c r="AC87" s="392">
        <f t="shared" ref="AC87" si="194">AC88+AC89</f>
        <v>22</v>
      </c>
      <c r="AD87" s="392">
        <f t="shared" si="193"/>
        <v>525</v>
      </c>
      <c r="AE87" s="390">
        <f t="shared" si="193"/>
        <v>589</v>
      </c>
      <c r="AF87" s="21">
        <f t="shared" ref="AF87:AJ87" si="195">AF88+AF89</f>
        <v>7</v>
      </c>
      <c r="AG87" s="21">
        <f t="shared" si="195"/>
        <v>18</v>
      </c>
      <c r="AH87" s="21">
        <f t="shared" si="195"/>
        <v>13</v>
      </c>
      <c r="AI87" s="392">
        <f t="shared" si="195"/>
        <v>519</v>
      </c>
      <c r="AJ87" s="390">
        <f t="shared" si="195"/>
        <v>557</v>
      </c>
      <c r="AK87" s="21">
        <f t="shared" ref="AK87:AO87" si="196">AK88+AK89</f>
        <v>0</v>
      </c>
      <c r="AL87" s="21">
        <f t="shared" si="196"/>
        <v>0</v>
      </c>
      <c r="AM87" s="21">
        <f t="shared" si="196"/>
        <v>0</v>
      </c>
      <c r="AN87" s="392">
        <f t="shared" si="196"/>
        <v>550</v>
      </c>
      <c r="AO87" s="390">
        <f t="shared" si="196"/>
        <v>550</v>
      </c>
      <c r="AP87" s="21">
        <f t="shared" ref="AP87:AT87" si="197">AP88+AP89</f>
        <v>0</v>
      </c>
      <c r="AQ87" s="21">
        <f t="shared" si="197"/>
        <v>0</v>
      </c>
      <c r="AR87" s="21">
        <f t="shared" si="197"/>
        <v>0</v>
      </c>
      <c r="AS87" s="392">
        <f t="shared" si="197"/>
        <v>550</v>
      </c>
      <c r="AT87" s="390">
        <f t="shared" si="197"/>
        <v>550</v>
      </c>
      <c r="AU87" s="21">
        <f t="shared" ref="AU87:AW87" si="198">AU88+AU89</f>
        <v>0</v>
      </c>
      <c r="AV87" s="21">
        <f t="shared" si="198"/>
        <v>0</v>
      </c>
      <c r="AW87" s="21">
        <f t="shared" si="198"/>
        <v>0</v>
      </c>
      <c r="AX87" s="21">
        <f t="shared" ref="AX87:BB87" si="199">AX88+AX89</f>
        <v>93.75</v>
      </c>
      <c r="AY87" s="22">
        <f t="shared" si="199"/>
        <v>93.75</v>
      </c>
      <c r="AZ87" s="21">
        <f t="shared" si="199"/>
        <v>0</v>
      </c>
      <c r="BA87" s="21">
        <f t="shared" si="199"/>
        <v>0</v>
      </c>
      <c r="BB87" s="21">
        <f t="shared" si="199"/>
        <v>0</v>
      </c>
      <c r="BC87" s="21">
        <f t="shared" ref="BC87:BG87" si="200">BC88+BC89</f>
        <v>75</v>
      </c>
      <c r="BD87" s="22">
        <f t="shared" si="200"/>
        <v>75</v>
      </c>
      <c r="BE87" s="21">
        <f t="shared" si="200"/>
        <v>0</v>
      </c>
      <c r="BF87" s="21">
        <f t="shared" si="200"/>
        <v>0</v>
      </c>
      <c r="BG87" s="21">
        <f t="shared" si="200"/>
        <v>0</v>
      </c>
      <c r="BH87" s="21">
        <f t="shared" ref="BH87:BI87" si="201">BH88+BH89</f>
        <v>0</v>
      </c>
      <c r="BI87" s="22">
        <f t="shared" si="201"/>
        <v>0</v>
      </c>
    </row>
    <row r="88" spans="1:65">
      <c r="A88" s="1" t="s">
        <v>250</v>
      </c>
      <c r="B88" s="41"/>
      <c r="C88" s="41"/>
      <c r="D88" s="41"/>
      <c r="E88" s="21"/>
      <c r="F88" s="43"/>
      <c r="G88" s="41"/>
      <c r="H88" s="41"/>
      <c r="I88" s="41"/>
      <c r="J88" s="21"/>
      <c r="K88" s="43"/>
      <c r="L88" s="41"/>
      <c r="M88" s="41"/>
      <c r="N88" s="41"/>
      <c r="O88" s="21"/>
      <c r="P88" s="43"/>
      <c r="Q88" s="41"/>
      <c r="R88" s="41"/>
      <c r="S88" s="41"/>
      <c r="T88" s="21"/>
      <c r="U88" s="43"/>
      <c r="V88" s="41"/>
      <c r="W88" s="41"/>
      <c r="X88" s="41"/>
      <c r="Y88" s="21"/>
      <c r="Z88" s="43"/>
      <c r="AA88" s="21">
        <f>-AA18</f>
        <v>39</v>
      </c>
      <c r="AB88" s="21">
        <f>-AB18</f>
        <v>3</v>
      </c>
      <c r="AC88" s="392">
        <f>-AC18</f>
        <v>22</v>
      </c>
      <c r="AD88" s="389">
        <f>550-AC88-AB88</f>
        <v>525</v>
      </c>
      <c r="AE88" s="390">
        <f>SUM(AA88,AB88,AC88,AD88)</f>
        <v>589</v>
      </c>
      <c r="AF88" s="21">
        <f>-AF18</f>
        <v>7</v>
      </c>
      <c r="AG88" s="21">
        <f>-AG18</f>
        <v>18</v>
      </c>
      <c r="AH88" s="21">
        <f>-AH18</f>
        <v>13</v>
      </c>
      <c r="AI88" s="389">
        <f>550-AH88-AG88</f>
        <v>519</v>
      </c>
      <c r="AJ88" s="390">
        <f>SUM(AF88,AG88,AH88,AI88)</f>
        <v>557</v>
      </c>
      <c r="AK88" s="21">
        <f>-AK18</f>
        <v>0</v>
      </c>
      <c r="AL88" s="21">
        <f>-AL18</f>
        <v>0</v>
      </c>
      <c r="AM88" s="21">
        <f>-AM18</f>
        <v>0</v>
      </c>
      <c r="AN88" s="389">
        <f>550-AM88-AL88</f>
        <v>550</v>
      </c>
      <c r="AO88" s="390">
        <f>SUM(AK88,AL88,AM88,AN88)</f>
        <v>550</v>
      </c>
      <c r="AP88" s="21">
        <f>-AP18</f>
        <v>0</v>
      </c>
      <c r="AQ88" s="21">
        <f>-AQ18</f>
        <v>0</v>
      </c>
      <c r="AR88" s="21">
        <f>-AR18</f>
        <v>0</v>
      </c>
      <c r="AS88" s="393">
        <f>AN88</f>
        <v>550</v>
      </c>
      <c r="AT88" s="390">
        <f>SUM(AP88,AQ88,AR88,AS88)</f>
        <v>550</v>
      </c>
      <c r="AU88" s="21">
        <f>-AU18</f>
        <v>0</v>
      </c>
      <c r="AV88" s="21">
        <f>-AV18</f>
        <v>0</v>
      </c>
      <c r="AW88" s="21">
        <f>-AW18</f>
        <v>0</v>
      </c>
      <c r="AX88" s="389">
        <f t="shared" ref="AX88" si="202">375/4</f>
        <v>93.75</v>
      </c>
      <c r="AY88" s="22">
        <f>SUM(AU88,AV88,AW88,AX88)</f>
        <v>93.75</v>
      </c>
      <c r="AZ88" s="21">
        <f>-AZ18</f>
        <v>0</v>
      </c>
      <c r="BA88" s="21">
        <f>-BA18</f>
        <v>0</v>
      </c>
      <c r="BB88" s="21">
        <f>-BB18</f>
        <v>0</v>
      </c>
      <c r="BC88" s="41">
        <v>75</v>
      </c>
      <c r="BD88" s="22">
        <f>SUM(AZ88,BA88,BB88,BC88)</f>
        <v>75</v>
      </c>
      <c r="BE88" s="21">
        <f>-BE18</f>
        <v>0</v>
      </c>
      <c r="BF88" s="41">
        <v>0</v>
      </c>
      <c r="BG88" s="41">
        <v>0</v>
      </c>
      <c r="BH88" s="41">
        <v>0</v>
      </c>
      <c r="BI88" s="22">
        <f>SUM(BE88,BF88,BG88,BH88)</f>
        <v>0</v>
      </c>
      <c r="BJ88" s="372"/>
    </row>
    <row r="89" spans="1:65">
      <c r="A89" s="1" t="s">
        <v>318</v>
      </c>
      <c r="B89" s="41"/>
      <c r="C89" s="41"/>
      <c r="D89" s="41"/>
      <c r="E89" s="21"/>
      <c r="F89" s="43"/>
      <c r="G89" s="41"/>
      <c r="H89" s="41"/>
      <c r="I89" s="41"/>
      <c r="J89" s="21"/>
      <c r="K89" s="43"/>
      <c r="L89" s="41"/>
      <c r="M89" s="41"/>
      <c r="N89" s="41"/>
      <c r="O89" s="21"/>
      <c r="P89" s="43"/>
      <c r="Q89" s="41"/>
      <c r="R89" s="41"/>
      <c r="S89" s="41"/>
      <c r="T89" s="21"/>
      <c r="U89" s="43"/>
      <c r="V89" s="41"/>
      <c r="W89" s="41"/>
      <c r="X89" s="41"/>
      <c r="Y89" s="21"/>
      <c r="Z89" s="43"/>
      <c r="AA89" s="41">
        <v>0</v>
      </c>
      <c r="AB89" s="41">
        <v>0</v>
      </c>
      <c r="AC89" s="389">
        <v>0</v>
      </c>
      <c r="AD89" s="389">
        <v>0</v>
      </c>
      <c r="AE89" s="390">
        <f>SUM(AA89,AB89,AC89,AD89)</f>
        <v>0</v>
      </c>
      <c r="AF89" s="41">
        <v>0</v>
      </c>
      <c r="AG89" s="41">
        <v>0</v>
      </c>
      <c r="AH89" s="41">
        <v>0</v>
      </c>
      <c r="AI89" s="389">
        <v>0</v>
      </c>
      <c r="AJ89" s="390">
        <f>SUM(AF89,AG89,AH89,AI89)</f>
        <v>0</v>
      </c>
      <c r="AK89" s="41">
        <v>0</v>
      </c>
      <c r="AL89" s="41">
        <v>0</v>
      </c>
      <c r="AM89" s="41">
        <v>0</v>
      </c>
      <c r="AN89" s="389">
        <v>0</v>
      </c>
      <c r="AO89" s="390">
        <f>SUM(AK89,AL89,AM89,AN89)</f>
        <v>0</v>
      </c>
      <c r="AP89" s="41">
        <v>0</v>
      </c>
      <c r="AQ89" s="41">
        <v>0</v>
      </c>
      <c r="AR89" s="41">
        <v>0</v>
      </c>
      <c r="AS89" s="393">
        <f>AN89</f>
        <v>0</v>
      </c>
      <c r="AT89" s="390">
        <f>SUM(AP89,AQ89,AR89,AS89)</f>
        <v>0</v>
      </c>
      <c r="AU89" s="41">
        <v>0</v>
      </c>
      <c r="AV89" s="41">
        <v>0</v>
      </c>
      <c r="AW89" s="41">
        <v>0</v>
      </c>
      <c r="AX89" s="389">
        <v>0</v>
      </c>
      <c r="AY89" s="22">
        <f>SUM(AU89,AV89,AW89,AX89)</f>
        <v>0</v>
      </c>
      <c r="AZ89" s="41">
        <v>0</v>
      </c>
      <c r="BA89" s="41">
        <v>0</v>
      </c>
      <c r="BB89" s="41">
        <v>0</v>
      </c>
      <c r="BC89" s="41">
        <v>0</v>
      </c>
      <c r="BD89" s="22">
        <f>SUM(AZ89,BA89,BB89,BC89)</f>
        <v>0</v>
      </c>
      <c r="BE89" s="41">
        <v>0</v>
      </c>
      <c r="BF89" s="41">
        <v>0</v>
      </c>
      <c r="BG89" s="41">
        <v>0</v>
      </c>
      <c r="BH89" s="41">
        <v>0</v>
      </c>
      <c r="BI89" s="22">
        <f>SUM(BE89,BF89,BG89,BH89)</f>
        <v>0</v>
      </c>
    </row>
    <row r="90" spans="1:65">
      <c r="AC90" s="391"/>
      <c r="AD90" s="391"/>
      <c r="AE90" s="391"/>
    </row>
    <row r="92" spans="1:65">
      <c r="BE92" s="273">
        <f>SUM(BE72:BF72)/8750</f>
        <v>0.47851428571428573</v>
      </c>
    </row>
    <row r="108" customFormat="1"/>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AJ205"/>
  <sheetViews>
    <sheetView showGridLines="0" zoomScaleNormal="100" workbookViewId="0">
      <pane xSplit="1" ySplit="2" topLeftCell="V162" activePane="bottomRight" state="frozen"/>
      <selection activeCell="AC29" sqref="AC29"/>
      <selection pane="topRight" activeCell="AC29" sqref="AC29"/>
      <selection pane="bottomLeft" activeCell="AC29" sqref="AC29"/>
      <selection pane="bottomRight" activeCell="AD191" sqref="AD191"/>
    </sheetView>
  </sheetViews>
  <sheetFormatPr defaultRowHeight="15" outlineLevelCol="1"/>
  <cols>
    <col min="1" max="1" width="48" customWidth="1"/>
    <col min="2" max="18" width="12.140625" style="25" hidden="1" customWidth="1" outlineLevel="1"/>
    <col min="19" max="19" width="12.140625" style="25" hidden="1" customWidth="1" outlineLevel="1" collapsed="1"/>
    <col min="20" max="21" width="12.140625" style="25" hidden="1" customWidth="1" outlineLevel="1"/>
    <col min="22" max="22" width="12.140625" style="25" customWidth="1" collapsed="1"/>
    <col min="23" max="32" width="12.140625" style="25" customWidth="1"/>
  </cols>
  <sheetData>
    <row r="1" spans="1:33">
      <c r="A1" s="14" t="s">
        <v>208</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row>
    <row r="2" spans="1:33">
      <c r="B2" s="106" t="s">
        <v>204</v>
      </c>
      <c r="C2" s="106" t="s">
        <v>203</v>
      </c>
      <c r="D2" s="106" t="s">
        <v>202</v>
      </c>
      <c r="E2" s="106" t="s">
        <v>201</v>
      </c>
      <c r="F2" s="106" t="s">
        <v>200</v>
      </c>
      <c r="G2" s="106" t="s">
        <v>199</v>
      </c>
      <c r="H2" s="106" t="s">
        <v>198</v>
      </c>
      <c r="I2" s="106" t="s">
        <v>197</v>
      </c>
      <c r="J2" s="106" t="s">
        <v>196</v>
      </c>
      <c r="K2" s="106" t="s">
        <v>195</v>
      </c>
      <c r="L2" s="106" t="s">
        <v>194</v>
      </c>
      <c r="M2" s="106" t="s">
        <v>193</v>
      </c>
      <c r="N2" s="106" t="s">
        <v>192</v>
      </c>
      <c r="O2" s="106" t="s">
        <v>191</v>
      </c>
      <c r="P2" s="106" t="s">
        <v>190</v>
      </c>
      <c r="Q2" s="106" t="s">
        <v>189</v>
      </c>
      <c r="R2" s="106" t="s">
        <v>184</v>
      </c>
      <c r="S2" s="106" t="s">
        <v>179</v>
      </c>
      <c r="T2" s="106" t="s">
        <v>174</v>
      </c>
      <c r="U2" s="106" t="s">
        <v>169</v>
      </c>
      <c r="V2" s="106" t="s">
        <v>215</v>
      </c>
      <c r="W2" s="106" t="s">
        <v>217</v>
      </c>
      <c r="X2" s="106" t="s">
        <v>218</v>
      </c>
      <c r="Y2" s="106" t="s">
        <v>219</v>
      </c>
      <c r="Z2" s="106" t="s">
        <v>220</v>
      </c>
      <c r="AA2" s="106" t="s">
        <v>221</v>
      </c>
      <c r="AB2" s="106" t="s">
        <v>419</v>
      </c>
      <c r="AC2" s="106" t="s">
        <v>435</v>
      </c>
      <c r="AD2" s="106" t="s">
        <v>456</v>
      </c>
      <c r="AE2" s="106" t="s">
        <v>486</v>
      </c>
      <c r="AF2" s="106" t="s">
        <v>506</v>
      </c>
      <c r="AG2" s="314" t="s">
        <v>373</v>
      </c>
    </row>
    <row r="3" spans="1:33">
      <c r="A3" s="8" t="s">
        <v>209</v>
      </c>
      <c r="B3" s="1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row>
    <row r="4" spans="1:33" s="25" customFormat="1">
      <c r="A4" s="3" t="str">
        <f>Debt_Qtr!A4</f>
        <v>3.125% Notes due 2020</v>
      </c>
      <c r="B4" s="43"/>
      <c r="C4" s="43"/>
      <c r="D4" s="43"/>
      <c r="E4" s="43"/>
      <c r="F4" s="43"/>
      <c r="G4" s="43"/>
      <c r="H4" s="43"/>
      <c r="I4" s="43"/>
      <c r="J4" s="43"/>
      <c r="K4" s="43"/>
      <c r="L4" s="43"/>
      <c r="M4" s="43"/>
      <c r="N4" s="43"/>
      <c r="O4" s="43"/>
      <c r="P4" s="43"/>
      <c r="Q4" s="43"/>
      <c r="R4" s="43"/>
      <c r="S4" s="38"/>
      <c r="T4" s="38"/>
      <c r="U4" s="38"/>
      <c r="V4" s="38">
        <f>Debt_Qtr!AE4</f>
        <v>0</v>
      </c>
      <c r="W4" s="38">
        <f>Debt_Qtr!AJ4</f>
        <v>0</v>
      </c>
      <c r="X4" s="38">
        <f>Debt_Qtr!AO4</f>
        <v>0</v>
      </c>
      <c r="Y4" s="38">
        <f>Debt_Qtr!AT4</f>
        <v>0</v>
      </c>
      <c r="Z4" s="38">
        <f>Debt_Qtr!AY4</f>
        <v>0</v>
      </c>
      <c r="AA4" s="38">
        <f>Debt_Qtr!BD4</f>
        <v>0</v>
      </c>
      <c r="AB4" s="38">
        <f>Debt_Qtr!BI4</f>
        <v>0</v>
      </c>
      <c r="AC4" s="43">
        <f t="shared" ref="AC4:AF8" si="0">AB4</f>
        <v>0</v>
      </c>
      <c r="AD4" s="43">
        <f t="shared" si="0"/>
        <v>0</v>
      </c>
      <c r="AE4" s="43">
        <f t="shared" si="0"/>
        <v>0</v>
      </c>
      <c r="AF4" s="43">
        <f t="shared" si="0"/>
        <v>0</v>
      </c>
    </row>
    <row r="5" spans="1:33" s="25" customFormat="1">
      <c r="A5" s="3" t="str">
        <f>Debt_Qtr!A5</f>
        <v>8.750% Notes due 2021</v>
      </c>
      <c r="B5" s="43"/>
      <c r="C5" s="43"/>
      <c r="D5" s="43"/>
      <c r="E5" s="43"/>
      <c r="F5" s="43"/>
      <c r="G5" s="43"/>
      <c r="H5" s="43"/>
      <c r="I5" s="43"/>
      <c r="J5" s="43"/>
      <c r="K5" s="43"/>
      <c r="L5" s="43"/>
      <c r="M5" s="43"/>
      <c r="N5" s="43"/>
      <c r="O5" s="43"/>
      <c r="P5" s="43"/>
      <c r="Q5" s="43"/>
      <c r="R5" s="43"/>
      <c r="S5" s="38"/>
      <c r="T5" s="38"/>
      <c r="U5" s="38"/>
      <c r="V5" s="38">
        <f>Debt_Qtr!AE5</f>
        <v>250</v>
      </c>
      <c r="W5" s="38">
        <f>Debt_Qtr!AJ5</f>
        <v>0</v>
      </c>
      <c r="X5" s="38">
        <f>Debt_Qtr!AO5</f>
        <v>0</v>
      </c>
      <c r="Y5" s="38">
        <f>Debt_Qtr!AT5</f>
        <v>0</v>
      </c>
      <c r="Z5" s="38">
        <f>Debt_Qtr!AY5</f>
        <v>0</v>
      </c>
      <c r="AA5" s="38">
        <f>Debt_Qtr!BD5</f>
        <v>0</v>
      </c>
      <c r="AB5" s="38">
        <f>Debt_Qtr!BI5</f>
        <v>0</v>
      </c>
      <c r="AC5" s="43">
        <f t="shared" si="0"/>
        <v>0</v>
      </c>
      <c r="AD5" s="43">
        <f t="shared" si="0"/>
        <v>0</v>
      </c>
      <c r="AE5" s="43">
        <f t="shared" si="0"/>
        <v>0</v>
      </c>
      <c r="AF5" s="43">
        <f t="shared" si="0"/>
        <v>0</v>
      </c>
    </row>
    <row r="6" spans="1:33" s="25" customFormat="1">
      <c r="A6" s="3" t="str">
        <f>Debt_Qtr!A6</f>
        <v>3.100% Notes due 2021</v>
      </c>
      <c r="B6" s="43"/>
      <c r="C6" s="43"/>
      <c r="D6" s="43"/>
      <c r="E6" s="43"/>
      <c r="F6" s="43"/>
      <c r="G6" s="43"/>
      <c r="H6" s="43"/>
      <c r="I6" s="43"/>
      <c r="J6" s="43"/>
      <c r="K6" s="43"/>
      <c r="L6" s="43"/>
      <c r="M6" s="43"/>
      <c r="N6" s="43"/>
      <c r="O6" s="43"/>
      <c r="P6" s="43"/>
      <c r="Q6" s="43"/>
      <c r="R6" s="43"/>
      <c r="S6" s="38"/>
      <c r="T6" s="38"/>
      <c r="U6" s="38"/>
      <c r="V6" s="38">
        <f>Debt_Qtr!AE6</f>
        <v>250</v>
      </c>
      <c r="W6" s="38">
        <f>Debt_Qtr!AJ6</f>
        <v>0</v>
      </c>
      <c r="X6" s="38">
        <f>Debt_Qtr!AO6</f>
        <v>0</v>
      </c>
      <c r="Y6" s="38">
        <f>Debt_Qtr!AT6</f>
        <v>0</v>
      </c>
      <c r="Z6" s="38">
        <f>Debt_Qtr!AY6</f>
        <v>0</v>
      </c>
      <c r="AA6" s="38">
        <f>Debt_Qtr!BD6</f>
        <v>0</v>
      </c>
      <c r="AB6" s="38">
        <f>Debt_Qtr!BI6</f>
        <v>0</v>
      </c>
      <c r="AC6" s="43">
        <f t="shared" si="0"/>
        <v>0</v>
      </c>
      <c r="AD6" s="43">
        <f t="shared" si="0"/>
        <v>0</v>
      </c>
      <c r="AE6" s="43">
        <f t="shared" si="0"/>
        <v>0</v>
      </c>
      <c r="AF6" s="43">
        <f t="shared" si="0"/>
        <v>0</v>
      </c>
    </row>
    <row r="7" spans="1:33" s="25" customFormat="1">
      <c r="A7" s="3" t="str">
        <f>Debt_Qtr!A7</f>
        <v>2.800% Notes due 2022</v>
      </c>
      <c r="B7" s="75"/>
      <c r="C7" s="75"/>
      <c r="D7" s="75"/>
      <c r="E7" s="75"/>
      <c r="F7" s="75"/>
      <c r="G7" s="75"/>
      <c r="H7" s="75"/>
      <c r="I7" s="75"/>
      <c r="J7" s="75"/>
      <c r="K7" s="75"/>
      <c r="L7" s="75"/>
      <c r="M7" s="75"/>
      <c r="N7" s="75"/>
      <c r="O7" s="75"/>
      <c r="P7" s="75"/>
      <c r="Q7" s="75"/>
      <c r="R7" s="75"/>
      <c r="S7" s="38"/>
      <c r="T7" s="38"/>
      <c r="U7" s="38"/>
      <c r="V7" s="38">
        <f>Debt_Qtr!AE7</f>
        <v>1100</v>
      </c>
      <c r="W7" s="38">
        <f>Debt_Qtr!AJ7</f>
        <v>0</v>
      </c>
      <c r="X7" s="38">
        <f>Debt_Qtr!AO7</f>
        <v>0</v>
      </c>
      <c r="Y7" s="38">
        <f>Debt_Qtr!AT7</f>
        <v>0</v>
      </c>
      <c r="Z7" s="38">
        <f>Debt_Qtr!AY7</f>
        <v>0</v>
      </c>
      <c r="AA7" s="38">
        <f>Debt_Qtr!BD7</f>
        <v>0</v>
      </c>
      <c r="AB7" s="38">
        <f>Debt_Qtr!BI7</f>
        <v>0</v>
      </c>
      <c r="AC7" s="43">
        <f t="shared" si="0"/>
        <v>0</v>
      </c>
      <c r="AD7" s="43">
        <f t="shared" si="0"/>
        <v>0</v>
      </c>
      <c r="AE7" s="43">
        <f t="shared" si="0"/>
        <v>0</v>
      </c>
      <c r="AF7" s="43">
        <f t="shared" si="0"/>
        <v>0</v>
      </c>
    </row>
    <row r="8" spans="1:33" s="25" customFormat="1">
      <c r="A8" s="3" t="str">
        <f>Debt_Qtr!A8</f>
        <v>2.500% Notes due 2022</v>
      </c>
      <c r="B8" s="75"/>
      <c r="C8" s="75"/>
      <c r="D8" s="75"/>
      <c r="E8" s="75"/>
      <c r="F8" s="75"/>
      <c r="G8" s="75"/>
      <c r="H8" s="75"/>
      <c r="I8" s="75"/>
      <c r="J8" s="75"/>
      <c r="K8" s="75"/>
      <c r="L8" s="75"/>
      <c r="M8" s="75"/>
      <c r="N8" s="75"/>
      <c r="O8" s="75"/>
      <c r="P8" s="75"/>
      <c r="Q8" s="75"/>
      <c r="R8" s="75"/>
      <c r="S8" s="38"/>
      <c r="T8" s="38"/>
      <c r="U8" s="38"/>
      <c r="V8" s="38">
        <f>Debt_Qtr!AE8</f>
        <v>1100</v>
      </c>
      <c r="W8" s="38">
        <f>Debt_Qtr!AJ8</f>
        <v>0</v>
      </c>
      <c r="X8" s="38">
        <f>Debt_Qtr!AO8</f>
        <v>0</v>
      </c>
      <c r="Y8" s="38">
        <f>Debt_Qtr!AT8</f>
        <v>0</v>
      </c>
      <c r="Z8" s="38">
        <f>Debt_Qtr!AY8</f>
        <v>0</v>
      </c>
      <c r="AA8" s="38">
        <f>Debt_Qtr!BD8</f>
        <v>0</v>
      </c>
      <c r="AB8" s="38">
        <f>Debt_Qtr!BI8</f>
        <v>0</v>
      </c>
      <c r="AC8" s="43">
        <f t="shared" si="0"/>
        <v>0</v>
      </c>
      <c r="AD8" s="43">
        <f t="shared" si="0"/>
        <v>0</v>
      </c>
      <c r="AE8" s="43">
        <f t="shared" si="0"/>
        <v>0</v>
      </c>
      <c r="AF8" s="43">
        <f t="shared" si="0"/>
        <v>0</v>
      </c>
    </row>
    <row r="9" spans="1:33" s="25" customFormat="1">
      <c r="A9" s="3" t="str">
        <f>Debt_Qtr!A9</f>
        <v xml:space="preserve">3.650% Notes due 2023 </v>
      </c>
      <c r="B9" s="75"/>
      <c r="C9" s="75"/>
      <c r="D9" s="75"/>
      <c r="E9" s="75"/>
      <c r="F9" s="75"/>
      <c r="G9" s="75"/>
      <c r="H9" s="75"/>
      <c r="I9" s="75"/>
      <c r="J9" s="75"/>
      <c r="K9" s="75"/>
      <c r="L9" s="75"/>
      <c r="M9" s="75"/>
      <c r="N9" s="75"/>
      <c r="O9" s="75"/>
      <c r="P9" s="75"/>
      <c r="Q9" s="75"/>
      <c r="R9" s="75"/>
      <c r="S9" s="38"/>
      <c r="T9" s="38"/>
      <c r="U9" s="38"/>
      <c r="V9" s="38">
        <f>Debt_Qtr!AE9</f>
        <v>171</v>
      </c>
      <c r="W9" s="38">
        <f>Debt_Qtr!AJ9</f>
        <v>171</v>
      </c>
      <c r="X9" s="38">
        <f>Debt_Qtr!AO9</f>
        <v>171</v>
      </c>
      <c r="Y9" s="38">
        <f>Debt_Qtr!AT9</f>
        <v>0</v>
      </c>
      <c r="Z9" s="38">
        <f>Debt_Qtr!AY9</f>
        <v>0</v>
      </c>
      <c r="AA9" s="38">
        <f>Debt_Qtr!BD9</f>
        <v>0</v>
      </c>
      <c r="AB9" s="38">
        <f>Debt_Qtr!BI9</f>
        <v>0</v>
      </c>
      <c r="AC9" s="43">
        <f t="shared" ref="AC9:AF61" si="1">AB9</f>
        <v>0</v>
      </c>
      <c r="AD9" s="43">
        <f t="shared" si="1"/>
        <v>0</v>
      </c>
      <c r="AE9" s="43">
        <f t="shared" si="1"/>
        <v>0</v>
      </c>
      <c r="AF9" s="43">
        <f t="shared" si="1"/>
        <v>0</v>
      </c>
    </row>
    <row r="10" spans="1:33" s="25" customFormat="1">
      <c r="A10" s="3" t="str">
        <f>Debt_Qtr!A10</f>
        <v xml:space="preserve">3.700% Notes due 2023 </v>
      </c>
      <c r="B10" s="75"/>
      <c r="C10" s="75"/>
      <c r="D10" s="75"/>
      <c r="E10" s="75"/>
      <c r="F10" s="75"/>
      <c r="G10" s="75"/>
      <c r="H10" s="75"/>
      <c r="I10" s="75"/>
      <c r="J10" s="75"/>
      <c r="K10" s="75"/>
      <c r="L10" s="75"/>
      <c r="M10" s="75"/>
      <c r="N10" s="75"/>
      <c r="O10" s="75"/>
      <c r="P10" s="75"/>
      <c r="Q10" s="75"/>
      <c r="R10" s="75"/>
      <c r="S10" s="38"/>
      <c r="T10" s="38"/>
      <c r="U10" s="38"/>
      <c r="V10" s="38">
        <f>Debt_Qtr!AE10</f>
        <v>400</v>
      </c>
      <c r="W10" s="38">
        <f>Debt_Qtr!AJ10</f>
        <v>400</v>
      </c>
      <c r="X10" s="38">
        <f>Debt_Qtr!AO10</f>
        <v>400</v>
      </c>
      <c r="Y10" s="38">
        <f>Debt_Qtr!AT10</f>
        <v>0</v>
      </c>
      <c r="Z10" s="38">
        <f>Debt_Qtr!AY10</f>
        <v>0</v>
      </c>
      <c r="AA10" s="38">
        <f>Debt_Qtr!BD10</f>
        <v>0</v>
      </c>
      <c r="AB10" s="38">
        <f>Debt_Qtr!BI10</f>
        <v>0</v>
      </c>
      <c r="AC10" s="43">
        <f t="shared" si="1"/>
        <v>0</v>
      </c>
      <c r="AD10" s="43">
        <f t="shared" si="1"/>
        <v>0</v>
      </c>
      <c r="AE10" s="43">
        <f t="shared" si="1"/>
        <v>0</v>
      </c>
      <c r="AF10" s="43">
        <f t="shared" si="1"/>
        <v>0</v>
      </c>
    </row>
    <row r="11" spans="1:33" s="25" customFormat="1">
      <c r="A11" s="3" t="str">
        <f>Debt_Qtr!A11</f>
        <v xml:space="preserve">3.200% Notes due 2024 </v>
      </c>
      <c r="B11" s="75"/>
      <c r="C11" s="75"/>
      <c r="D11" s="75"/>
      <c r="E11" s="75"/>
      <c r="F11" s="75"/>
      <c r="G11" s="75"/>
      <c r="H11" s="75"/>
      <c r="I11" s="75"/>
      <c r="J11" s="75"/>
      <c r="K11" s="75"/>
      <c r="L11" s="75"/>
      <c r="M11" s="75"/>
      <c r="N11" s="75"/>
      <c r="O11" s="75"/>
      <c r="P11" s="75"/>
      <c r="Q11" s="75"/>
      <c r="R11" s="75"/>
      <c r="S11" s="38"/>
      <c r="T11" s="38"/>
      <c r="U11" s="38"/>
      <c r="V11" s="38">
        <f>Debt_Qtr!AE11</f>
        <v>950</v>
      </c>
      <c r="W11" s="38">
        <f>Debt_Qtr!AJ11</f>
        <v>950</v>
      </c>
      <c r="X11" s="38">
        <f>Debt_Qtr!AO11</f>
        <v>950</v>
      </c>
      <c r="Y11" s="38">
        <f>Debt_Qtr!AT11</f>
        <v>950</v>
      </c>
      <c r="Z11" s="38">
        <f>Debt_Qtr!AY11</f>
        <v>0</v>
      </c>
      <c r="AA11" s="38">
        <f>Debt_Qtr!BD11</f>
        <v>0</v>
      </c>
      <c r="AB11" s="38">
        <f>Debt_Qtr!BI11</f>
        <v>0</v>
      </c>
      <c r="AC11" s="43">
        <f t="shared" si="1"/>
        <v>0</v>
      </c>
      <c r="AD11" s="43">
        <f t="shared" si="1"/>
        <v>0</v>
      </c>
      <c r="AE11" s="43">
        <f t="shared" si="1"/>
        <v>0</v>
      </c>
      <c r="AF11" s="43">
        <f t="shared" si="1"/>
        <v>0</v>
      </c>
    </row>
    <row r="12" spans="1:33" s="25" customFormat="1">
      <c r="A12" s="3" t="str">
        <f>Debt_Qtr!A12</f>
        <v>3.150% Notes due 2024</v>
      </c>
      <c r="B12" s="75"/>
      <c r="C12" s="75"/>
      <c r="D12" s="75"/>
      <c r="E12" s="75"/>
      <c r="F12" s="75"/>
      <c r="G12" s="75"/>
      <c r="H12" s="75"/>
      <c r="I12" s="75"/>
      <c r="J12" s="75"/>
      <c r="K12" s="75"/>
      <c r="L12" s="75"/>
      <c r="M12" s="75"/>
      <c r="N12" s="75"/>
      <c r="O12" s="75"/>
      <c r="P12" s="75"/>
      <c r="Q12" s="75"/>
      <c r="R12" s="75"/>
      <c r="S12" s="38"/>
      <c r="T12" s="38"/>
      <c r="U12" s="38"/>
      <c r="V12" s="38">
        <f>Debt_Qtr!AE12</f>
        <v>300</v>
      </c>
      <c r="W12" s="38">
        <f>Debt_Qtr!AJ12</f>
        <v>300</v>
      </c>
      <c r="X12" s="38">
        <f>Debt_Qtr!AO12</f>
        <v>300</v>
      </c>
      <c r="Y12" s="38">
        <f>Debt_Qtr!AT12</f>
        <v>300</v>
      </c>
      <c r="Z12" s="38">
        <f>Debt_Qtr!AY12</f>
        <v>0</v>
      </c>
      <c r="AA12" s="38">
        <f>Debt_Qtr!BD12</f>
        <v>0</v>
      </c>
      <c r="AB12" s="38">
        <f>Debt_Qtr!BI12</f>
        <v>0</v>
      </c>
      <c r="AC12" s="43">
        <f t="shared" si="1"/>
        <v>0</v>
      </c>
      <c r="AD12" s="43">
        <f t="shared" si="1"/>
        <v>0</v>
      </c>
      <c r="AE12" s="43">
        <f t="shared" si="1"/>
        <v>0</v>
      </c>
      <c r="AF12" s="43">
        <f t="shared" si="1"/>
        <v>0</v>
      </c>
    </row>
    <row r="13" spans="1:33" s="25" customFormat="1">
      <c r="A13" s="525" t="s">
        <v>471</v>
      </c>
      <c r="B13" s="75"/>
      <c r="C13" s="75"/>
      <c r="D13" s="75"/>
      <c r="E13" s="75"/>
      <c r="F13" s="75"/>
      <c r="G13" s="75"/>
      <c r="H13" s="75"/>
      <c r="I13" s="75"/>
      <c r="J13" s="75"/>
      <c r="K13" s="75"/>
      <c r="L13" s="75"/>
      <c r="M13" s="75"/>
      <c r="N13" s="75"/>
      <c r="O13" s="75"/>
      <c r="P13" s="75"/>
      <c r="Q13" s="75"/>
      <c r="R13" s="75"/>
      <c r="S13" s="38"/>
      <c r="T13" s="38"/>
      <c r="U13" s="38"/>
      <c r="V13" s="38"/>
      <c r="W13" s="38"/>
      <c r="X13" s="38"/>
      <c r="Y13" s="38">
        <f>Debt_Qtr!AT13</f>
        <v>2000</v>
      </c>
      <c r="Z13" s="38">
        <f>Debt_Qtr!AY13</f>
        <v>750</v>
      </c>
      <c r="AA13" s="38">
        <f>Debt_Qtr!BD13</f>
        <v>0</v>
      </c>
      <c r="AB13" s="38">
        <f>Debt_Qtr!BI13</f>
        <v>0</v>
      </c>
      <c r="AC13" s="43">
        <f t="shared" ref="AC13" si="2">AB13</f>
        <v>0</v>
      </c>
      <c r="AD13" s="43">
        <f t="shared" ref="AD13:AF13" si="3">AC13</f>
        <v>0</v>
      </c>
      <c r="AE13" s="43">
        <f t="shared" si="3"/>
        <v>0</v>
      </c>
      <c r="AF13" s="43">
        <f t="shared" si="3"/>
        <v>0</v>
      </c>
    </row>
    <row r="14" spans="1:33" s="25" customFormat="1">
      <c r="A14" s="3" t="str">
        <f>Debt_Qtr!A14</f>
        <v>3.950% Notes due 2025</v>
      </c>
      <c r="B14" s="75"/>
      <c r="C14" s="75"/>
      <c r="D14" s="75"/>
      <c r="E14" s="75"/>
      <c r="F14" s="75"/>
      <c r="G14" s="75"/>
      <c r="H14" s="75"/>
      <c r="I14" s="75"/>
      <c r="J14" s="75"/>
      <c r="K14" s="75"/>
      <c r="L14" s="75"/>
      <c r="M14" s="75"/>
      <c r="N14" s="75"/>
      <c r="O14" s="75"/>
      <c r="P14" s="75"/>
      <c r="Q14" s="75"/>
      <c r="R14" s="75"/>
      <c r="S14" s="38"/>
      <c r="T14" s="38"/>
      <c r="U14" s="38"/>
      <c r="V14" s="38">
        <f>Debt_Qtr!AE14</f>
        <v>1500</v>
      </c>
      <c r="W14" s="38">
        <f>Debt_Qtr!AJ14</f>
        <v>1500</v>
      </c>
      <c r="X14" s="38">
        <f>Debt_Qtr!AO14</f>
        <v>1500</v>
      </c>
      <c r="Y14" s="38">
        <f>Debt_Qtr!AT14</f>
        <v>1500</v>
      </c>
      <c r="Z14" s="38">
        <f>Debt_Qtr!AY14</f>
        <v>1500</v>
      </c>
      <c r="AA14" s="38">
        <f>Debt_Qtr!BD14</f>
        <v>0</v>
      </c>
      <c r="AB14" s="38">
        <f>Debt_Qtr!BI14</f>
        <v>0</v>
      </c>
      <c r="AC14" s="43">
        <v>0</v>
      </c>
      <c r="AD14" s="43">
        <v>0</v>
      </c>
      <c r="AE14" s="43">
        <v>0</v>
      </c>
      <c r="AF14" s="43">
        <v>0</v>
      </c>
    </row>
    <row r="15" spans="1:33" s="25" customFormat="1">
      <c r="A15" s="3" t="str">
        <f>Debt_Qtr!A15</f>
        <v xml:space="preserve">2.650% Notes due 2026 </v>
      </c>
      <c r="B15" s="75"/>
      <c r="C15" s="75"/>
      <c r="D15" s="75"/>
      <c r="E15" s="75"/>
      <c r="F15" s="75"/>
      <c r="G15" s="75"/>
      <c r="H15" s="75"/>
      <c r="I15" s="75"/>
      <c r="J15" s="75"/>
      <c r="K15" s="75"/>
      <c r="L15" s="75"/>
      <c r="M15" s="75"/>
      <c r="N15" s="75"/>
      <c r="O15" s="75"/>
      <c r="P15" s="75"/>
      <c r="Q15" s="75"/>
      <c r="R15" s="75"/>
      <c r="S15" s="38"/>
      <c r="T15" s="38"/>
      <c r="U15" s="38"/>
      <c r="V15" s="38">
        <f>Debt_Qtr!AE15</f>
        <v>719</v>
      </c>
      <c r="W15" s="38">
        <f>Debt_Qtr!AJ15</f>
        <v>719</v>
      </c>
      <c r="X15" s="38">
        <f>Debt_Qtr!AO15</f>
        <v>719</v>
      </c>
      <c r="Y15" s="38">
        <f>Debt_Qtr!AT15</f>
        <v>719</v>
      </c>
      <c r="Z15" s="38">
        <f>Debt_Qtr!AY15</f>
        <v>719</v>
      </c>
      <c r="AA15" s="38">
        <f>Debt_Qtr!BD15</f>
        <v>719</v>
      </c>
      <c r="AB15" s="38">
        <f>Debt_Qtr!BI15</f>
        <v>0</v>
      </c>
      <c r="AC15" s="43">
        <f t="shared" si="1"/>
        <v>0</v>
      </c>
      <c r="AD15" s="43">
        <f t="shared" si="1"/>
        <v>0</v>
      </c>
      <c r="AE15" s="43">
        <f t="shared" si="1"/>
        <v>0</v>
      </c>
      <c r="AF15" s="43">
        <f t="shared" si="1"/>
        <v>0</v>
      </c>
    </row>
    <row r="16" spans="1:33" s="25" customFormat="1">
      <c r="A16" s="492" t="str">
        <f>Debt_Qtr!A16</f>
        <v>5.000% Notes due 2026</v>
      </c>
      <c r="B16" s="75"/>
      <c r="C16" s="75"/>
      <c r="D16" s="75"/>
      <c r="E16" s="75"/>
      <c r="F16" s="75"/>
      <c r="G16" s="75"/>
      <c r="H16" s="75"/>
      <c r="I16" s="75"/>
      <c r="J16" s="75"/>
      <c r="K16" s="75"/>
      <c r="L16" s="75"/>
      <c r="M16" s="75"/>
      <c r="N16" s="75"/>
      <c r="O16" s="75"/>
      <c r="P16" s="75"/>
      <c r="Q16" s="75"/>
      <c r="R16" s="75"/>
      <c r="S16" s="38"/>
      <c r="T16" s="38"/>
      <c r="U16" s="38"/>
      <c r="V16" s="38">
        <f>Debt_Qtr!AE16</f>
        <v>0</v>
      </c>
      <c r="W16" s="38">
        <f>Debt_Qtr!AJ16</f>
        <v>0</v>
      </c>
      <c r="X16" s="38">
        <f>Debt_Qtr!AO16</f>
        <v>0</v>
      </c>
      <c r="Y16" s="38">
        <f>Debt_Qtr!AT16</f>
        <v>500</v>
      </c>
      <c r="Z16" s="38">
        <f>Debt_Qtr!AY16</f>
        <v>500</v>
      </c>
      <c r="AA16" s="38">
        <f>Debt_Qtr!BD16</f>
        <v>500</v>
      </c>
      <c r="AB16" s="38">
        <f>Debt_Qtr!BI16</f>
        <v>0</v>
      </c>
      <c r="AC16" s="43">
        <f t="shared" ref="AC16:AF16" si="4">AB16</f>
        <v>0</v>
      </c>
      <c r="AD16" s="43">
        <f t="shared" si="4"/>
        <v>0</v>
      </c>
      <c r="AE16" s="43">
        <f t="shared" si="4"/>
        <v>0</v>
      </c>
      <c r="AF16" s="43">
        <f t="shared" si="4"/>
        <v>0</v>
      </c>
    </row>
    <row r="17" spans="1:32" s="25" customFormat="1">
      <c r="A17" s="525" t="s">
        <v>473</v>
      </c>
      <c r="B17" s="75"/>
      <c r="C17" s="75"/>
      <c r="D17" s="75"/>
      <c r="E17" s="75"/>
      <c r="F17" s="75"/>
      <c r="G17" s="75"/>
      <c r="H17" s="75"/>
      <c r="I17" s="75"/>
      <c r="J17" s="75"/>
      <c r="K17" s="75"/>
      <c r="L17" s="75"/>
      <c r="M17" s="75"/>
      <c r="N17" s="75"/>
      <c r="O17" s="75"/>
      <c r="P17" s="75"/>
      <c r="Q17" s="75"/>
      <c r="R17" s="75"/>
      <c r="S17" s="38"/>
      <c r="T17" s="38"/>
      <c r="U17" s="38"/>
      <c r="V17" s="38"/>
      <c r="W17" s="38"/>
      <c r="X17" s="38"/>
      <c r="Y17" s="38">
        <f>Debt_Qtr!AT17</f>
        <v>1250</v>
      </c>
      <c r="Z17" s="38">
        <f>Debt_Qtr!AY17</f>
        <v>1250</v>
      </c>
      <c r="AA17" s="38">
        <f>Debt_Qtr!BD17</f>
        <v>1250</v>
      </c>
      <c r="AB17" s="38">
        <f>Debt_Qtr!BI17</f>
        <v>0</v>
      </c>
      <c r="AC17" s="43">
        <v>0</v>
      </c>
      <c r="AD17" s="43">
        <f t="shared" ref="AD17:AF18" si="5">AC17</f>
        <v>0</v>
      </c>
      <c r="AE17" s="43">
        <f t="shared" si="5"/>
        <v>0</v>
      </c>
      <c r="AF17" s="43">
        <f t="shared" si="5"/>
        <v>0</v>
      </c>
    </row>
    <row r="18" spans="1:32" s="25" customFormat="1">
      <c r="A18" s="525" t="s">
        <v>472</v>
      </c>
      <c r="B18" s="75"/>
      <c r="C18" s="75"/>
      <c r="D18" s="75"/>
      <c r="E18" s="75"/>
      <c r="F18" s="75"/>
      <c r="G18" s="75"/>
      <c r="H18" s="75"/>
      <c r="I18" s="75"/>
      <c r="J18" s="75"/>
      <c r="K18" s="75"/>
      <c r="L18" s="75"/>
      <c r="M18" s="75"/>
      <c r="N18" s="75"/>
      <c r="O18" s="75"/>
      <c r="P18" s="75"/>
      <c r="Q18" s="75"/>
      <c r="R18" s="75"/>
      <c r="S18" s="38"/>
      <c r="T18" s="38"/>
      <c r="U18" s="38"/>
      <c r="V18" s="38"/>
      <c r="W18" s="38"/>
      <c r="X18" s="38"/>
      <c r="Y18" s="38">
        <f>Debt_Qtr!AT18</f>
        <v>2000</v>
      </c>
      <c r="Z18" s="38">
        <f>Debt_Qtr!AY18</f>
        <v>2000</v>
      </c>
      <c r="AA18" s="38">
        <f>Debt_Qtr!BD18</f>
        <v>900</v>
      </c>
      <c r="AB18" s="38">
        <f>Debt_Qtr!BI18</f>
        <v>0</v>
      </c>
      <c r="AC18" s="43">
        <v>0</v>
      </c>
      <c r="AD18" s="43">
        <f t="shared" si="5"/>
        <v>0</v>
      </c>
      <c r="AE18" s="43">
        <f t="shared" si="5"/>
        <v>0</v>
      </c>
      <c r="AF18" s="43">
        <f t="shared" si="5"/>
        <v>0</v>
      </c>
    </row>
    <row r="19" spans="1:32" s="25" customFormat="1">
      <c r="A19" s="3" t="str">
        <f>Debt_Qtr!A19</f>
        <v>3.125% Notes due 2027</v>
      </c>
      <c r="B19" s="75"/>
      <c r="C19" s="75"/>
      <c r="D19" s="75"/>
      <c r="E19" s="75"/>
      <c r="F19" s="75"/>
      <c r="G19" s="75"/>
      <c r="H19" s="75"/>
      <c r="I19" s="75"/>
      <c r="J19" s="75"/>
      <c r="K19" s="75"/>
      <c r="L19" s="75"/>
      <c r="M19" s="75"/>
      <c r="N19" s="75"/>
      <c r="O19" s="75"/>
      <c r="P19" s="75"/>
      <c r="Q19" s="75"/>
      <c r="R19" s="75"/>
      <c r="S19" s="38"/>
      <c r="T19" s="38"/>
      <c r="U19" s="38"/>
      <c r="V19" s="38">
        <f>Debt_Qtr!AE19</f>
        <v>1100</v>
      </c>
      <c r="W19" s="38">
        <f>Debt_Qtr!AJ19</f>
        <v>1100</v>
      </c>
      <c r="X19" s="38">
        <f>Debt_Qtr!AO19</f>
        <v>1100</v>
      </c>
      <c r="Y19" s="38">
        <f>Debt_Qtr!AT19</f>
        <v>1100</v>
      </c>
      <c r="Z19" s="38">
        <f>Debt_Qtr!AY19</f>
        <v>1100</v>
      </c>
      <c r="AA19" s="38">
        <f>Debt_Qtr!BD19</f>
        <v>1100</v>
      </c>
      <c r="AB19" s="38">
        <f>Debt_Qtr!BI19</f>
        <v>1100</v>
      </c>
      <c r="AC19" s="43">
        <f>AB19-550</f>
        <v>550</v>
      </c>
      <c r="AD19" s="43">
        <f t="shared" si="1"/>
        <v>550</v>
      </c>
      <c r="AE19" s="43">
        <f t="shared" si="1"/>
        <v>550</v>
      </c>
      <c r="AF19" s="43">
        <f t="shared" si="1"/>
        <v>550</v>
      </c>
    </row>
    <row r="20" spans="1:32" s="25" customFormat="1">
      <c r="A20" s="3" t="str">
        <f>Debt_Qtr!A20</f>
        <v>3.500% Notes due 2027</v>
      </c>
      <c r="B20" s="75"/>
      <c r="C20" s="75"/>
      <c r="D20" s="75"/>
      <c r="E20" s="75"/>
      <c r="F20" s="75"/>
      <c r="G20" s="75"/>
      <c r="H20" s="75"/>
      <c r="I20" s="75"/>
      <c r="J20" s="75"/>
      <c r="K20" s="75"/>
      <c r="L20" s="75"/>
      <c r="M20" s="75"/>
      <c r="N20" s="75"/>
      <c r="O20" s="75"/>
      <c r="P20" s="75"/>
      <c r="Q20" s="75"/>
      <c r="R20" s="75"/>
      <c r="S20" s="38"/>
      <c r="T20" s="38"/>
      <c r="U20" s="38"/>
      <c r="V20" s="38">
        <f>Debt_Qtr!AE20</f>
        <v>1300</v>
      </c>
      <c r="W20" s="38">
        <f>Debt_Qtr!AJ20</f>
        <v>1300</v>
      </c>
      <c r="X20" s="38">
        <f>Debt_Qtr!AO20</f>
        <v>1300</v>
      </c>
      <c r="Y20" s="38">
        <f>Debt_Qtr!AT20</f>
        <v>1300</v>
      </c>
      <c r="Z20" s="38">
        <f>Debt_Qtr!AY20</f>
        <v>1300</v>
      </c>
      <c r="AA20" s="38">
        <f>Debt_Qtr!BD20</f>
        <v>1300</v>
      </c>
      <c r="AB20" s="38">
        <f>Debt_Qtr!BI20</f>
        <v>1300</v>
      </c>
      <c r="AC20" s="43">
        <f>AB20-550</f>
        <v>750</v>
      </c>
      <c r="AD20" s="43">
        <f t="shared" si="1"/>
        <v>750</v>
      </c>
      <c r="AE20" s="43">
        <f t="shared" si="1"/>
        <v>750</v>
      </c>
      <c r="AF20" s="43">
        <f t="shared" si="1"/>
        <v>750</v>
      </c>
    </row>
    <row r="21" spans="1:32" s="25" customFormat="1">
      <c r="A21" s="3" t="str">
        <f>Debt_Qtr!A21</f>
        <v>7.200% Notes due 2027</v>
      </c>
      <c r="B21" s="75"/>
      <c r="C21" s="75"/>
      <c r="D21" s="75"/>
      <c r="E21" s="75"/>
      <c r="F21" s="75"/>
      <c r="G21" s="75"/>
      <c r="H21" s="75"/>
      <c r="I21" s="75"/>
      <c r="J21" s="75"/>
      <c r="K21" s="75"/>
      <c r="L21" s="75"/>
      <c r="M21" s="75"/>
      <c r="N21" s="75"/>
      <c r="O21" s="75"/>
      <c r="P21" s="75"/>
      <c r="Q21" s="75"/>
      <c r="R21" s="75"/>
      <c r="S21" s="38"/>
      <c r="T21" s="38"/>
      <c r="U21" s="38"/>
      <c r="V21" s="38">
        <f>Debt_Qtr!AE21</f>
        <v>382</v>
      </c>
      <c r="W21" s="38">
        <f>Debt_Qtr!AJ21</f>
        <v>382</v>
      </c>
      <c r="X21" s="38">
        <f>Debt_Qtr!AO21</f>
        <v>382</v>
      </c>
      <c r="Y21" s="38">
        <f>Debt_Qtr!AT21</f>
        <v>382</v>
      </c>
      <c r="Z21" s="38">
        <f>Debt_Qtr!AY21</f>
        <v>382</v>
      </c>
      <c r="AA21" s="38">
        <f>Debt_Qtr!BD21</f>
        <v>382</v>
      </c>
      <c r="AB21" s="38">
        <f>Debt_Qtr!BI21</f>
        <v>382</v>
      </c>
      <c r="AC21" s="43">
        <f t="shared" si="1"/>
        <v>382</v>
      </c>
      <c r="AD21" s="43">
        <f t="shared" si="1"/>
        <v>382</v>
      </c>
      <c r="AE21" s="43">
        <f t="shared" si="1"/>
        <v>382</v>
      </c>
      <c r="AF21" s="43">
        <f t="shared" si="1"/>
        <v>382</v>
      </c>
    </row>
    <row r="22" spans="1:32" s="25" customFormat="1">
      <c r="A22" s="3" t="str">
        <f>Debt_Qtr!A22</f>
        <v>7.100% Notes due 2027</v>
      </c>
      <c r="B22" s="75"/>
      <c r="C22" s="75"/>
      <c r="D22" s="75"/>
      <c r="E22" s="75"/>
      <c r="F22" s="75"/>
      <c r="G22" s="75"/>
      <c r="H22" s="75"/>
      <c r="I22" s="75"/>
      <c r="J22" s="75"/>
      <c r="K22" s="75"/>
      <c r="L22" s="75"/>
      <c r="M22" s="75"/>
      <c r="N22" s="75"/>
      <c r="O22" s="75"/>
      <c r="P22" s="75"/>
      <c r="Q22" s="75"/>
      <c r="R22" s="75"/>
      <c r="S22" s="38"/>
      <c r="T22" s="38"/>
      <c r="U22" s="38"/>
      <c r="V22" s="38">
        <f>Debt_Qtr!AE22</f>
        <v>142</v>
      </c>
      <c r="W22" s="38">
        <f>Debt_Qtr!AJ22</f>
        <v>135</v>
      </c>
      <c r="X22" s="38">
        <f>Debt_Qtr!AO22</f>
        <v>135</v>
      </c>
      <c r="Y22" s="38">
        <f>Debt_Qtr!AT22</f>
        <v>135</v>
      </c>
      <c r="Z22" s="38">
        <f>Debt_Qtr!AY22</f>
        <v>135</v>
      </c>
      <c r="AA22" s="38">
        <f>Debt_Qtr!BD22</f>
        <v>135</v>
      </c>
      <c r="AB22" s="38">
        <f>Debt_Qtr!BI22</f>
        <v>135</v>
      </c>
      <c r="AC22" s="43">
        <f t="shared" si="1"/>
        <v>135</v>
      </c>
      <c r="AD22" s="43">
        <f t="shared" si="1"/>
        <v>135</v>
      </c>
      <c r="AE22" s="43">
        <f t="shared" si="1"/>
        <v>135</v>
      </c>
      <c r="AF22" s="43">
        <f t="shared" si="1"/>
        <v>135</v>
      </c>
    </row>
    <row r="23" spans="1:32" s="25" customFormat="1">
      <c r="A23" s="3" t="str">
        <f>Debt_Qtr!A23</f>
        <v>6.700% Notes due 2028</v>
      </c>
      <c r="B23" s="75"/>
      <c r="C23" s="75"/>
      <c r="D23" s="75"/>
      <c r="E23" s="75"/>
      <c r="F23" s="75"/>
      <c r="G23" s="75"/>
      <c r="H23" s="75"/>
      <c r="I23" s="75"/>
      <c r="J23" s="75"/>
      <c r="K23" s="75"/>
      <c r="L23" s="75"/>
      <c r="M23" s="75"/>
      <c r="N23" s="75"/>
      <c r="O23" s="75"/>
      <c r="P23" s="75"/>
      <c r="Q23" s="75"/>
      <c r="R23" s="75"/>
      <c r="S23" s="38"/>
      <c r="T23" s="38"/>
      <c r="U23" s="38"/>
      <c r="V23" s="38">
        <f>Debt_Qtr!AE23</f>
        <v>400</v>
      </c>
      <c r="W23" s="38">
        <f>Debt_Qtr!AJ23</f>
        <v>285</v>
      </c>
      <c r="X23" s="38">
        <f>Debt_Qtr!AO23</f>
        <v>285</v>
      </c>
      <c r="Y23" s="38">
        <f>Debt_Qtr!AT23</f>
        <v>285</v>
      </c>
      <c r="Z23" s="38">
        <f>Debt_Qtr!AY23</f>
        <v>285</v>
      </c>
      <c r="AA23" s="38">
        <f>Debt_Qtr!BD23</f>
        <v>285</v>
      </c>
      <c r="AB23" s="38">
        <f>Debt_Qtr!BI23</f>
        <v>285</v>
      </c>
      <c r="AC23" s="43">
        <f t="shared" si="1"/>
        <v>285</v>
      </c>
      <c r="AD23" s="43">
        <f t="shared" si="1"/>
        <v>285</v>
      </c>
      <c r="AE23" s="43">
        <f t="shared" si="1"/>
        <v>285</v>
      </c>
      <c r="AF23" s="43">
        <f t="shared" si="1"/>
        <v>285</v>
      </c>
    </row>
    <row r="24" spans="1:32" s="25" customFormat="1">
      <c r="A24" s="3" t="str">
        <f>Debt_Qtr!A24</f>
        <v>7.000% Notes due 2028</v>
      </c>
      <c r="B24" s="75"/>
      <c r="C24" s="75"/>
      <c r="D24" s="75"/>
      <c r="E24" s="75"/>
      <c r="F24" s="75"/>
      <c r="G24" s="75"/>
      <c r="H24" s="75"/>
      <c r="I24" s="75"/>
      <c r="J24" s="75"/>
      <c r="K24" s="75"/>
      <c r="L24" s="75"/>
      <c r="M24" s="75"/>
      <c r="N24" s="75"/>
      <c r="O24" s="75"/>
      <c r="P24" s="75"/>
      <c r="Q24" s="75"/>
      <c r="R24" s="75"/>
      <c r="S24" s="38"/>
      <c r="T24" s="38"/>
      <c r="U24" s="38"/>
      <c r="V24" s="38">
        <f>Debt_Qtr!AE24</f>
        <v>185</v>
      </c>
      <c r="W24" s="38">
        <f>Debt_Qtr!AJ24</f>
        <v>185</v>
      </c>
      <c r="X24" s="38">
        <f>Debt_Qtr!AO24</f>
        <v>185</v>
      </c>
      <c r="Y24" s="38">
        <f>Debt_Qtr!AT24</f>
        <v>185</v>
      </c>
      <c r="Z24" s="38">
        <f>Debt_Qtr!AY24</f>
        <v>185</v>
      </c>
      <c r="AA24" s="38">
        <f>Debt_Qtr!BD24</f>
        <v>185</v>
      </c>
      <c r="AB24" s="38">
        <f>Debt_Qtr!BI24</f>
        <v>185</v>
      </c>
      <c r="AC24" s="43">
        <f t="shared" si="1"/>
        <v>185</v>
      </c>
      <c r="AD24" s="43">
        <f t="shared" si="1"/>
        <v>185</v>
      </c>
      <c r="AE24" s="43">
        <f t="shared" si="1"/>
        <v>185</v>
      </c>
      <c r="AF24" s="43">
        <f t="shared" si="1"/>
        <v>185</v>
      </c>
    </row>
    <row r="25" spans="1:32" s="25" customFormat="1">
      <c r="A25" s="3" t="str">
        <f>Debt_Qtr!A25</f>
        <v>4.125% Notes due 2028</v>
      </c>
      <c r="B25" s="75"/>
      <c r="C25" s="75"/>
      <c r="D25" s="75"/>
      <c r="E25" s="75"/>
      <c r="F25" s="75"/>
      <c r="G25" s="75"/>
      <c r="H25" s="75"/>
      <c r="I25" s="75"/>
      <c r="J25" s="75"/>
      <c r="K25" s="75"/>
      <c r="L25" s="75"/>
      <c r="M25" s="75"/>
      <c r="N25" s="75"/>
      <c r="O25" s="75"/>
      <c r="P25" s="75"/>
      <c r="Q25" s="75"/>
      <c r="R25" s="75"/>
      <c r="S25" s="38"/>
      <c r="T25" s="38"/>
      <c r="U25" s="38"/>
      <c r="V25" s="38">
        <f>Debt_Qtr!AE25</f>
        <v>3000</v>
      </c>
      <c r="W25" s="38">
        <f>Debt_Qtr!AJ25</f>
        <v>3000</v>
      </c>
      <c r="X25" s="38">
        <f>Debt_Qtr!AO25</f>
        <v>3000</v>
      </c>
      <c r="Y25" s="38">
        <f>Debt_Qtr!AT25</f>
        <v>3000</v>
      </c>
      <c r="Z25" s="38">
        <f>Debt_Qtr!AY25</f>
        <v>3000</v>
      </c>
      <c r="AA25" s="38">
        <f>Debt_Qtr!BD25</f>
        <v>3000</v>
      </c>
      <c r="AB25" s="38">
        <f>Debt_Qtr!BI25</f>
        <v>3000</v>
      </c>
      <c r="AC25" s="43">
        <f t="shared" si="1"/>
        <v>3000</v>
      </c>
      <c r="AD25" s="43">
        <f t="shared" si="1"/>
        <v>3000</v>
      </c>
      <c r="AE25" s="43">
        <f t="shared" si="1"/>
        <v>3000</v>
      </c>
      <c r="AF25" s="43">
        <f t="shared" si="1"/>
        <v>3000</v>
      </c>
    </row>
    <row r="26" spans="1:32" s="25" customFormat="1">
      <c r="A26" s="525" t="s">
        <v>477</v>
      </c>
      <c r="B26" s="75"/>
      <c r="C26" s="75"/>
      <c r="D26" s="75"/>
      <c r="E26" s="75"/>
      <c r="F26" s="75"/>
      <c r="G26" s="75"/>
      <c r="H26" s="75"/>
      <c r="I26" s="75"/>
      <c r="J26" s="75"/>
      <c r="K26" s="75"/>
      <c r="L26" s="75"/>
      <c r="M26" s="75"/>
      <c r="N26" s="75"/>
      <c r="O26" s="75"/>
      <c r="P26" s="75"/>
      <c r="Q26" s="75"/>
      <c r="R26" s="75"/>
      <c r="S26" s="38"/>
      <c r="T26" s="38"/>
      <c r="U26" s="38"/>
      <c r="V26" s="38"/>
      <c r="W26" s="38"/>
      <c r="X26" s="38"/>
      <c r="Y26" s="38">
        <f>Debt_Qtr!AT26</f>
        <v>500</v>
      </c>
      <c r="Z26" s="38">
        <f>Debt_Qtr!AY26</f>
        <v>500</v>
      </c>
      <c r="AA26" s="38">
        <f>Debt_Qtr!BD26</f>
        <v>500</v>
      </c>
      <c r="AB26" s="38">
        <f>Debt_Qtr!BI26</f>
        <v>500</v>
      </c>
      <c r="AC26" s="43">
        <f t="shared" ref="AC26" si="6">AB26</f>
        <v>500</v>
      </c>
      <c r="AD26" s="43">
        <f t="shared" ref="AD26:AF26" si="7">AC26</f>
        <v>500</v>
      </c>
      <c r="AE26" s="43">
        <f t="shared" si="7"/>
        <v>500</v>
      </c>
      <c r="AF26" s="43">
        <f t="shared" si="7"/>
        <v>500</v>
      </c>
    </row>
    <row r="27" spans="1:32" s="25" customFormat="1">
      <c r="A27" s="3" t="str">
        <f>Debt_Qtr!A27</f>
        <v>7.500% Notes due 2029</v>
      </c>
      <c r="B27" s="75"/>
      <c r="C27" s="75"/>
      <c r="D27" s="75"/>
      <c r="E27" s="75"/>
      <c r="F27" s="75"/>
      <c r="G27" s="75"/>
      <c r="H27" s="75"/>
      <c r="I27" s="75"/>
      <c r="J27" s="75"/>
      <c r="K27" s="75"/>
      <c r="L27" s="75"/>
      <c r="M27" s="75"/>
      <c r="N27" s="75"/>
      <c r="O27" s="75"/>
      <c r="P27" s="75"/>
      <c r="Q27" s="75"/>
      <c r="R27" s="75"/>
      <c r="S27" s="38"/>
      <c r="T27" s="38"/>
      <c r="U27" s="38"/>
      <c r="V27" s="38">
        <f>Debt_Qtr!AE27</f>
        <v>550</v>
      </c>
      <c r="W27" s="38">
        <f>Debt_Qtr!AJ27</f>
        <v>414</v>
      </c>
      <c r="X27" s="38">
        <f>Debt_Qtr!AO27</f>
        <v>414</v>
      </c>
      <c r="Y27" s="38">
        <f>Debt_Qtr!AT27</f>
        <v>414</v>
      </c>
      <c r="Z27" s="38">
        <f>Debt_Qtr!AY27</f>
        <v>414</v>
      </c>
      <c r="AA27" s="38">
        <f>Debt_Qtr!BD27</f>
        <v>414</v>
      </c>
      <c r="AB27" s="38">
        <f>Debt_Qtr!BI27</f>
        <v>414</v>
      </c>
      <c r="AC27" s="43">
        <f t="shared" si="1"/>
        <v>414</v>
      </c>
      <c r="AD27" s="43">
        <f t="shared" si="1"/>
        <v>414</v>
      </c>
      <c r="AE27" s="43">
        <f t="shared" si="1"/>
        <v>414</v>
      </c>
      <c r="AF27" s="43">
        <f t="shared" si="1"/>
        <v>414</v>
      </c>
    </row>
    <row r="28" spans="1:32" s="25" customFormat="1">
      <c r="A28" s="3" t="str">
        <f>Debt_Qtr!A28</f>
        <v>2.150% Notes due 2030 (€500 million Principal Value)</v>
      </c>
      <c r="B28" s="75"/>
      <c r="C28" s="75"/>
      <c r="D28" s="75"/>
      <c r="E28" s="75"/>
      <c r="F28" s="75"/>
      <c r="G28" s="75"/>
      <c r="H28" s="75"/>
      <c r="I28" s="75"/>
      <c r="J28" s="75"/>
      <c r="K28" s="75"/>
      <c r="L28" s="75"/>
      <c r="M28" s="75"/>
      <c r="N28" s="75"/>
      <c r="O28" s="75"/>
      <c r="P28" s="75"/>
      <c r="Q28" s="75"/>
      <c r="R28" s="75"/>
      <c r="S28" s="38"/>
      <c r="T28" s="38"/>
      <c r="U28" s="38"/>
      <c r="V28" s="38">
        <f>Debt_Qtr!AE28</f>
        <v>561</v>
      </c>
      <c r="W28" s="38">
        <f>Debt_Qtr!AJ28</f>
        <v>565</v>
      </c>
      <c r="X28" s="38">
        <f>Debt_Qtr!AO28</f>
        <v>531</v>
      </c>
      <c r="Y28" s="38">
        <f>Debt_Qtr!AT28</f>
        <v>548</v>
      </c>
      <c r="Z28" s="38">
        <f>Debt_Qtr!AY28</f>
        <v>520</v>
      </c>
      <c r="AA28" s="38">
        <f>Debt_Qtr!BD28</f>
        <v>587</v>
      </c>
      <c r="AB28" s="38">
        <f>Debt_Qtr!BI28</f>
        <v>568</v>
      </c>
      <c r="AC28" s="43">
        <f t="shared" si="1"/>
        <v>568</v>
      </c>
      <c r="AD28" s="43">
        <f t="shared" si="1"/>
        <v>568</v>
      </c>
      <c r="AE28" s="43">
        <f t="shared" si="1"/>
        <v>568</v>
      </c>
      <c r="AF28" s="43">
        <f t="shared" si="1"/>
        <v>568</v>
      </c>
    </row>
    <row r="29" spans="1:32" s="25" customFormat="1">
      <c r="A29" s="3" t="str">
        <f>Debt_Qtr!A29</f>
        <v>2.250% Notes due 2030</v>
      </c>
      <c r="B29" s="75"/>
      <c r="C29" s="75"/>
      <c r="D29" s="75"/>
      <c r="E29" s="75"/>
      <c r="F29" s="75"/>
      <c r="G29" s="75"/>
      <c r="H29" s="75"/>
      <c r="I29" s="75"/>
      <c r="J29" s="75"/>
      <c r="K29" s="75"/>
      <c r="L29" s="75"/>
      <c r="M29" s="75"/>
      <c r="N29" s="75"/>
      <c r="O29" s="75"/>
      <c r="P29" s="75"/>
      <c r="Q29" s="75"/>
      <c r="R29" s="75"/>
      <c r="S29" s="38"/>
      <c r="T29" s="38"/>
      <c r="U29" s="38"/>
      <c r="V29" s="38">
        <f>Debt_Qtr!AE29</f>
        <v>1000</v>
      </c>
      <c r="W29" s="38">
        <f>Debt_Qtr!AJ29</f>
        <v>1000</v>
      </c>
      <c r="X29" s="38">
        <f>Debt_Qtr!AO29</f>
        <v>1000</v>
      </c>
      <c r="Y29" s="38">
        <f>Debt_Qtr!AT29</f>
        <v>1000</v>
      </c>
      <c r="Z29" s="38">
        <f>Debt_Qtr!AY29</f>
        <v>1000</v>
      </c>
      <c r="AA29" s="38">
        <f>Debt_Qtr!BD29</f>
        <v>1000</v>
      </c>
      <c r="AB29" s="38">
        <f>Debt_Qtr!BI29</f>
        <v>1000</v>
      </c>
      <c r="AC29" s="43">
        <f t="shared" si="1"/>
        <v>1000</v>
      </c>
      <c r="AD29" s="43">
        <f t="shared" si="1"/>
        <v>1000</v>
      </c>
      <c r="AE29" s="43">
        <f t="shared" si="1"/>
        <v>1000</v>
      </c>
      <c r="AF29" s="43">
        <f t="shared" si="1"/>
        <v>1000</v>
      </c>
    </row>
    <row r="30" spans="1:32" s="25" customFormat="1">
      <c r="A30" s="525" t="s">
        <v>476</v>
      </c>
      <c r="B30" s="75"/>
      <c r="C30" s="75"/>
      <c r="D30" s="75"/>
      <c r="E30" s="75"/>
      <c r="F30" s="75"/>
      <c r="G30" s="75"/>
      <c r="H30" s="75"/>
      <c r="I30" s="75"/>
      <c r="J30" s="75"/>
      <c r="K30" s="75"/>
      <c r="L30" s="75"/>
      <c r="M30" s="75"/>
      <c r="N30" s="75"/>
      <c r="O30" s="75"/>
      <c r="P30" s="75"/>
      <c r="Q30" s="75"/>
      <c r="R30" s="75"/>
      <c r="S30" s="38"/>
      <c r="T30" s="38"/>
      <c r="U30" s="38"/>
      <c r="V30" s="38"/>
      <c r="W30" s="38"/>
      <c r="X30" s="38"/>
      <c r="Y30" s="38">
        <f>Debt_Qtr!AT30</f>
        <v>1000</v>
      </c>
      <c r="Z30" s="38">
        <f>Debt_Qtr!AY30</f>
        <v>1000</v>
      </c>
      <c r="AA30" s="38">
        <f>Debt_Qtr!BD30</f>
        <v>1000</v>
      </c>
      <c r="AB30" s="38">
        <f>Debt_Qtr!BI30</f>
        <v>1000</v>
      </c>
      <c r="AC30" s="43">
        <f t="shared" ref="AC30" si="8">AB30</f>
        <v>1000</v>
      </c>
      <c r="AD30" s="43">
        <f t="shared" ref="AD30:AF30" si="9">AC30</f>
        <v>1000</v>
      </c>
      <c r="AE30" s="43">
        <f t="shared" si="9"/>
        <v>1000</v>
      </c>
      <c r="AF30" s="43">
        <f t="shared" si="9"/>
        <v>1000</v>
      </c>
    </row>
    <row r="31" spans="1:32" s="25" customFormat="1">
      <c r="A31" s="3" t="str">
        <f>Debt_Qtr!A31</f>
        <v>1.900% Notes due 2031</v>
      </c>
      <c r="B31" s="75"/>
      <c r="C31" s="75"/>
      <c r="D31" s="75"/>
      <c r="E31" s="75"/>
      <c r="F31" s="75"/>
      <c r="G31" s="75"/>
      <c r="H31" s="75"/>
      <c r="I31" s="75"/>
      <c r="J31" s="75"/>
      <c r="K31" s="75"/>
      <c r="L31" s="75"/>
      <c r="M31" s="75"/>
      <c r="N31" s="75"/>
      <c r="O31" s="75"/>
      <c r="P31" s="75"/>
      <c r="Q31" s="75"/>
      <c r="R31" s="75"/>
      <c r="S31" s="38"/>
      <c r="T31" s="38"/>
      <c r="U31" s="38"/>
      <c r="V31" s="38">
        <f>Debt_Qtr!AE31</f>
        <v>0</v>
      </c>
      <c r="W31" s="38">
        <f>Debt_Qtr!AJ31</f>
        <v>1000</v>
      </c>
      <c r="X31" s="38">
        <f>Debt_Qtr!AO31</f>
        <v>1000</v>
      </c>
      <c r="Y31" s="38">
        <f>Debt_Qtr!AT31</f>
        <v>1000</v>
      </c>
      <c r="Z31" s="38">
        <f>Debt_Qtr!AY31</f>
        <v>1000</v>
      </c>
      <c r="AA31" s="38">
        <f>Debt_Qtr!BD31</f>
        <v>1000</v>
      </c>
      <c r="AB31" s="38">
        <f>Debt_Qtr!BI31</f>
        <v>1000</v>
      </c>
      <c r="AC31" s="43">
        <f t="shared" ref="AC31:AF31" si="10">AB31</f>
        <v>1000</v>
      </c>
      <c r="AD31" s="43">
        <f t="shared" si="10"/>
        <v>1000</v>
      </c>
      <c r="AE31" s="43">
        <f t="shared" si="10"/>
        <v>1000</v>
      </c>
      <c r="AF31" s="43">
        <f t="shared" si="10"/>
        <v>1000</v>
      </c>
    </row>
    <row r="32" spans="1:32" s="25" customFormat="1">
      <c r="A32" s="3" t="str">
        <f>Debt_Qtr!A32</f>
        <v>2.375% Notes due 2032</v>
      </c>
      <c r="B32" s="75"/>
      <c r="C32" s="75"/>
      <c r="D32" s="75"/>
      <c r="E32" s="75"/>
      <c r="F32" s="75"/>
      <c r="G32" s="75"/>
      <c r="H32" s="75"/>
      <c r="I32" s="75"/>
      <c r="J32" s="75"/>
      <c r="K32" s="75"/>
      <c r="L32" s="75"/>
      <c r="M32" s="75"/>
      <c r="N32" s="75"/>
      <c r="O32" s="75"/>
      <c r="P32" s="75"/>
      <c r="Q32" s="75"/>
      <c r="R32" s="75"/>
      <c r="S32" s="38"/>
      <c r="T32" s="38"/>
      <c r="U32" s="38"/>
      <c r="V32" s="38">
        <f>Debt_Qtr!AE32</f>
        <v>0</v>
      </c>
      <c r="W32" s="38">
        <f>Debt_Qtr!AJ32</f>
        <v>1000</v>
      </c>
      <c r="X32" s="38">
        <f>Debt_Qtr!AO32</f>
        <v>1000</v>
      </c>
      <c r="Y32" s="38">
        <f>Debt_Qtr!AT32</f>
        <v>1000</v>
      </c>
      <c r="Z32" s="38">
        <f>Debt_Qtr!AY32</f>
        <v>1000</v>
      </c>
      <c r="AA32" s="38">
        <f>Debt_Qtr!BD32</f>
        <v>1000</v>
      </c>
      <c r="AB32" s="38">
        <f>Debt_Qtr!BI32</f>
        <v>1000</v>
      </c>
      <c r="AC32" s="43">
        <f t="shared" ref="AC32:AF32" si="11">AB32</f>
        <v>1000</v>
      </c>
      <c r="AD32" s="43">
        <f t="shared" si="11"/>
        <v>1000</v>
      </c>
      <c r="AE32" s="43">
        <f t="shared" si="11"/>
        <v>1000</v>
      </c>
      <c r="AF32" s="43">
        <f t="shared" si="11"/>
        <v>1000</v>
      </c>
    </row>
    <row r="33" spans="1:32" s="25" customFormat="1">
      <c r="A33" s="492" t="str">
        <f>Debt_Qtr!A33</f>
        <v>5.150% Notes due 2033</v>
      </c>
      <c r="B33" s="75"/>
      <c r="C33" s="75"/>
      <c r="D33" s="75"/>
      <c r="E33" s="75"/>
      <c r="F33" s="75"/>
      <c r="G33" s="75"/>
      <c r="H33" s="75"/>
      <c r="I33" s="75"/>
      <c r="J33" s="75"/>
      <c r="K33" s="75"/>
      <c r="L33" s="75"/>
      <c r="M33" s="75"/>
      <c r="N33" s="75"/>
      <c r="O33" s="75"/>
      <c r="P33" s="75"/>
      <c r="Q33" s="75"/>
      <c r="R33" s="75"/>
      <c r="S33" s="38"/>
      <c r="T33" s="38"/>
      <c r="U33" s="38"/>
      <c r="V33" s="38">
        <f>Debt_Qtr!AE33</f>
        <v>0</v>
      </c>
      <c r="W33" s="38">
        <f>Debt_Qtr!AJ33</f>
        <v>0</v>
      </c>
      <c r="X33" s="38">
        <f>Debt_Qtr!AO33</f>
        <v>0</v>
      </c>
      <c r="Y33" s="38">
        <f>Debt_Qtr!AT33</f>
        <v>1250</v>
      </c>
      <c r="Z33" s="38">
        <f>Debt_Qtr!AY33</f>
        <v>1250</v>
      </c>
      <c r="AA33" s="38">
        <f>Debt_Qtr!BD33</f>
        <v>1250</v>
      </c>
      <c r="AB33" s="38">
        <f>Debt_Qtr!BI33</f>
        <v>1250</v>
      </c>
      <c r="AC33" s="43">
        <f t="shared" ref="AC33:AF33" si="12">AB33</f>
        <v>1250</v>
      </c>
      <c r="AD33" s="43">
        <f t="shared" si="12"/>
        <v>1250</v>
      </c>
      <c r="AE33" s="43">
        <f t="shared" si="12"/>
        <v>1250</v>
      </c>
      <c r="AF33" s="43">
        <f t="shared" si="12"/>
        <v>1250</v>
      </c>
    </row>
    <row r="34" spans="1:32" s="25" customFormat="1">
      <c r="A34" s="525" t="s">
        <v>474</v>
      </c>
      <c r="B34" s="75"/>
      <c r="C34" s="75"/>
      <c r="D34" s="75"/>
      <c r="E34" s="75"/>
      <c r="F34" s="75"/>
      <c r="G34" s="75"/>
      <c r="H34" s="75"/>
      <c r="I34" s="75"/>
      <c r="J34" s="75"/>
      <c r="K34" s="75"/>
      <c r="L34" s="75"/>
      <c r="M34" s="75"/>
      <c r="N34" s="75"/>
      <c r="O34" s="75"/>
      <c r="P34" s="75"/>
      <c r="Q34" s="75"/>
      <c r="R34" s="75"/>
      <c r="S34" s="38"/>
      <c r="T34" s="38"/>
      <c r="U34" s="38"/>
      <c r="V34" s="38"/>
      <c r="W34" s="38"/>
      <c r="X34" s="38"/>
      <c r="Y34" s="38">
        <f>Debt_Qtr!AT34</f>
        <v>1500</v>
      </c>
      <c r="Z34" s="38">
        <f>Debt_Qtr!AY34</f>
        <v>1500</v>
      </c>
      <c r="AA34" s="38">
        <f>Debt_Qtr!BD34</f>
        <v>1500</v>
      </c>
      <c r="AB34" s="38">
        <f>Debt_Qtr!BI34</f>
        <v>1500</v>
      </c>
      <c r="AC34" s="43">
        <f t="shared" ref="AC34" si="13">AB34</f>
        <v>1500</v>
      </c>
      <c r="AD34" s="43">
        <f t="shared" ref="AD34:AF34" si="14">AC34</f>
        <v>1500</v>
      </c>
      <c r="AE34" s="43">
        <f t="shared" si="14"/>
        <v>1500</v>
      </c>
      <c r="AF34" s="43">
        <f t="shared" si="14"/>
        <v>1500</v>
      </c>
    </row>
    <row r="35" spans="1:32" s="25" customFormat="1">
      <c r="A35" s="3" t="str">
        <f>Debt_Qtr!A35</f>
        <v>5.400% Notes due 2035</v>
      </c>
      <c r="B35" s="75"/>
      <c r="C35" s="75"/>
      <c r="D35" s="75"/>
      <c r="E35" s="75"/>
      <c r="F35" s="75"/>
      <c r="G35" s="75"/>
      <c r="H35" s="75"/>
      <c r="I35" s="75"/>
      <c r="J35" s="75"/>
      <c r="K35" s="75"/>
      <c r="L35" s="75"/>
      <c r="M35" s="75"/>
      <c r="N35" s="75"/>
      <c r="O35" s="75"/>
      <c r="P35" s="75"/>
      <c r="Q35" s="75"/>
      <c r="R35" s="75"/>
      <c r="S35" s="38"/>
      <c r="T35" s="38"/>
      <c r="U35" s="38"/>
      <c r="V35" s="38">
        <f>Debt_Qtr!AE35</f>
        <v>600</v>
      </c>
      <c r="W35" s="38">
        <f>Debt_Qtr!AJ35</f>
        <v>446</v>
      </c>
      <c r="X35" s="38">
        <f>Debt_Qtr!AO35</f>
        <v>446</v>
      </c>
      <c r="Y35" s="38">
        <f>Debt_Qtr!AT35</f>
        <v>446</v>
      </c>
      <c r="Z35" s="38">
        <f>Debt_Qtr!AY35</f>
        <v>446</v>
      </c>
      <c r="AA35" s="38">
        <f>Debt_Qtr!BD35</f>
        <v>446</v>
      </c>
      <c r="AB35" s="38">
        <f>Debt_Qtr!BI35</f>
        <v>446</v>
      </c>
      <c r="AC35" s="43">
        <f t="shared" si="1"/>
        <v>446</v>
      </c>
      <c r="AD35" s="43">
        <f t="shared" si="1"/>
        <v>446</v>
      </c>
      <c r="AE35" s="43">
        <f t="shared" si="1"/>
        <v>446</v>
      </c>
      <c r="AF35" s="43">
        <f t="shared" si="1"/>
        <v>446</v>
      </c>
    </row>
    <row r="36" spans="1:32" s="25" customFormat="1">
      <c r="A36" s="3" t="str">
        <f>Debt_Qtr!A36</f>
        <v>6.050% Notes due 2036</v>
      </c>
      <c r="B36" s="75"/>
      <c r="C36" s="75"/>
      <c r="D36" s="75"/>
      <c r="E36" s="75"/>
      <c r="F36" s="75"/>
      <c r="G36" s="75"/>
      <c r="H36" s="75"/>
      <c r="I36" s="75"/>
      <c r="J36" s="75"/>
      <c r="K36" s="75"/>
      <c r="L36" s="75"/>
      <c r="M36" s="75"/>
      <c r="N36" s="75"/>
      <c r="O36" s="75"/>
      <c r="P36" s="75"/>
      <c r="Q36" s="75"/>
      <c r="R36" s="75"/>
      <c r="S36" s="38"/>
      <c r="T36" s="38"/>
      <c r="U36" s="38"/>
      <c r="V36" s="38">
        <f>Debt_Qtr!AE36</f>
        <v>600</v>
      </c>
      <c r="W36" s="38">
        <f>Debt_Qtr!AJ36</f>
        <v>410</v>
      </c>
      <c r="X36" s="38">
        <f>Debt_Qtr!AO36</f>
        <v>410</v>
      </c>
      <c r="Y36" s="38">
        <f>Debt_Qtr!AT36</f>
        <v>410</v>
      </c>
      <c r="Z36" s="38">
        <f>Debt_Qtr!AY36</f>
        <v>410</v>
      </c>
      <c r="AA36" s="38">
        <f>Debt_Qtr!BD36</f>
        <v>410</v>
      </c>
      <c r="AB36" s="38">
        <f>Debt_Qtr!BI36</f>
        <v>410</v>
      </c>
      <c r="AC36" s="43">
        <f t="shared" si="1"/>
        <v>410</v>
      </c>
      <c r="AD36" s="43">
        <f t="shared" si="1"/>
        <v>410</v>
      </c>
      <c r="AE36" s="43">
        <f t="shared" si="1"/>
        <v>410</v>
      </c>
      <c r="AF36" s="43">
        <f t="shared" si="1"/>
        <v>410</v>
      </c>
    </row>
    <row r="37" spans="1:32" s="25" customFormat="1">
      <c r="A37" s="3" t="str">
        <f>Debt_Qtr!A37</f>
        <v>6.800% Notes due 2036</v>
      </c>
      <c r="B37" s="75"/>
      <c r="C37" s="75"/>
      <c r="D37" s="75"/>
      <c r="E37" s="75"/>
      <c r="F37" s="75"/>
      <c r="G37" s="75"/>
      <c r="H37" s="75"/>
      <c r="I37" s="75"/>
      <c r="J37" s="75"/>
      <c r="K37" s="75"/>
      <c r="L37" s="75"/>
      <c r="M37" s="75"/>
      <c r="N37" s="75"/>
      <c r="O37" s="75"/>
      <c r="P37" s="75"/>
      <c r="Q37" s="75"/>
      <c r="R37" s="75"/>
      <c r="S37" s="38"/>
      <c r="T37" s="38"/>
      <c r="U37" s="38"/>
      <c r="V37" s="38">
        <f>Debt_Qtr!AE37</f>
        <v>134</v>
      </c>
      <c r="W37" s="38">
        <f>Debt_Qtr!AJ37</f>
        <v>117</v>
      </c>
      <c r="X37" s="38">
        <f>Debt_Qtr!AO37</f>
        <v>117</v>
      </c>
      <c r="Y37" s="38">
        <f>Debt_Qtr!AT37</f>
        <v>117</v>
      </c>
      <c r="Z37" s="38">
        <f>Debt_Qtr!AY37</f>
        <v>117</v>
      </c>
      <c r="AA37" s="38">
        <f>Debt_Qtr!BD37</f>
        <v>117</v>
      </c>
      <c r="AB37" s="38">
        <f>Debt_Qtr!BI37</f>
        <v>117</v>
      </c>
      <c r="AC37" s="43">
        <f t="shared" si="1"/>
        <v>117</v>
      </c>
      <c r="AD37" s="43">
        <f t="shared" si="1"/>
        <v>117</v>
      </c>
      <c r="AE37" s="43">
        <f t="shared" si="1"/>
        <v>117</v>
      </c>
      <c r="AF37" s="43">
        <f t="shared" si="1"/>
        <v>117</v>
      </c>
    </row>
    <row r="38" spans="1:32" s="25" customFormat="1">
      <c r="A38" s="3" t="str">
        <f>Debt_Qtr!A38</f>
        <v>7.000% Notes due 2038</v>
      </c>
      <c r="B38" s="75"/>
      <c r="C38" s="75"/>
      <c r="D38" s="75"/>
      <c r="E38" s="75"/>
      <c r="F38" s="75"/>
      <c r="G38" s="75"/>
      <c r="H38" s="75"/>
      <c r="I38" s="75"/>
      <c r="J38" s="75"/>
      <c r="K38" s="75"/>
      <c r="L38" s="75"/>
      <c r="M38" s="75"/>
      <c r="N38" s="75"/>
      <c r="O38" s="75"/>
      <c r="P38" s="75"/>
      <c r="Q38" s="75"/>
      <c r="R38" s="75"/>
      <c r="S38" s="38"/>
      <c r="T38" s="38"/>
      <c r="U38" s="38"/>
      <c r="V38" s="38">
        <f>Debt_Qtr!AE38</f>
        <v>159</v>
      </c>
      <c r="W38" s="38">
        <f>Debt_Qtr!AJ38</f>
        <v>148</v>
      </c>
      <c r="X38" s="38">
        <f>Debt_Qtr!AO38</f>
        <v>148</v>
      </c>
      <c r="Y38" s="38">
        <f>Debt_Qtr!AT38</f>
        <v>148</v>
      </c>
      <c r="Z38" s="38">
        <f>Debt_Qtr!AY38</f>
        <v>148</v>
      </c>
      <c r="AA38" s="38">
        <f>Debt_Qtr!BD38</f>
        <v>148</v>
      </c>
      <c r="AB38" s="38">
        <f>Debt_Qtr!BI38</f>
        <v>148</v>
      </c>
      <c r="AC38" s="43">
        <f t="shared" si="1"/>
        <v>148</v>
      </c>
      <c r="AD38" s="43">
        <f t="shared" si="1"/>
        <v>148</v>
      </c>
      <c r="AE38" s="43">
        <f t="shared" si="1"/>
        <v>148</v>
      </c>
      <c r="AF38" s="43">
        <f t="shared" si="1"/>
        <v>148</v>
      </c>
    </row>
    <row r="39" spans="1:32" s="25" customFormat="1">
      <c r="A39" s="3" t="str">
        <f>Debt_Qtr!A39</f>
        <v>6.125% Notes due 2038</v>
      </c>
      <c r="B39" s="75"/>
      <c r="C39" s="75"/>
      <c r="D39" s="75"/>
      <c r="E39" s="75"/>
      <c r="F39" s="75"/>
      <c r="G39" s="75"/>
      <c r="H39" s="75"/>
      <c r="I39" s="75"/>
      <c r="J39" s="75"/>
      <c r="K39" s="75"/>
      <c r="L39" s="75"/>
      <c r="M39" s="75"/>
      <c r="N39" s="75"/>
      <c r="O39" s="75"/>
      <c r="P39" s="75"/>
      <c r="Q39" s="75"/>
      <c r="R39" s="75"/>
      <c r="S39" s="38"/>
      <c r="T39" s="38"/>
      <c r="U39" s="38"/>
      <c r="V39" s="38">
        <f>Debt_Qtr!AE39</f>
        <v>1000</v>
      </c>
      <c r="W39" s="38">
        <f>Debt_Qtr!AJ39</f>
        <v>575</v>
      </c>
      <c r="X39" s="38">
        <f>Debt_Qtr!AO39</f>
        <v>575</v>
      </c>
      <c r="Y39" s="38">
        <f>Debt_Qtr!AT39</f>
        <v>575</v>
      </c>
      <c r="Z39" s="38">
        <f>Debt_Qtr!AY39</f>
        <v>575</v>
      </c>
      <c r="AA39" s="38">
        <f>Debt_Qtr!BD39</f>
        <v>575</v>
      </c>
      <c r="AB39" s="38">
        <f>Debt_Qtr!BI39</f>
        <v>575</v>
      </c>
      <c r="AC39" s="43">
        <f t="shared" si="1"/>
        <v>575</v>
      </c>
      <c r="AD39" s="43">
        <f t="shared" si="1"/>
        <v>575</v>
      </c>
      <c r="AE39" s="43">
        <f t="shared" si="1"/>
        <v>575</v>
      </c>
      <c r="AF39" s="43">
        <f t="shared" si="1"/>
        <v>575</v>
      </c>
    </row>
    <row r="40" spans="1:32" s="25" customFormat="1">
      <c r="A40" s="3" t="str">
        <f>Debt_Qtr!A40</f>
        <v>4.450% Notes due 2038</v>
      </c>
      <c r="B40" s="75"/>
      <c r="C40" s="75"/>
      <c r="D40" s="75"/>
      <c r="E40" s="75"/>
      <c r="F40" s="75"/>
      <c r="G40" s="75"/>
      <c r="H40" s="75"/>
      <c r="I40" s="75"/>
      <c r="J40" s="75"/>
      <c r="K40" s="75"/>
      <c r="L40" s="75"/>
      <c r="M40" s="75"/>
      <c r="N40" s="75"/>
      <c r="O40" s="75"/>
      <c r="P40" s="75"/>
      <c r="Q40" s="75"/>
      <c r="R40" s="75"/>
      <c r="S40" s="38"/>
      <c r="T40" s="38"/>
      <c r="U40" s="38"/>
      <c r="V40" s="38">
        <f>Debt_Qtr!AE40</f>
        <v>750</v>
      </c>
      <c r="W40" s="38">
        <f>Debt_Qtr!AJ40</f>
        <v>750</v>
      </c>
      <c r="X40" s="38">
        <f>Debt_Qtr!AO40</f>
        <v>750</v>
      </c>
      <c r="Y40" s="38">
        <f>Debt_Qtr!AT40</f>
        <v>750</v>
      </c>
      <c r="Z40" s="38">
        <f>Debt_Qtr!AY40</f>
        <v>750</v>
      </c>
      <c r="AA40" s="38">
        <f>Debt_Qtr!BD40</f>
        <v>750</v>
      </c>
      <c r="AB40" s="38">
        <f>Debt_Qtr!BI40</f>
        <v>750</v>
      </c>
      <c r="AC40" s="43">
        <f t="shared" si="1"/>
        <v>750</v>
      </c>
      <c r="AD40" s="43">
        <f t="shared" si="1"/>
        <v>750</v>
      </c>
      <c r="AE40" s="43">
        <f t="shared" si="1"/>
        <v>750</v>
      </c>
      <c r="AF40" s="43">
        <f t="shared" si="1"/>
        <v>750</v>
      </c>
    </row>
    <row r="41" spans="1:32" s="25" customFormat="1">
      <c r="A41" s="3" t="str">
        <f>Debt_Qtr!A41</f>
        <v>5.700% Notes due 2040</v>
      </c>
      <c r="B41" s="75"/>
      <c r="C41" s="75"/>
      <c r="D41" s="75"/>
      <c r="E41" s="75"/>
      <c r="F41" s="75"/>
      <c r="G41" s="75"/>
      <c r="H41" s="75"/>
      <c r="I41" s="75"/>
      <c r="J41" s="75"/>
      <c r="K41" s="75"/>
      <c r="L41" s="75"/>
      <c r="M41" s="75"/>
      <c r="N41" s="75"/>
      <c r="O41" s="75"/>
      <c r="P41" s="75"/>
      <c r="Q41" s="75"/>
      <c r="R41" s="75"/>
      <c r="S41" s="38"/>
      <c r="T41" s="38"/>
      <c r="U41" s="38"/>
      <c r="V41" s="38">
        <f>Debt_Qtr!AE41</f>
        <v>1000</v>
      </c>
      <c r="W41" s="38">
        <f>Debt_Qtr!AJ41</f>
        <v>553</v>
      </c>
      <c r="X41" s="38">
        <f>Debt_Qtr!AO41</f>
        <v>553</v>
      </c>
      <c r="Y41" s="38">
        <f>Debt_Qtr!AT41</f>
        <v>553</v>
      </c>
      <c r="Z41" s="38">
        <f>Debt_Qtr!AY41</f>
        <v>553</v>
      </c>
      <c r="AA41" s="38">
        <f>Debt_Qtr!BD41</f>
        <v>553</v>
      </c>
      <c r="AB41" s="38">
        <f>Debt_Qtr!BI41</f>
        <v>553</v>
      </c>
      <c r="AC41" s="43">
        <f t="shared" si="1"/>
        <v>553</v>
      </c>
      <c r="AD41" s="43">
        <f t="shared" si="1"/>
        <v>553</v>
      </c>
      <c r="AE41" s="43">
        <f t="shared" si="1"/>
        <v>553</v>
      </c>
      <c r="AF41" s="43">
        <f t="shared" si="1"/>
        <v>553</v>
      </c>
    </row>
    <row r="42" spans="1:32" s="25" customFormat="1">
      <c r="A42" s="3" t="str">
        <f>Debt_Qtr!A42</f>
        <v>4.875% Notes due 2040</v>
      </c>
      <c r="B42" s="75"/>
      <c r="C42" s="75"/>
      <c r="D42" s="75"/>
      <c r="E42" s="75"/>
      <c r="F42" s="75"/>
      <c r="G42" s="75"/>
      <c r="H42" s="75"/>
      <c r="I42" s="75"/>
      <c r="J42" s="75"/>
      <c r="K42" s="75"/>
      <c r="L42" s="75"/>
      <c r="M42" s="75"/>
      <c r="N42" s="75"/>
      <c r="O42" s="75"/>
      <c r="P42" s="75"/>
      <c r="Q42" s="75"/>
      <c r="R42" s="75"/>
      <c r="S42" s="38"/>
      <c r="T42" s="38"/>
      <c r="U42" s="38"/>
      <c r="V42" s="38">
        <f>Debt_Qtr!AE42</f>
        <v>600</v>
      </c>
      <c r="W42" s="38">
        <f>Debt_Qtr!AJ42</f>
        <v>600</v>
      </c>
      <c r="X42" s="38">
        <f>Debt_Qtr!AO42</f>
        <v>600</v>
      </c>
      <c r="Y42" s="38">
        <f>Debt_Qtr!AT42</f>
        <v>600</v>
      </c>
      <c r="Z42" s="38">
        <f>Debt_Qtr!AY42</f>
        <v>600</v>
      </c>
      <c r="AA42" s="38">
        <f>Debt_Qtr!BD42</f>
        <v>600</v>
      </c>
      <c r="AB42" s="38">
        <f>Debt_Qtr!BI42</f>
        <v>600</v>
      </c>
      <c r="AC42" s="43">
        <f t="shared" si="1"/>
        <v>600</v>
      </c>
      <c r="AD42" s="43">
        <f t="shared" si="1"/>
        <v>600</v>
      </c>
      <c r="AE42" s="43">
        <f t="shared" si="1"/>
        <v>600</v>
      </c>
      <c r="AF42" s="43">
        <f t="shared" si="1"/>
        <v>600</v>
      </c>
    </row>
    <row r="43" spans="1:32" s="25" customFormat="1">
      <c r="A43" s="3" t="str">
        <f>Debt_Qtr!A43</f>
        <v>4.700% Notes due 2041</v>
      </c>
      <c r="B43" s="75"/>
      <c r="C43" s="75"/>
      <c r="D43" s="75"/>
      <c r="E43" s="75"/>
      <c r="F43" s="75"/>
      <c r="G43" s="75"/>
      <c r="H43" s="75"/>
      <c r="I43" s="75"/>
      <c r="J43" s="75"/>
      <c r="K43" s="75"/>
      <c r="L43" s="75"/>
      <c r="M43" s="75"/>
      <c r="N43" s="75"/>
      <c r="O43" s="75"/>
      <c r="P43" s="75"/>
      <c r="Q43" s="75"/>
      <c r="R43" s="75"/>
      <c r="S43" s="38"/>
      <c r="T43" s="38"/>
      <c r="U43" s="38"/>
      <c r="V43" s="38">
        <f>Debt_Qtr!AE43</f>
        <v>425</v>
      </c>
      <c r="W43" s="38">
        <f>Debt_Qtr!AJ43</f>
        <v>425</v>
      </c>
      <c r="X43" s="38">
        <f>Debt_Qtr!AO43</f>
        <v>425</v>
      </c>
      <c r="Y43" s="38">
        <f>Debt_Qtr!AT43</f>
        <v>425</v>
      </c>
      <c r="Z43" s="38">
        <f>Debt_Qtr!AY43</f>
        <v>425</v>
      </c>
      <c r="AA43" s="38">
        <f>Debt_Qtr!BD43</f>
        <v>425</v>
      </c>
      <c r="AB43" s="38">
        <f>Debt_Qtr!BI43</f>
        <v>425</v>
      </c>
      <c r="AC43" s="43">
        <f t="shared" si="1"/>
        <v>425</v>
      </c>
      <c r="AD43" s="43">
        <f t="shared" si="1"/>
        <v>425</v>
      </c>
      <c r="AE43" s="43">
        <f t="shared" si="1"/>
        <v>425</v>
      </c>
      <c r="AF43" s="43">
        <f t="shared" si="1"/>
        <v>425</v>
      </c>
    </row>
    <row r="44" spans="1:32" s="25" customFormat="1">
      <c r="A44" s="3" t="str">
        <f>Debt_Qtr!A44</f>
        <v>4.500% Notes due 2042</v>
      </c>
      <c r="B44" s="75"/>
      <c r="C44" s="75"/>
      <c r="D44" s="75"/>
      <c r="E44" s="75"/>
      <c r="F44" s="75"/>
      <c r="G44" s="75"/>
      <c r="H44" s="75"/>
      <c r="I44" s="75"/>
      <c r="J44" s="75"/>
      <c r="K44" s="75"/>
      <c r="L44" s="75"/>
      <c r="M44" s="75"/>
      <c r="N44" s="75"/>
      <c r="O44" s="75"/>
      <c r="P44" s="75"/>
      <c r="Q44" s="75"/>
      <c r="R44" s="75"/>
      <c r="S44" s="38"/>
      <c r="T44" s="38"/>
      <c r="U44" s="38"/>
      <c r="V44" s="38">
        <f>Debt_Qtr!AE44</f>
        <v>3500</v>
      </c>
      <c r="W44" s="38">
        <f>Debt_Qtr!AJ44</f>
        <v>3500</v>
      </c>
      <c r="X44" s="38">
        <f>Debt_Qtr!AO44</f>
        <v>3500</v>
      </c>
      <c r="Y44" s="38">
        <f>Debt_Qtr!AT44</f>
        <v>3500</v>
      </c>
      <c r="Z44" s="38">
        <f>Debt_Qtr!AY44</f>
        <v>3500</v>
      </c>
      <c r="AA44" s="38">
        <f>Debt_Qtr!BD44</f>
        <v>3500</v>
      </c>
      <c r="AB44" s="38">
        <f>Debt_Qtr!BI44</f>
        <v>3500</v>
      </c>
      <c r="AC44" s="43">
        <f t="shared" si="1"/>
        <v>3500</v>
      </c>
      <c r="AD44" s="43">
        <f t="shared" si="1"/>
        <v>3500</v>
      </c>
      <c r="AE44" s="43">
        <f t="shared" si="1"/>
        <v>3500</v>
      </c>
      <c r="AF44" s="43">
        <f t="shared" si="1"/>
        <v>3500</v>
      </c>
    </row>
    <row r="45" spans="1:32" s="25" customFormat="1">
      <c r="A45" s="3" t="str">
        <f>Debt_Qtr!A45</f>
        <v>4.800% Notes due 2043</v>
      </c>
      <c r="B45" s="75"/>
      <c r="C45" s="75"/>
      <c r="D45" s="75"/>
      <c r="E45" s="75"/>
      <c r="F45" s="75"/>
      <c r="G45" s="75"/>
      <c r="H45" s="75"/>
      <c r="I45" s="75"/>
      <c r="J45" s="75"/>
      <c r="K45" s="75"/>
      <c r="L45" s="75"/>
      <c r="M45" s="75"/>
      <c r="N45" s="75"/>
      <c r="O45" s="75"/>
      <c r="P45" s="75"/>
      <c r="Q45" s="75"/>
      <c r="R45" s="75"/>
      <c r="S45" s="38"/>
      <c r="T45" s="38"/>
      <c r="U45" s="38"/>
      <c r="V45" s="38">
        <f>Debt_Qtr!AE45</f>
        <v>400</v>
      </c>
      <c r="W45" s="38">
        <f>Debt_Qtr!AJ45</f>
        <v>400</v>
      </c>
      <c r="X45" s="38">
        <f>Debt_Qtr!AO45</f>
        <v>400</v>
      </c>
      <c r="Y45" s="38">
        <f>Debt_Qtr!AT45</f>
        <v>400</v>
      </c>
      <c r="Z45" s="38">
        <f>Debt_Qtr!AY45</f>
        <v>400</v>
      </c>
      <c r="AA45" s="38">
        <f>Debt_Qtr!BD45</f>
        <v>400</v>
      </c>
      <c r="AB45" s="38">
        <f>Debt_Qtr!BI45</f>
        <v>400</v>
      </c>
      <c r="AC45" s="43">
        <f t="shared" si="1"/>
        <v>400</v>
      </c>
      <c r="AD45" s="43">
        <f t="shared" si="1"/>
        <v>400</v>
      </c>
      <c r="AE45" s="43">
        <f t="shared" si="1"/>
        <v>400</v>
      </c>
      <c r="AF45" s="43">
        <f t="shared" si="1"/>
        <v>400</v>
      </c>
    </row>
    <row r="46" spans="1:32" s="25" customFormat="1">
      <c r="A46" s="3" t="str">
        <f>Debt_Qtr!A46</f>
        <v>4.200% Notes due 2044</v>
      </c>
      <c r="B46" s="75"/>
      <c r="C46" s="75"/>
      <c r="D46" s="75"/>
      <c r="E46" s="75"/>
      <c r="F46" s="75"/>
      <c r="G46" s="75"/>
      <c r="H46" s="75"/>
      <c r="I46" s="75"/>
      <c r="J46" s="75"/>
      <c r="K46" s="75"/>
      <c r="L46" s="75"/>
      <c r="M46" s="75"/>
      <c r="N46" s="75"/>
      <c r="O46" s="75"/>
      <c r="P46" s="75"/>
      <c r="Q46" s="75"/>
      <c r="R46" s="75"/>
      <c r="S46" s="38"/>
      <c r="T46" s="38"/>
      <c r="U46" s="38"/>
      <c r="V46" s="38">
        <f>Debt_Qtr!AE46</f>
        <v>300</v>
      </c>
      <c r="W46" s="38">
        <f>Debt_Qtr!AJ46</f>
        <v>300</v>
      </c>
      <c r="X46" s="38">
        <f>Debt_Qtr!AO46</f>
        <v>300</v>
      </c>
      <c r="Y46" s="38">
        <f>Debt_Qtr!AT46</f>
        <v>300</v>
      </c>
      <c r="Z46" s="38">
        <f>Debt_Qtr!AY46</f>
        <v>300</v>
      </c>
      <c r="AA46" s="38">
        <f>Debt_Qtr!BD46</f>
        <v>300</v>
      </c>
      <c r="AB46" s="38">
        <f>Debt_Qtr!BI46</f>
        <v>300</v>
      </c>
      <c r="AC46" s="43">
        <f t="shared" si="1"/>
        <v>300</v>
      </c>
      <c r="AD46" s="43">
        <f t="shared" si="1"/>
        <v>300</v>
      </c>
      <c r="AE46" s="43">
        <f t="shared" si="1"/>
        <v>300</v>
      </c>
      <c r="AF46" s="43">
        <f t="shared" si="1"/>
        <v>300</v>
      </c>
    </row>
    <row r="47" spans="1:32" s="25" customFormat="1">
      <c r="A47" s="3" t="str">
        <f>Debt_Qtr!A47</f>
        <v>4.150% Notes due 2045</v>
      </c>
      <c r="B47" s="75"/>
      <c r="C47" s="75"/>
      <c r="D47" s="75"/>
      <c r="E47" s="75"/>
      <c r="F47" s="75"/>
      <c r="G47" s="75"/>
      <c r="H47" s="75"/>
      <c r="I47" s="75"/>
      <c r="J47" s="75"/>
      <c r="K47" s="75"/>
      <c r="L47" s="75"/>
      <c r="M47" s="75"/>
      <c r="N47" s="75"/>
      <c r="O47" s="75"/>
      <c r="P47" s="75"/>
      <c r="Q47" s="75"/>
      <c r="R47" s="75"/>
      <c r="S47" s="38"/>
      <c r="T47" s="38"/>
      <c r="U47" s="38"/>
      <c r="V47" s="38">
        <f>Debt_Qtr!AE47</f>
        <v>850</v>
      </c>
      <c r="W47" s="38">
        <f>Debt_Qtr!AJ47</f>
        <v>850</v>
      </c>
      <c r="X47" s="38">
        <f>Debt_Qtr!AO47</f>
        <v>850</v>
      </c>
      <c r="Y47" s="38">
        <f>Debt_Qtr!AT47</f>
        <v>850</v>
      </c>
      <c r="Z47" s="38">
        <f>Debt_Qtr!AY47</f>
        <v>850</v>
      </c>
      <c r="AA47" s="38">
        <f>Debt_Qtr!BD47</f>
        <v>850</v>
      </c>
      <c r="AB47" s="38">
        <f>Debt_Qtr!BI47</f>
        <v>850</v>
      </c>
      <c r="AC47" s="43">
        <f t="shared" si="1"/>
        <v>850</v>
      </c>
      <c r="AD47" s="43">
        <f t="shared" si="1"/>
        <v>850</v>
      </c>
      <c r="AE47" s="43">
        <f t="shared" si="1"/>
        <v>850</v>
      </c>
      <c r="AF47" s="43">
        <f t="shared" si="1"/>
        <v>850</v>
      </c>
    </row>
    <row r="48" spans="1:32" s="25" customFormat="1">
      <c r="A48" s="3" t="str">
        <f>Debt_Qtr!A48</f>
        <v>3.750% Notes due 2046</v>
      </c>
      <c r="B48" s="75"/>
      <c r="C48" s="75"/>
      <c r="D48" s="75"/>
      <c r="E48" s="75"/>
      <c r="F48" s="75"/>
      <c r="G48" s="75"/>
      <c r="H48" s="75"/>
      <c r="I48" s="75"/>
      <c r="J48" s="75"/>
      <c r="K48" s="75"/>
      <c r="L48" s="75"/>
      <c r="M48" s="75"/>
      <c r="N48" s="75"/>
      <c r="O48" s="75"/>
      <c r="P48" s="75"/>
      <c r="Q48" s="75"/>
      <c r="R48" s="75"/>
      <c r="S48" s="38"/>
      <c r="T48" s="38"/>
      <c r="U48" s="38"/>
      <c r="V48" s="38">
        <f>Debt_Qtr!AE48</f>
        <v>1100</v>
      </c>
      <c r="W48" s="38">
        <f>Debt_Qtr!AJ48</f>
        <v>1100</v>
      </c>
      <c r="X48" s="38">
        <f>Debt_Qtr!AO48</f>
        <v>1100</v>
      </c>
      <c r="Y48" s="38">
        <f>Debt_Qtr!AT48</f>
        <v>1100</v>
      </c>
      <c r="Z48" s="38">
        <f>Debt_Qtr!AY48</f>
        <v>1100</v>
      </c>
      <c r="AA48" s="38">
        <f>Debt_Qtr!BD48</f>
        <v>1100</v>
      </c>
      <c r="AB48" s="38">
        <f>Debt_Qtr!BI48</f>
        <v>1100</v>
      </c>
      <c r="AC48" s="43">
        <f t="shared" si="1"/>
        <v>1100</v>
      </c>
      <c r="AD48" s="43">
        <f t="shared" si="1"/>
        <v>1100</v>
      </c>
      <c r="AE48" s="43">
        <f t="shared" si="1"/>
        <v>1100</v>
      </c>
      <c r="AF48" s="43">
        <f t="shared" si="1"/>
        <v>1100</v>
      </c>
    </row>
    <row r="49" spans="1:32" s="25" customFormat="1">
      <c r="A49" s="3" t="str">
        <f>Debt_Qtr!A49</f>
        <v>4.050% Notes due 2047</v>
      </c>
      <c r="B49" s="75"/>
      <c r="C49" s="75"/>
      <c r="D49" s="75"/>
      <c r="E49" s="75"/>
      <c r="F49" s="75"/>
      <c r="G49" s="75"/>
      <c r="H49" s="75"/>
      <c r="I49" s="75"/>
      <c r="J49" s="75"/>
      <c r="K49" s="75"/>
      <c r="L49" s="75"/>
      <c r="M49" s="75"/>
      <c r="N49" s="75"/>
      <c r="O49" s="75"/>
      <c r="P49" s="75"/>
      <c r="Q49" s="75"/>
      <c r="R49" s="75"/>
      <c r="S49" s="38"/>
      <c r="T49" s="38"/>
      <c r="U49" s="38"/>
      <c r="V49" s="38">
        <f>Debt_Qtr!AE49</f>
        <v>600</v>
      </c>
      <c r="W49" s="38">
        <f>Debt_Qtr!AJ49</f>
        <v>600</v>
      </c>
      <c r="X49" s="38">
        <f>Debt_Qtr!AO49</f>
        <v>600</v>
      </c>
      <c r="Y49" s="38">
        <f>Debt_Qtr!AT49</f>
        <v>600</v>
      </c>
      <c r="Z49" s="38">
        <f>Debt_Qtr!AY49</f>
        <v>600</v>
      </c>
      <c r="AA49" s="38">
        <f>Debt_Qtr!BD49</f>
        <v>600</v>
      </c>
      <c r="AB49" s="38">
        <f>Debt_Qtr!BI49</f>
        <v>600</v>
      </c>
      <c r="AC49" s="43">
        <f t="shared" si="1"/>
        <v>600</v>
      </c>
      <c r="AD49" s="43">
        <f t="shared" si="1"/>
        <v>600</v>
      </c>
      <c r="AE49" s="43">
        <f t="shared" si="1"/>
        <v>600</v>
      </c>
      <c r="AF49" s="43">
        <f t="shared" si="1"/>
        <v>600</v>
      </c>
    </row>
    <row r="50" spans="1:32" s="25" customFormat="1">
      <c r="A50" s="3" t="str">
        <f>Debt_Qtr!A50</f>
        <v>4.350% Notes due 2047</v>
      </c>
      <c r="B50" s="75"/>
      <c r="C50" s="75"/>
      <c r="D50" s="75"/>
      <c r="E50" s="75"/>
      <c r="F50" s="75"/>
      <c r="G50" s="75"/>
      <c r="H50" s="75"/>
      <c r="I50" s="75"/>
      <c r="J50" s="75"/>
      <c r="K50" s="75"/>
      <c r="L50" s="75"/>
      <c r="M50" s="75"/>
      <c r="N50" s="75"/>
      <c r="O50" s="75"/>
      <c r="P50" s="75"/>
      <c r="Q50" s="75"/>
      <c r="R50" s="75"/>
      <c r="S50" s="38"/>
      <c r="T50" s="38"/>
      <c r="U50" s="38"/>
      <c r="V50" s="38">
        <f>Debt_Qtr!AE50</f>
        <v>1000</v>
      </c>
      <c r="W50" s="38">
        <f>Debt_Qtr!AJ50</f>
        <v>1000</v>
      </c>
      <c r="X50" s="38">
        <f>Debt_Qtr!AO50</f>
        <v>1000</v>
      </c>
      <c r="Y50" s="38">
        <f>Debt_Qtr!AT50</f>
        <v>1000</v>
      </c>
      <c r="Z50" s="38">
        <f>Debt_Qtr!AY50</f>
        <v>1000</v>
      </c>
      <c r="AA50" s="38">
        <f>Debt_Qtr!BD50</f>
        <v>1000</v>
      </c>
      <c r="AB50" s="38">
        <f>Debt_Qtr!BI50</f>
        <v>1000</v>
      </c>
      <c r="AC50" s="43">
        <f t="shared" si="1"/>
        <v>1000</v>
      </c>
      <c r="AD50" s="43">
        <f t="shared" si="1"/>
        <v>1000</v>
      </c>
      <c r="AE50" s="43">
        <f t="shared" si="1"/>
        <v>1000</v>
      </c>
      <c r="AF50" s="43">
        <f t="shared" si="1"/>
        <v>1000</v>
      </c>
    </row>
    <row r="51" spans="1:32" s="25" customFormat="1">
      <c r="A51" s="3" t="str">
        <f>Debt_Qtr!A51</f>
        <v>4.625% Notes due 2048</v>
      </c>
      <c r="B51" s="75"/>
      <c r="C51" s="75"/>
      <c r="D51" s="75"/>
      <c r="E51" s="75"/>
      <c r="F51" s="75"/>
      <c r="G51" s="75"/>
      <c r="H51" s="75"/>
      <c r="I51" s="75"/>
      <c r="J51" s="75"/>
      <c r="K51" s="75"/>
      <c r="L51" s="75"/>
      <c r="M51" s="75"/>
      <c r="N51" s="75"/>
      <c r="O51" s="75"/>
      <c r="P51" s="75"/>
      <c r="Q51" s="75"/>
      <c r="R51" s="75"/>
      <c r="S51" s="38"/>
      <c r="T51" s="38"/>
      <c r="U51" s="38"/>
      <c r="V51" s="38">
        <f>Debt_Qtr!AE51</f>
        <v>1750</v>
      </c>
      <c r="W51" s="38">
        <f>Debt_Qtr!AJ51</f>
        <v>1750</v>
      </c>
      <c r="X51" s="38">
        <f>Debt_Qtr!AO51</f>
        <v>1750</v>
      </c>
      <c r="Y51" s="38">
        <f>Debt_Qtr!AT51</f>
        <v>1750</v>
      </c>
      <c r="Z51" s="38">
        <f>Debt_Qtr!AY51</f>
        <v>1750</v>
      </c>
      <c r="AA51" s="38">
        <f>Debt_Qtr!BD51</f>
        <v>1750</v>
      </c>
      <c r="AB51" s="38">
        <f>Debt_Qtr!BI51</f>
        <v>1750</v>
      </c>
      <c r="AC51" s="43">
        <f t="shared" si="1"/>
        <v>1750</v>
      </c>
      <c r="AD51" s="43">
        <f t="shared" si="1"/>
        <v>1750</v>
      </c>
      <c r="AE51" s="43">
        <f t="shared" si="1"/>
        <v>1750</v>
      </c>
      <c r="AF51" s="43">
        <f t="shared" si="1"/>
        <v>1750</v>
      </c>
    </row>
    <row r="52" spans="1:32" s="25" customFormat="1">
      <c r="A52" s="3" t="str">
        <f>Debt_Qtr!A52</f>
        <v>3.125% Notes due 2050</v>
      </c>
      <c r="B52" s="75"/>
      <c r="C52" s="75"/>
      <c r="D52" s="75"/>
      <c r="E52" s="75"/>
      <c r="F52" s="75"/>
      <c r="G52" s="75"/>
      <c r="H52" s="75"/>
      <c r="I52" s="75"/>
      <c r="J52" s="75"/>
      <c r="K52" s="75"/>
      <c r="L52" s="75"/>
      <c r="M52" s="75"/>
      <c r="N52" s="75"/>
      <c r="O52" s="75"/>
      <c r="P52" s="75"/>
      <c r="Q52" s="75"/>
      <c r="R52" s="75"/>
      <c r="S52" s="38"/>
      <c r="T52" s="38"/>
      <c r="U52" s="38"/>
      <c r="V52" s="38">
        <f>Debt_Qtr!AE52</f>
        <v>1000</v>
      </c>
      <c r="W52" s="38">
        <f>Debt_Qtr!AJ52</f>
        <v>1000</v>
      </c>
      <c r="X52" s="38">
        <f>Debt_Qtr!AO52</f>
        <v>1000</v>
      </c>
      <c r="Y52" s="38">
        <f>Debt_Qtr!AT52</f>
        <v>1000</v>
      </c>
      <c r="Z52" s="38">
        <f>Debt_Qtr!AY52</f>
        <v>1000</v>
      </c>
      <c r="AA52" s="38">
        <f>Debt_Qtr!BD52</f>
        <v>1000</v>
      </c>
      <c r="AB52" s="38">
        <f>Debt_Qtr!BI52</f>
        <v>1000</v>
      </c>
      <c r="AC52" s="43">
        <f t="shared" si="1"/>
        <v>1000</v>
      </c>
      <c r="AD52" s="43">
        <f t="shared" si="1"/>
        <v>1000</v>
      </c>
      <c r="AE52" s="43">
        <f t="shared" si="1"/>
        <v>1000</v>
      </c>
      <c r="AF52" s="43">
        <f t="shared" si="1"/>
        <v>1000</v>
      </c>
    </row>
    <row r="53" spans="1:32" s="25" customFormat="1">
      <c r="A53" s="3" t="str">
        <f>Debt_Qtr!A53</f>
        <v>2.820% Notes due 2051</v>
      </c>
      <c r="B53" s="75"/>
      <c r="C53" s="75"/>
      <c r="D53" s="75"/>
      <c r="E53" s="75"/>
      <c r="F53" s="75"/>
      <c r="G53" s="75"/>
      <c r="H53" s="75"/>
      <c r="I53" s="75"/>
      <c r="J53" s="75"/>
      <c r="K53" s="75"/>
      <c r="L53" s="75"/>
      <c r="M53" s="75"/>
      <c r="N53" s="75"/>
      <c r="O53" s="75"/>
      <c r="P53" s="75"/>
      <c r="Q53" s="75"/>
      <c r="R53" s="75"/>
      <c r="S53" s="38"/>
      <c r="T53" s="38"/>
      <c r="U53" s="38"/>
      <c r="V53" s="38">
        <f>Debt_Qtr!AE53</f>
        <v>0</v>
      </c>
      <c r="W53" s="38">
        <f>Debt_Qtr!AJ53</f>
        <v>1000</v>
      </c>
      <c r="X53" s="38">
        <f>Debt_Qtr!AO53</f>
        <v>1000</v>
      </c>
      <c r="Y53" s="38">
        <f>Debt_Qtr!AT53</f>
        <v>1000</v>
      </c>
      <c r="Z53" s="38">
        <f>Debt_Qtr!AY53</f>
        <v>1000</v>
      </c>
      <c r="AA53" s="38">
        <f>Debt_Qtr!BD53</f>
        <v>1000</v>
      </c>
      <c r="AB53" s="38">
        <f>Debt_Qtr!BI53</f>
        <v>1000</v>
      </c>
      <c r="AC53" s="43">
        <f t="shared" ref="AC53:AF53" si="15">AB53</f>
        <v>1000</v>
      </c>
      <c r="AD53" s="43">
        <f t="shared" si="15"/>
        <v>1000</v>
      </c>
      <c r="AE53" s="43">
        <f t="shared" si="15"/>
        <v>1000</v>
      </c>
      <c r="AF53" s="43">
        <f t="shared" si="15"/>
        <v>1000</v>
      </c>
    </row>
    <row r="54" spans="1:32" s="25" customFormat="1">
      <c r="A54" s="3" t="str">
        <f>Debt_Qtr!A54</f>
        <v>3.030% Notes due 2052</v>
      </c>
      <c r="B54" s="75"/>
      <c r="C54" s="75"/>
      <c r="D54" s="75"/>
      <c r="E54" s="75"/>
      <c r="F54" s="75"/>
      <c r="G54" s="75"/>
      <c r="H54" s="75"/>
      <c r="I54" s="75"/>
      <c r="J54" s="75"/>
      <c r="K54" s="75"/>
      <c r="L54" s="75"/>
      <c r="M54" s="75"/>
      <c r="N54" s="75"/>
      <c r="O54" s="75"/>
      <c r="P54" s="75"/>
      <c r="Q54" s="75"/>
      <c r="R54" s="75"/>
      <c r="S54" s="38"/>
      <c r="T54" s="38"/>
      <c r="U54" s="38"/>
      <c r="V54" s="38">
        <f>Debt_Qtr!AE54</f>
        <v>0</v>
      </c>
      <c r="W54" s="38">
        <f>Debt_Qtr!AJ54</f>
        <v>1100</v>
      </c>
      <c r="X54" s="38">
        <f>Debt_Qtr!AO54</f>
        <v>1100</v>
      </c>
      <c r="Y54" s="38">
        <f>Debt_Qtr!AT54</f>
        <v>1100</v>
      </c>
      <c r="Z54" s="38">
        <f>Debt_Qtr!AY54</f>
        <v>1100</v>
      </c>
      <c r="AA54" s="38">
        <f>Debt_Qtr!BD54</f>
        <v>1100</v>
      </c>
      <c r="AB54" s="38">
        <f>Debt_Qtr!BI54</f>
        <v>1100</v>
      </c>
      <c r="AC54" s="43">
        <f t="shared" ref="AC54:AF54" si="16">AB54</f>
        <v>1100</v>
      </c>
      <c r="AD54" s="43">
        <f t="shared" si="16"/>
        <v>1100</v>
      </c>
      <c r="AE54" s="43">
        <f t="shared" si="16"/>
        <v>1100</v>
      </c>
      <c r="AF54" s="43">
        <f t="shared" si="16"/>
        <v>1100</v>
      </c>
    </row>
    <row r="55" spans="1:32" s="25" customFormat="1">
      <c r="A55" s="3" t="str">
        <f>Debt_Qtr!A55</f>
        <v>5.375 Notes due 2053</v>
      </c>
      <c r="B55" s="75"/>
      <c r="C55" s="75"/>
      <c r="D55" s="75"/>
      <c r="E55" s="75"/>
      <c r="F55" s="75"/>
      <c r="G55" s="75"/>
      <c r="H55" s="75"/>
      <c r="I55" s="75"/>
      <c r="J55" s="75"/>
      <c r="K55" s="75"/>
      <c r="L55" s="75"/>
      <c r="M55" s="75"/>
      <c r="N55" s="75"/>
      <c r="O55" s="75"/>
      <c r="P55" s="75"/>
      <c r="Q55" s="75"/>
      <c r="R55" s="75"/>
      <c r="S55" s="38"/>
      <c r="T55" s="38"/>
      <c r="U55" s="38"/>
      <c r="V55" s="38">
        <f>Debt_Qtr!AE55</f>
        <v>0</v>
      </c>
      <c r="W55" s="38">
        <f>Debt_Qtr!AJ55</f>
        <v>0</v>
      </c>
      <c r="X55" s="38">
        <f>Debt_Qtr!AO55</f>
        <v>0</v>
      </c>
      <c r="Y55" s="38">
        <f>Debt_Qtr!AT55</f>
        <v>1250</v>
      </c>
      <c r="Z55" s="38">
        <f>Debt_Qtr!AY55</f>
        <v>1250</v>
      </c>
      <c r="AA55" s="38">
        <f>Debt_Qtr!BD55</f>
        <v>1250</v>
      </c>
      <c r="AB55" s="38">
        <f>Debt_Qtr!BI55</f>
        <v>1250</v>
      </c>
      <c r="AC55" s="43">
        <f t="shared" ref="AC55:AF55" si="17">AB55</f>
        <v>1250</v>
      </c>
      <c r="AD55" s="43">
        <f t="shared" si="17"/>
        <v>1250</v>
      </c>
      <c r="AE55" s="43">
        <f t="shared" si="17"/>
        <v>1250</v>
      </c>
      <c r="AF55" s="43">
        <f t="shared" si="17"/>
        <v>1250</v>
      </c>
    </row>
    <row r="56" spans="1:32" s="25" customFormat="1">
      <c r="A56" s="525" t="s">
        <v>475</v>
      </c>
      <c r="B56" s="75"/>
      <c r="C56" s="75"/>
      <c r="D56" s="75"/>
      <c r="E56" s="75"/>
      <c r="F56" s="75"/>
      <c r="G56" s="75"/>
      <c r="H56" s="75"/>
      <c r="I56" s="75"/>
      <c r="J56" s="75"/>
      <c r="K56" s="75"/>
      <c r="L56" s="75"/>
      <c r="M56" s="75"/>
      <c r="N56" s="75"/>
      <c r="O56" s="75"/>
      <c r="P56" s="75"/>
      <c r="Q56" s="75"/>
      <c r="R56" s="75"/>
      <c r="S56" s="38"/>
      <c r="T56" s="38"/>
      <c r="U56" s="38"/>
      <c r="V56" s="38"/>
      <c r="W56" s="38"/>
      <c r="X56" s="38"/>
      <c r="Y56" s="38">
        <f>Debt_Qtr!AT56</f>
        <v>1750</v>
      </c>
      <c r="Z56" s="38">
        <f>Debt_Qtr!AY56</f>
        <v>1750</v>
      </c>
      <c r="AA56" s="38">
        <f>Debt_Qtr!BD56</f>
        <v>1750</v>
      </c>
      <c r="AB56" s="38">
        <f>Debt_Qtr!BI56</f>
        <v>1750</v>
      </c>
      <c r="AC56" s="43">
        <f t="shared" ref="AC56" si="18">AB56</f>
        <v>1750</v>
      </c>
      <c r="AD56" s="43">
        <f t="shared" ref="AD56:AF56" si="19">AC56</f>
        <v>1750</v>
      </c>
      <c r="AE56" s="43">
        <f t="shared" si="19"/>
        <v>1750</v>
      </c>
      <c r="AF56" s="43">
        <f t="shared" si="19"/>
        <v>1750</v>
      </c>
    </row>
    <row r="57" spans="1:32" s="25" customFormat="1">
      <c r="A57" s="3" t="str">
        <f>Debt_Qtr!A57</f>
        <v>Other (Including Finance Leases)</v>
      </c>
      <c r="B57" s="75"/>
      <c r="C57" s="75"/>
      <c r="D57" s="75"/>
      <c r="E57" s="75"/>
      <c r="F57" s="75"/>
      <c r="G57" s="75"/>
      <c r="H57" s="75"/>
      <c r="I57" s="75"/>
      <c r="J57" s="75"/>
      <c r="K57" s="75"/>
      <c r="L57" s="75"/>
      <c r="M57" s="75"/>
      <c r="N57" s="75"/>
      <c r="O57" s="75"/>
      <c r="P57" s="75"/>
      <c r="Q57" s="75"/>
      <c r="R57" s="75"/>
      <c r="S57" s="38"/>
      <c r="T57" s="38"/>
      <c r="U57" s="38"/>
      <c r="V57" s="38">
        <f>Debt_Qtr!AE57</f>
        <v>325</v>
      </c>
      <c r="W57" s="38">
        <f>Debt_Qtr!AJ57</f>
        <v>270</v>
      </c>
      <c r="X57" s="38">
        <f>Debt_Qtr!AO57</f>
        <v>253</v>
      </c>
      <c r="Y57" s="38">
        <f>Debt_Qtr!AT57</f>
        <v>255</v>
      </c>
      <c r="Z57" s="38">
        <f>Debt_Qtr!AY57</f>
        <v>232</v>
      </c>
      <c r="AA57" s="38">
        <f>Debt_Qtr!BD57</f>
        <v>146</v>
      </c>
      <c r="AB57" s="38">
        <f>Debt_Qtr!BI57</f>
        <v>124</v>
      </c>
      <c r="AC57" s="43">
        <f t="shared" si="1"/>
        <v>124</v>
      </c>
      <c r="AD57" s="43">
        <f t="shared" si="1"/>
        <v>124</v>
      </c>
      <c r="AE57" s="43">
        <f t="shared" si="1"/>
        <v>124</v>
      </c>
      <c r="AF57" s="43">
        <f t="shared" si="1"/>
        <v>124</v>
      </c>
    </row>
    <row r="58" spans="1:32" s="25" customFormat="1">
      <c r="A58" s="3" t="str">
        <f>Debt_Qtr!A58</f>
        <v>Commercial Paper</v>
      </c>
      <c r="B58" s="75"/>
      <c r="C58" s="75"/>
      <c r="D58" s="75"/>
      <c r="E58" s="75"/>
      <c r="F58" s="75"/>
      <c r="G58" s="75"/>
      <c r="H58" s="75"/>
      <c r="I58" s="75"/>
      <c r="J58" s="75"/>
      <c r="K58" s="75"/>
      <c r="L58" s="75"/>
      <c r="M58" s="75"/>
      <c r="N58" s="75"/>
      <c r="O58" s="75"/>
      <c r="P58" s="75"/>
      <c r="Q58" s="75"/>
      <c r="R58" s="75"/>
      <c r="S58" s="38"/>
      <c r="T58" s="38"/>
      <c r="U58" s="38"/>
      <c r="V58" s="38">
        <f>Debt_Qtr!AE58</f>
        <v>160</v>
      </c>
      <c r="W58" s="38">
        <f>Debt_Qtr!AJ58</f>
        <v>0</v>
      </c>
      <c r="X58" s="38">
        <f>Debt_Qtr!AO58</f>
        <v>0</v>
      </c>
      <c r="Y58" s="38">
        <f>Debt_Qtr!AT58</f>
        <v>0</v>
      </c>
      <c r="Z58" s="38">
        <f>Debt_Qtr!AY58</f>
        <v>0</v>
      </c>
      <c r="AA58" s="38">
        <f>Debt_Qtr!BD58</f>
        <v>0</v>
      </c>
      <c r="AB58" s="38">
        <f>Debt_Qtr!BI58</f>
        <v>0</v>
      </c>
      <c r="AC58" s="43">
        <f t="shared" si="1"/>
        <v>0</v>
      </c>
      <c r="AD58" s="43">
        <f t="shared" si="1"/>
        <v>0</v>
      </c>
      <c r="AE58" s="43">
        <f t="shared" si="1"/>
        <v>0</v>
      </c>
      <c r="AF58" s="43">
        <f t="shared" si="1"/>
        <v>0</v>
      </c>
    </row>
    <row r="59" spans="1:32" s="25" customFormat="1">
      <c r="A59" s="3" t="str">
        <f>Debt_Qtr!A59</f>
        <v>Other Debts</v>
      </c>
      <c r="B59" s="75"/>
      <c r="C59" s="75"/>
      <c r="D59" s="75"/>
      <c r="E59" s="75"/>
      <c r="F59" s="75"/>
      <c r="G59" s="75"/>
      <c r="H59" s="75"/>
      <c r="I59" s="75"/>
      <c r="J59" s="75"/>
      <c r="K59" s="75"/>
      <c r="L59" s="75"/>
      <c r="M59" s="75"/>
      <c r="N59" s="75"/>
      <c r="O59" s="75"/>
      <c r="P59" s="75"/>
      <c r="Q59" s="75"/>
      <c r="R59" s="75"/>
      <c r="S59" s="38"/>
      <c r="T59" s="38"/>
      <c r="U59" s="38"/>
      <c r="V59" s="38">
        <f>Debt_Qtr!AE59</f>
        <v>83</v>
      </c>
      <c r="W59" s="38">
        <f>Debt_Qtr!AJ59</f>
        <v>0</v>
      </c>
      <c r="X59" s="38">
        <f>Debt_Qtr!AO59</f>
        <v>0</v>
      </c>
      <c r="Y59" s="38">
        <f>Debt_Qtr!AT59</f>
        <v>0</v>
      </c>
      <c r="Z59" s="38">
        <f>Debt_Qtr!AY59</f>
        <v>0</v>
      </c>
      <c r="AA59" s="38">
        <f>Debt_Qtr!BD59</f>
        <v>0</v>
      </c>
      <c r="AB59" s="38">
        <f>Debt_Qtr!BI59</f>
        <v>0</v>
      </c>
      <c r="AC59" s="43">
        <f t="shared" si="1"/>
        <v>0</v>
      </c>
      <c r="AD59" s="43">
        <f t="shared" si="1"/>
        <v>0</v>
      </c>
      <c r="AE59" s="43">
        <f t="shared" si="1"/>
        <v>0</v>
      </c>
      <c r="AF59" s="43">
        <f t="shared" si="1"/>
        <v>0</v>
      </c>
    </row>
    <row r="60" spans="1:32" s="25" customFormat="1">
      <c r="A60" s="3" t="str">
        <f>Debt_Qtr!A60</f>
        <v>Additional Debt</v>
      </c>
      <c r="B60" s="75"/>
      <c r="C60" s="75"/>
      <c r="D60" s="75"/>
      <c r="E60" s="75"/>
      <c r="F60" s="75"/>
      <c r="G60" s="75"/>
      <c r="H60" s="75"/>
      <c r="I60" s="75"/>
      <c r="J60" s="75"/>
      <c r="K60" s="75"/>
      <c r="L60" s="75"/>
      <c r="M60" s="75"/>
      <c r="N60" s="75"/>
      <c r="O60" s="75"/>
      <c r="P60" s="75"/>
      <c r="Q60" s="75"/>
      <c r="R60" s="75"/>
      <c r="S60" s="38"/>
      <c r="T60" s="38"/>
      <c r="U60" s="38"/>
      <c r="V60" s="38">
        <f>Debt_Qtr!AE60</f>
        <v>73</v>
      </c>
      <c r="W60" s="38">
        <f>Debt_Qtr!AJ60</f>
        <v>0</v>
      </c>
      <c r="X60" s="38">
        <f>Debt_Qtr!AO60</f>
        <v>0</v>
      </c>
      <c r="Y60" s="38">
        <f>Debt_Qtr!AT60</f>
        <v>0</v>
      </c>
      <c r="Z60" s="38">
        <f>Debt_Qtr!AY60</f>
        <v>0</v>
      </c>
      <c r="AA60" s="38">
        <f>Debt_Qtr!BD60</f>
        <v>0</v>
      </c>
      <c r="AB60" s="38">
        <f>Debt_Qtr!BI60</f>
        <v>0</v>
      </c>
      <c r="AC60" s="43">
        <v>0</v>
      </c>
      <c r="AD60" s="43">
        <v>0</v>
      </c>
      <c r="AE60" s="43">
        <v>0</v>
      </c>
      <c r="AF60" s="43">
        <v>0</v>
      </c>
    </row>
    <row r="61" spans="1:32" s="25" customFormat="1">
      <c r="A61" s="3" t="str">
        <f>Debt_Qtr!A61</f>
        <v>Other (Fair Market Value Adjustments, (Discounts)/Premiums, and Debt Issuance Costs)</v>
      </c>
      <c r="B61" s="75"/>
      <c r="C61" s="75"/>
      <c r="D61" s="75"/>
      <c r="E61" s="75"/>
      <c r="F61" s="75"/>
      <c r="G61" s="75"/>
      <c r="H61" s="75"/>
      <c r="I61" s="75"/>
      <c r="J61" s="75"/>
      <c r="K61" s="75"/>
      <c r="L61" s="75"/>
      <c r="M61" s="75"/>
      <c r="N61" s="75"/>
      <c r="O61" s="75"/>
      <c r="P61" s="75"/>
      <c r="Q61" s="75"/>
      <c r="R61" s="75"/>
      <c r="S61" s="38"/>
      <c r="T61" s="38"/>
      <c r="U61" s="38"/>
      <c r="V61" s="38">
        <f>Debt_Qtr!AE61</f>
        <v>54</v>
      </c>
      <c r="W61" s="38">
        <f>Debt_Qtr!AJ61</f>
        <v>185</v>
      </c>
      <c r="X61" s="38">
        <f>Debt_Qtr!AO61</f>
        <v>665</v>
      </c>
      <c r="Y61" s="38">
        <f>Debt_Qtr!AT61</f>
        <v>130</v>
      </c>
      <c r="Z61" s="38">
        <f>Debt_Qtr!AY61</f>
        <v>115</v>
      </c>
      <c r="AA61" s="38">
        <f>Debt_Qtr!BD61</f>
        <v>127</v>
      </c>
      <c r="AB61" s="38">
        <f>Debt_Qtr!BI61</f>
        <v>147</v>
      </c>
      <c r="AC61" s="43">
        <f t="shared" si="1"/>
        <v>147</v>
      </c>
      <c r="AD61" s="43">
        <f t="shared" si="1"/>
        <v>147</v>
      </c>
      <c r="AE61" s="43">
        <f t="shared" si="1"/>
        <v>147</v>
      </c>
      <c r="AF61" s="43">
        <f t="shared" si="1"/>
        <v>147</v>
      </c>
    </row>
    <row r="62" spans="1:32" s="25" customFormat="1">
      <c r="A62" s="11" t="str">
        <f>Debt_Qtr!A62</f>
        <v>Total Debt, Net</v>
      </c>
      <c r="B62" s="97"/>
      <c r="C62" s="97"/>
      <c r="D62" s="97"/>
      <c r="E62" s="97"/>
      <c r="F62" s="97"/>
      <c r="G62" s="97"/>
      <c r="H62" s="97"/>
      <c r="I62" s="97"/>
      <c r="J62" s="97"/>
      <c r="K62" s="97"/>
      <c r="L62" s="97"/>
      <c r="M62" s="97"/>
      <c r="N62" s="97"/>
      <c r="O62" s="97"/>
      <c r="P62" s="97"/>
      <c r="Q62" s="97"/>
      <c r="R62" s="97"/>
      <c r="S62" s="188"/>
      <c r="T62" s="188"/>
      <c r="U62" s="188"/>
      <c r="V62" s="188">
        <f>Debt_Qtr!AE62</f>
        <v>31823</v>
      </c>
      <c r="W62" s="188">
        <f>Debt_Qtr!AJ62</f>
        <v>31485</v>
      </c>
      <c r="X62" s="81">
        <f t="shared" ref="X62:AC62" si="20">SUM(X4:X61)</f>
        <v>31914</v>
      </c>
      <c r="Y62" s="81">
        <f t="shared" si="20"/>
        <v>43827</v>
      </c>
      <c r="Z62" s="81">
        <f t="shared" ref="Z62:AA62" si="21">SUM(Z4:Z61)</f>
        <v>41261</v>
      </c>
      <c r="AA62" s="81">
        <f t="shared" si="21"/>
        <v>37904</v>
      </c>
      <c r="AB62" s="81">
        <f t="shared" ref="AB62" si="22">SUM(AB4:AB61)</f>
        <v>34514</v>
      </c>
      <c r="AC62" s="81">
        <f t="shared" si="20"/>
        <v>33414</v>
      </c>
      <c r="AD62" s="81">
        <f t="shared" ref="AD62:AE62" si="23">SUM(AD4:AD61)</f>
        <v>33414</v>
      </c>
      <c r="AE62" s="81">
        <f t="shared" si="23"/>
        <v>33414</v>
      </c>
      <c r="AF62" s="81">
        <f t="shared" ref="AF62" si="24">SUM(AF4:AF61)</f>
        <v>33414</v>
      </c>
    </row>
    <row r="63" spans="1:32" s="25" customFormat="1">
      <c r="A63" s="3" t="str">
        <f>Debt_Qtr!A63</f>
        <v>Less: Current Portion of Long Term Debt</v>
      </c>
      <c r="B63" s="38"/>
      <c r="C63" s="38"/>
      <c r="D63" s="38"/>
      <c r="E63" s="38"/>
      <c r="F63" s="38"/>
      <c r="G63" s="38"/>
      <c r="H63" s="38"/>
      <c r="I63" s="38"/>
      <c r="J63" s="38"/>
      <c r="K63" s="38"/>
      <c r="L63" s="38"/>
      <c r="M63" s="38"/>
      <c r="N63" s="38"/>
      <c r="O63" s="38"/>
      <c r="P63" s="38"/>
      <c r="Q63" s="38"/>
      <c r="R63" s="38"/>
      <c r="S63" s="38"/>
      <c r="T63" s="38"/>
      <c r="U63" s="38"/>
      <c r="V63" s="38">
        <f>Debt_Qtr!AE63</f>
        <v>550</v>
      </c>
      <c r="W63" s="38">
        <f>Debt_Qtr!AJ63</f>
        <v>24</v>
      </c>
      <c r="X63" s="38">
        <f>Debt_Qtr!AO63</f>
        <v>595</v>
      </c>
      <c r="Y63" s="38">
        <f>Debt_Qtr!AT63</f>
        <v>1283</v>
      </c>
      <c r="Z63" s="38">
        <f>Debt_Qtr!AY63</f>
        <v>2352</v>
      </c>
      <c r="AA63" s="38">
        <f>Debt_Qtr!BD63</f>
        <v>3412</v>
      </c>
      <c r="AB63" s="38">
        <f>Debt_Qtr!BI63</f>
        <v>5296</v>
      </c>
      <c r="AC63" s="43">
        <v>719</v>
      </c>
      <c r="AD63" s="43">
        <v>719</v>
      </c>
      <c r="AE63" s="43">
        <v>719</v>
      </c>
      <c r="AF63" s="43">
        <v>719</v>
      </c>
    </row>
    <row r="64" spans="1:32" s="25" customFormat="1">
      <c r="A64" s="3" t="str">
        <f>Debt_Qtr!A64</f>
        <v>Less: Short-Term Debt</v>
      </c>
      <c r="B64" s="38"/>
      <c r="C64" s="38"/>
      <c r="D64" s="38"/>
      <c r="E64" s="38"/>
      <c r="F64" s="38"/>
      <c r="G64" s="38"/>
      <c r="H64" s="38"/>
      <c r="I64" s="38"/>
      <c r="J64" s="38"/>
      <c r="K64" s="38"/>
      <c r="L64" s="38"/>
      <c r="M64" s="38"/>
      <c r="N64" s="38"/>
      <c r="O64" s="38"/>
      <c r="P64" s="38"/>
      <c r="Q64" s="38"/>
      <c r="R64" s="38"/>
      <c r="S64" s="38"/>
      <c r="T64" s="38"/>
      <c r="U64" s="38"/>
      <c r="V64" s="38">
        <f>Debt_Qtr!AE64</f>
        <v>247</v>
      </c>
      <c r="W64" s="38">
        <f>Debt_Qtr!AJ64</f>
        <v>134</v>
      </c>
      <c r="X64" s="38">
        <f>Debt_Qtr!AO64</f>
        <v>625</v>
      </c>
      <c r="Y64" s="38">
        <f>Debt_Qtr!AT64</f>
        <v>189</v>
      </c>
      <c r="Z64" s="38">
        <f>Debt_Qtr!AY64</f>
        <v>183</v>
      </c>
      <c r="AA64" s="38">
        <f>Debt_Qtr!BD64</f>
        <v>204</v>
      </c>
      <c r="AB64" s="38">
        <f>Debt_Qtr!BI64</f>
        <v>229</v>
      </c>
      <c r="AC64" s="43">
        <f>AB64</f>
        <v>229</v>
      </c>
      <c r="AD64" s="43">
        <f>AC64</f>
        <v>229</v>
      </c>
      <c r="AE64" s="43">
        <f>AD64</f>
        <v>229</v>
      </c>
      <c r="AF64" s="43">
        <f>AE64</f>
        <v>229</v>
      </c>
    </row>
    <row r="65" spans="1:32" s="25" customFormat="1">
      <c r="A65" s="11" t="str">
        <f>Debt_Qtr!A65</f>
        <v>Long-Term Debt, Net</v>
      </c>
      <c r="B65" s="97"/>
      <c r="C65" s="97"/>
      <c r="D65" s="97"/>
      <c r="E65" s="97"/>
      <c r="F65" s="97"/>
      <c r="G65" s="97"/>
      <c r="H65" s="97"/>
      <c r="I65" s="97"/>
      <c r="J65" s="97"/>
      <c r="K65" s="97"/>
      <c r="L65" s="97"/>
      <c r="M65" s="97"/>
      <c r="N65" s="97"/>
      <c r="O65" s="97"/>
      <c r="P65" s="97"/>
      <c r="Q65" s="97"/>
      <c r="R65" s="97"/>
      <c r="S65" s="97"/>
      <c r="T65" s="97"/>
      <c r="U65" s="97"/>
      <c r="V65" s="97">
        <f t="shared" ref="V65:X65" si="25">+V62-V63-V64</f>
        <v>31026</v>
      </c>
      <c r="W65" s="97">
        <f t="shared" si="25"/>
        <v>31327</v>
      </c>
      <c r="X65" s="97">
        <f t="shared" si="25"/>
        <v>30694</v>
      </c>
      <c r="Y65" s="97">
        <f t="shared" ref="Y65:Z65" si="26">+Y62-Y63-Y64</f>
        <v>42355</v>
      </c>
      <c r="Z65" s="97">
        <f t="shared" si="26"/>
        <v>38726</v>
      </c>
      <c r="AA65" s="97">
        <f t="shared" ref="AA65:AB65" si="27">+AA62-AA63-AA64</f>
        <v>34288</v>
      </c>
      <c r="AB65" s="97">
        <f t="shared" si="27"/>
        <v>28989</v>
      </c>
      <c r="AC65" s="97">
        <f t="shared" ref="AC65" si="28">+AC62-AC63-AC64</f>
        <v>32466</v>
      </c>
      <c r="AD65" s="97">
        <f t="shared" ref="AD65:AE65" si="29">+AD62-AD63-AD64</f>
        <v>32466</v>
      </c>
      <c r="AE65" s="97">
        <f t="shared" si="29"/>
        <v>32466</v>
      </c>
      <c r="AF65" s="97">
        <f t="shared" ref="AF65" si="30">+AF62-AF63-AF64</f>
        <v>32466</v>
      </c>
    </row>
    <row r="66" spans="1:32" s="25" customFormat="1">
      <c r="A66" s="11"/>
      <c r="B66" s="97"/>
      <c r="C66" s="97"/>
      <c r="D66" s="97"/>
      <c r="E66" s="97"/>
      <c r="F66" s="97"/>
      <c r="G66" s="97"/>
      <c r="H66" s="97"/>
      <c r="I66" s="97"/>
      <c r="J66" s="97"/>
      <c r="K66" s="97"/>
      <c r="L66" s="97"/>
      <c r="M66" s="97"/>
      <c r="N66" s="97"/>
      <c r="O66" s="97"/>
      <c r="P66" s="97"/>
      <c r="Q66" s="97"/>
      <c r="R66" s="97"/>
      <c r="S66" s="97"/>
      <c r="T66" s="97"/>
      <c r="U66" s="97"/>
      <c r="V66" s="97"/>
      <c r="W66" s="97"/>
      <c r="X66" s="97"/>
      <c r="Y66" s="97"/>
      <c r="Z66" s="97"/>
      <c r="AA66" s="97"/>
      <c r="AB66" s="97"/>
      <c r="AC66" s="97"/>
      <c r="AD66" s="97"/>
      <c r="AE66" s="97"/>
      <c r="AF66" s="97"/>
    </row>
    <row r="67" spans="1:32" s="25" customFormat="1">
      <c r="A67" s="11" t="str">
        <f>Debt_Qtr!A67</f>
        <v>Issuance of New Debt</v>
      </c>
      <c r="B67" s="111"/>
      <c r="C67" s="111"/>
      <c r="D67" s="111"/>
      <c r="E67" s="111"/>
      <c r="F67" s="111"/>
      <c r="G67" s="111"/>
      <c r="H67" s="111"/>
      <c r="I67" s="111"/>
      <c r="J67" s="111"/>
      <c r="K67" s="111"/>
      <c r="L67" s="111"/>
      <c r="M67" s="111"/>
      <c r="N67" s="111"/>
      <c r="O67" s="111"/>
      <c r="P67" s="111"/>
      <c r="Q67" s="111"/>
      <c r="R67" s="111"/>
      <c r="S67" s="183"/>
      <c r="T67" s="183"/>
      <c r="U67" s="183"/>
      <c r="V67" s="183">
        <f>Debt_Qtr!AE67</f>
        <v>31769</v>
      </c>
      <c r="W67" s="183">
        <f>Debt_Qtr!AJ67</f>
        <v>4104</v>
      </c>
      <c r="X67" s="40">
        <f t="shared" ref="X67" si="31">IF(X4-W4&gt;0,X4-W4,0)+IF(X5-W5&gt;0,X5-W5,0)+IF(X6-W6&gt;0,X6-W6,0)+IF(X7-W7&gt;0,X7-W7,0)+IF(X8-W8&gt;0,X8-W8,0)+IF(X9-W9&gt;0,X9-W9,0)+IF(X10-W10&gt;0,X10-W10,0)+IF(X11-W11&gt;0,X11-W11,0)+IF(X12-W12&gt;0,X12-W12,0)+IF(X14-W14&gt;0,X14-W14,0)+IF(X15-W15&gt;0,X15-W15,0)+IF(X19-W19&gt;0,X19-W19,0)+IF(X20-W20&gt;0,X20-W20,0)+IF(X21-W21&gt;0,X21-W21,0)+IF(X22-W22&gt;0,X22-W22,0)+IF(X23-W23&gt;0,X23-W23,0)+IF(X24-W24&gt;0,X24-W24,0)+IF(X25-W25&gt;0,X25-W25,0)+IF(X27-W27&gt;0,X27-W27,0)+IF(X28-W28&gt;0,X28-W28,0)+IF(X29-W29&gt;0,X29-W29,0)+IF(X35-W35&gt;0,X35-W35,0)+IF(X36-W36&gt;0,X36-W36,0)+IF(X37-W37&gt;0,X37-W37,0)+IF(X38-W38&gt;0,X38-W38,0)+IF(X39-W39&gt;0,X39-W39,0)+IF(X40-W40&gt;0,X40-W40,0)+IF(X41-W41&gt;0,X41-W41,0)+IF(X42-W42&gt;0,X42-W42,0)+IF(X43-W43&gt;0,X43-W43,0)+IF(X44-W44&gt;0,X44-W44,0)+IF(X45-W45&gt;0,X45-W45,0)+IF(X46-W46&gt;0,X46-W46,0)+IF(X47-W47&gt;0,X47-W47,0)+IF(X48-W48&gt;0,X48-W48,0)+IF(X49-W49&gt;0,X49-W49,0)+IF(X50-W50&gt;0,X50-W50,0)+IF(X51-W51&gt;0,X51-W51,0)+IF(X52-W52&gt;0,X52-W52,0)+IF(X57-W57&gt;0,X57-W57,0)+IF(X58-W58&gt;0,X58-W58,0)+IF(X59-W59&gt;0,X59-W59,0)+IF(X60-W60&gt;0,X60-W60,0)+IF(X31-W31&gt;0,X31-W31,0)+IF(X53-W53&gt;0,X53-W53,0)</f>
        <v>0</v>
      </c>
      <c r="Y67" s="40">
        <f t="shared" ref="Y67:AF67" si="32">IF(Y4-X4&gt;0,Y4-X4,0)+IF(Y5-X5&gt;0,Y5-X5,0)+IF(Y6-X6&gt;0,Y6-X6,0)+IF(Y7-X7&gt;0,Y7-X7,0)+IF(Y8-X8&gt;0,Y8-X8,0)+IF(Y9-X9&gt;0,Y9-X9,0)+IF(Y10-X10&gt;0,Y10-X10,0)+IF(Y11-X11&gt;0,Y11-X11,0)+IF(Y12-X12&gt;0,Y12-X12,0)++IF(Y13-X13&gt;0,Y13-X13,0)+IF(Y14-X14&gt;0,Y14-X14,0)+IF(Y15-X15&gt;0,Y15-X15,0)++IF(Y16-X16&gt;0,Y16-X16,0)+IF(Y17-X17&gt;0,Y17-X17,0)+IF(Y18-X18&gt;0,Y18-X18,0)+IF(Y19-X19&gt;0,Y19-X19,0)+IF(Y20-X20&gt;0,Y20-X20,0)+IF(Y21-X21&gt;0,Y21-X21,0)+IF(Y22-X22&gt;0,Y22-X22,0)+IF(Y23-X23&gt;0,Y23-X23,0)+IF(Y24-X24&gt;0,Y24-X24,0)+IF(Y25-X25&gt;0,Y25-X25,0)+IF(Y26-X26&gt;0,Y240-X26,0)+IF(Y27-X27&gt;0,Y27-X27,0)+IF(Y28-X28&gt;0,Y28-X28,0)+IF(Y29-X29&gt;0,Y29-X29,0)+IF(Y30-X30&gt;0,Y30-X30,0)+IF(Y32-X32&gt;0,Y32-X32,0)+IF(Y33-X33&gt;0,Y33-X33,0)+IF(Y34-X34&gt;0,Y34-X34,0)+IF(Y35-X35&gt;0,Y35-X35,0)+IF(Y36-X36&gt;0,Y36-X36,0)+IF(Y37-X37&gt;0,Y37-X37,0)+IF(Y38-X38&gt;0,Y38-X38,0)+IF(Y39-X39&gt;0,Y39-X39,0)+IF(Y40-X40&gt;0,Y40-X40,0)+IF(Y41-X41&gt;0,Y41-X41,0)+IF(Y42-X42&gt;0,Y42-X42,0)+IF(Y43-X43&gt;0,Y43-X43,0)+IF(Y44-X44&gt;0,Y44-X44,0)+IF(Y45-X45&gt;0,Y45-X45,0)+IF(Y46-X46&gt;0,Y46-X46,0)+IF(Y47-X47&gt;0,Y47-X47,0)+IF(Y48-X48&gt;0,Y48-X48,0)+IF(Y49-X49&gt;0,Y49-X49,0)+IF(Y50-X50&gt;0,Y50-X50,0)+IF(Y51-X51&gt;0,Y51-X51,0)+IF(Y52-X52&gt;0,Y52-X52,0)+IF(Y54-X54&gt;0,Y54-X54,0)+IF(Y55-X55&gt;0,Y55-X55,0)+IF(Y56-X56&gt;0,Y56-X56,0)+IF(Y57-X57&gt;0,Y57-X57,0)+IF(Y58-X58&gt;0,Y58-X58,0)+IF(Y59-X59&gt;0,Y59-X59,0)+IF(Y60-X60&gt;0,Y60-X60,0)+IF(Y31-X31&gt;0,Y31-X31,0)+IF(Y53-X53&gt;0,Y53-X53,0)</f>
        <v>12519</v>
      </c>
      <c r="Z67" s="40">
        <f t="shared" si="32"/>
        <v>0</v>
      </c>
      <c r="AA67" s="40">
        <f t="shared" si="32"/>
        <v>67</v>
      </c>
      <c r="AB67" s="40">
        <f t="shared" si="32"/>
        <v>0</v>
      </c>
      <c r="AC67" s="40">
        <f t="shared" si="32"/>
        <v>0</v>
      </c>
      <c r="AD67" s="40">
        <f t="shared" si="32"/>
        <v>0</v>
      </c>
      <c r="AE67" s="40">
        <f t="shared" si="32"/>
        <v>0</v>
      </c>
      <c r="AF67" s="40">
        <f t="shared" si="32"/>
        <v>0</v>
      </c>
    </row>
    <row r="68" spans="1:32" s="25" customFormat="1">
      <c r="A68" s="11" t="str">
        <f>Debt_Qtr!A68</f>
        <v>Repayment of Debt</v>
      </c>
      <c r="B68" s="111"/>
      <c r="C68" s="111"/>
      <c r="D68" s="111"/>
      <c r="E68" s="111"/>
      <c r="F68" s="111"/>
      <c r="G68" s="111"/>
      <c r="H68" s="111"/>
      <c r="I68" s="111"/>
      <c r="J68" s="111"/>
      <c r="K68" s="111"/>
      <c r="L68" s="111"/>
      <c r="M68" s="111"/>
      <c r="N68" s="111"/>
      <c r="O68" s="111"/>
      <c r="P68" s="111"/>
      <c r="Q68" s="111"/>
      <c r="R68" s="111"/>
      <c r="S68" s="183"/>
      <c r="T68" s="183"/>
      <c r="U68" s="183"/>
      <c r="V68" s="183">
        <f>Debt_Qtr!AE68</f>
        <v>0</v>
      </c>
      <c r="W68" s="183">
        <f>Debt_Qtr!AJ68</f>
        <v>-4573</v>
      </c>
      <c r="X68" s="40">
        <f t="shared" ref="X68" si="33">IF(X4-W4&lt;0,X4-W4,0)+IF(X5-W5&lt;0,X5-W5,0)+IF(X6-W6&lt;0,X6-W6,0)+IF(X7-W7&lt;0,X7-W7,0)+IF(X8-W8&lt;0,X8-W8,0)+IF(X9-W9&lt;0,X9-W9,0)+IF(X10-W10&lt;0,X10-W10,0)+IF(X11-W11&lt;0,X11-W11,0)+IF(X12-W12&lt;0,X12-W12,0)+IF(X14-W14&lt;0,X14-W14,0)+IF(X15-W15&lt;0,X15-W15,0)+IF(X19-W19&lt;0,X19-W19,0)+IF(X20-W20&lt;0,X20-W20,0)+IF(X21-W21&lt;0,X21-W21,0)+IF(X22-W22&lt;0,X22-W22,0)+IF(X23-W23&lt;0,X23-W23,0)+IF(X24-W24&lt;0,X24-W24,0)+IF(X25-W25&lt;0,X25-W25,0)+IF(X27-W27&lt;0,X27-W27,0)+IF(X28-W28&lt;0,X28-W28,0)+IF(X29-W29&lt;0,X29-W29,0)+IF(X35-W35&lt;0,X35-W35,0)+IF(X36-W36&lt;0,X36-W36,0)+IF(X37-W37&lt;0,X37-W37,0)+IF(X38-W38&lt;0,X38-W38,0)+IF(X39-W39&lt;0,X39-W39,0)+IF(X40-W40&lt;0,X40-W40,0)+IF(X41-W41&lt;0,X41-W41,0)+IF(X42-W42&lt;0,X42-W42,0)+IF(X43-W43&lt;0,X43-W43,0)+IF(X44-W44&lt;0,X44-W44,0)+IF(X45-W45&lt;0,X45-W45,0)+IF(X46-W46&lt;0,X46-W46,0)+IF(X47-W47&lt;0,X47-W47,0)+IF(X48-W48&lt;0,X48-W48,0)+IF(X49-W49&lt;0,X49-W49,0)+IF(X50-W50&lt;0,X50-W50,0)+IF(X51-W51&lt;0,X51-W51,0)+IF(X52-W52&lt;0,X52-W52,0)+IF(X57-W57&lt;0,X57-W57,0)+IF(X58-W58&lt;0,X58-W58,0)+IF(X59-W59&lt;0,X59-W59,0)+IF(X60-W60&lt;0,X60-W60,0)+IF(X31-W31&lt;0,X31-W31,0)+IF(X53-W53&lt;0,X53-W53,0)</f>
        <v>-51</v>
      </c>
      <c r="Y68" s="40" cm="1">
        <f t="array" ref="Y68">IF(Y4-X4&lt;0,Y4-X4,0)+IF(Y5-X5&lt;0,Y5-X5,0)+IF(Y6-X6&lt;0,Y6-X6,0)+IF(Y7-X7&lt;0,Y7-X7,0)+IF(Y8-X8&lt;0,Y8-X8,0)+IF(Y9-X9&lt;0,Y9-X9,0)+IF(Y10-X10&lt;0,Y10-X10,0)+IF(Y11-X11&lt;0,Y11-X11,0)+IF(Y12-X12&lt;0,Y12-X12,0)+IF(Y13-X13&lt;0,Y13-X13,0)+IF(Y14-X14&lt;0,Y14-X14,0)+IF(Y15-X15&lt;0,Y15-X15,0)+IF(Y16-X16&lt;0,Y16-X16,0)+IF(Y17-X17&lt;0,Y17-X17,0)+IF(Y18-X18&lt;0,Y18-X18,0)+IF(Y19-X19&lt;0,Y19-X19,0)+IF(Y20-X20&lt;0,Y20-X20,0)+IF(Y21-X21&lt;0,Y21-X21,0)+IF(Y22-X22&lt;0,Y22-X22,0)+IF(Y23-X23&lt;0,Y23-X23,0)+IF(Y24-X24&lt;0,Y24-X24,0)+IF(Y25-X25&lt;0,Y25-X25,0)+IF(Y26-X26&lt;0,Y26-X26,0)+IF(Y27-X27&lt;0,Y27-X27,0)+IF(Y28-X28&lt;0,Y28-X28,0)+IF(Y29-X29&lt;0,Y29-X29,0)+IF(Y30-X30&lt;0,Y30-X30,0)+IF(Y32-X32&lt;0,Y32-X32,0)+IF(Y33-X33&lt;0,Y33-X33,0)+IF(Y34-X34&lt;0,Y34-X34,0)+IF(Y35-X35&lt;0,Y35-X35,0)+IF(Y36-X36&lt;0,Y36-X36,0)+IF(Y37-X37&lt;0,Y37-X37,0)+IF(Y38-X38&lt;0,Y38-X38,0)+IF(Y39-X39&lt;0,Y39-X39,0)+IF(Y40-X40&lt;0,Y40-X40,0)+IF(Y41-X41&lt;0,Y41-X41,0)+IF(Y42-X42&lt;0,Y42-X42,0)+IF(Y43-X43&lt;0,Y43-X43,0)+IF(Y44-X44&lt;0,Y44-X44,0)+IF(Y45-X45&lt;0,Y45-X45,0)+IF(Y46-X46&lt;0,Y46-X46,0)+IF(Y47-X47&lt;0,Y47-X47,0)+IF(Y48-X48&lt;0,Y48-X48,0)+IF(Y49-X49&lt;0,Y49-X49,0)+IF(Y50-X50&lt;0,Y50-X50,0)+IF(Y51-X51&lt;0,Y51-X51,0)+IF(Y52-X52&lt;0,Y52-X52,0)+IF(Y54-X54&lt;0,A5S4-X54,0)+IF(Y55-X55&lt;0,Y55-X55,0)+IF(Y56-X56&lt;0,Y56-X56,0)+IF(Y57-X57&lt;0,Y57-X57,0)+IF(Y58-X58&lt;0,Y58-X58,0)+IF(Y59-X59&lt;0,Y59-X59,0)+IF(Y60-X60&lt;0,Y60-X60,0)+IF(Y31-X31&lt;0,Y31-X31,0)+IF(Y53-X53&lt;0,Y53-X53,0)</f>
        <v>-571</v>
      </c>
      <c r="Z68" s="40" cm="1">
        <f t="array" ref="Z68">IF(Z4-Y4&lt;0,Z4-Y4,0)+IF(Z5-Y5&lt;0,Z5-Y5,0)+IF(Z6-Y6&lt;0,Z6-Y6,0)+IF(Z7-Y7&lt;0,Z7-Y7,0)+IF(Z8-Y8&lt;0,Z8-Y8,0)+IF(Z9-Y9&lt;0,Z9-Y9,0)+IF(Z10-Y10&lt;0,Z10-Y10,0)+IF(Z11-Y11&lt;0,Z11-Y11,0)+IF(Z12-Y12&lt;0,Z12-Y12,0)+IF(Z13-Y13&lt;0,Z13-Y13,0)+IF(Z14-Y14&lt;0,Z14-Y14,0)+IF(Z15-Y15&lt;0,Z15-Y15,0)+IF(Z16-Y16&lt;0,Z16-Y16,0)+IF(Z17-Y17&lt;0,Z17-Y17,0)+IF(Z18-Y18&lt;0,Z18-Y18,0)+IF(Z19-Y19&lt;0,Z19-Y19,0)+IF(Z20-Y20&lt;0,Z20-Y20,0)+IF(Z21-Y21&lt;0,Z21-Y21,0)+IF(Z22-Y22&lt;0,Z22-Y22,0)+IF(Z23-Y23&lt;0,Z23-Y23,0)+IF(Z24-Y24&lt;0,Z24-Y24,0)+IF(Z25-Y25&lt;0,Z25-Y25,0)+IF(Z26-Y26&lt;0,Z26-Y26,0)+IF(Z27-Y27&lt;0,Z27-Y27,0)+IF(Z28-Y28&lt;0,Z28-Y28,0)+IF(Z29-Y29&lt;0,Z29-Y29,0)+IF(Z30-Y30&lt;0,Z30-Y30,0)+IF(Z32-Y32&lt;0,Z32-Y32,0)+IF(Z33-Y33&lt;0,Z33-Y33,0)+IF(Z34-Y34&lt;0,Z34-Y34,0)+IF(Z35-Y35&lt;0,Z35-Y35,0)+IF(Z36-Y36&lt;0,Z36-Y36,0)+IF(Z37-Y37&lt;0,Z37-Y37,0)+IF(Z38-Y38&lt;0,Z38-Y38,0)+IF(Z39-Y39&lt;0,Z39-Y39,0)+IF(Z40-Y40&lt;0,Z40-Y40,0)+IF(Z41-Y41&lt;0,Z41-Y41,0)+IF(Z42-Y42&lt;0,Z42-Y42,0)+IF(Z43-Y43&lt;0,Z43-Y43,0)+IF(Z44-Y44&lt;0,Z44-Y44,0)+IF(Z45-Y45&lt;0,Z45-Y45,0)+IF(Z46-Y46&lt;0,Z46-Y46,0)+IF(Z47-Y47&lt;0,Z47-Y47,0)+IF(Z48-Y48&lt;0,Z48-Y48,0)+IF(Z49-Y49&lt;0,Z49-Y49,0)+IF(Z50-Y50&lt;0,Z50-Y50,0)+IF(Z51-Y51&lt;0,Z51-Y51,0)+IF(Z52-Y52&lt;0,Z52-Y52,0)+IF(Z54-Y54&lt;0,A5S4-Y54,0)+IF(Z55-Y55&lt;0,Z55-Y55,0)+IF(Z56-Y56&lt;0,Z56-Y56,0)+IF(Z57-Y57&lt;0,Z57-Y57,0)+IF(Z58-Y58&lt;0,Z58-Y58,0)+IF(Z59-Y59&lt;0,Z59-Y59,0)+IF(Z60-Y60&lt;0,Z60-Y60,0)+IF(Z31-Y31&lt;0,Z31-Y31,0)+IF(Z53-Y53&lt;0,Z53-Y53,0)</f>
        <v>-2551</v>
      </c>
      <c r="AA68" s="40" cm="1">
        <f t="array" ref="AA68">IF(AA4-Z4&lt;0,AA4-Z4,0)+IF(AA5-Z5&lt;0,AA5-Z5,0)+IF(AA6-Z6&lt;0,AA6-Z6,0)+IF(AA7-Z7&lt;0,AA7-Z7,0)+IF(AA8-Z8&lt;0,AA8-Z8,0)+IF(AA9-Z9&lt;0,AA9-Z9,0)+IF(AA10-Z10&lt;0,AA10-Z10,0)+IF(AA11-Z11&lt;0,AA11-Z11,0)+IF(AA12-Z12&lt;0,AA12-Z12,0)+IF(AA13-Z13&lt;0,AA13-Z13,0)+IF(AA14-Z14&lt;0,AA14-Z14,0)+IF(AA15-Z15&lt;0,AA15-Z15,0)+IF(AA16-Z16&lt;0,AA16-Z16,0)+IF(AA17-Z17&lt;0,AA17-Z17,0)+IF(AA18-Z18&lt;0,AA18-Z18,0)+IF(AA19-Z19&lt;0,AA19-Z19,0)+IF(AA20-Z20&lt;0,AA20-Z20,0)+IF(AA21-Z21&lt;0,AA21-Z21,0)+IF(AA22-Z22&lt;0,AA22-Z22,0)+IF(AA23-Z23&lt;0,AA23-Z23,0)+IF(AA24-Z24&lt;0,AA24-Z24,0)+IF(AA25-Z25&lt;0,AA25-Z25,0)+IF(AA26-Z26&lt;0,AA26-Z26,0)+IF(AA27-Z27&lt;0,AA27-Z27,0)+IF(AA28-Z28&lt;0,AA28-Z28,0)+IF(AA29-Z29&lt;0,AA29-Z29,0)+IF(AA30-Z30&lt;0,AA30-Z30,0)+IF(AA32-Z32&lt;0,AA32-Z32,0)+IF(AA33-Z33&lt;0,AA33-Z33,0)+IF(AA34-Z34&lt;0,AA34-Z34,0)+IF(AA35-Z35&lt;0,AA35-Z35,0)+IF(AA36-Z36&lt;0,AA36-Z36,0)+IF(AA37-Z37&lt;0,AA37-Z37,0)+IF(AA38-Z38&lt;0,AA38-Z38,0)+IF(AA39-Z39&lt;0,AA39-Z39,0)+IF(AA40-Z40&lt;0,AA40-Z40,0)+IF(AA41-Z41&lt;0,AA41-Z41,0)+IF(AA42-Z42&lt;0,AA42-Z42,0)+IF(AA43-Z43&lt;0,AA43-Z43,0)+IF(AA44-Z44&lt;0,AA44-Z44,0)+IF(AA45-Z45&lt;0,AA45-Z45,0)+IF(AA46-Z46&lt;0,AA46-Z46,0)+IF(AA47-Z47&lt;0,AA47-Z47,0)+IF(AA48-Z48&lt;0,AA48-Z48,0)+IF(AA49-Z49&lt;0,AA49-Z49,0)+IF(AA50-Z50&lt;0,AA50-Z50,0)+IF(AA51-Z51&lt;0,AA51-Z51,0)+IF(AA52-Z52&lt;0,AA52-Z52,0)+IF(AA54-Z54&lt;0,A5S4-Z54,0)+IF(AA55-Z55&lt;0,AA55-Z55,0)+IF(AA56-Z56&lt;0,AA56-Z56,0)+IF(AA57-Z57&lt;0,AA57-Z57,0)+IF(AA58-Z58&lt;0,AA58-Z58,0)+IF(AA59-Z59&lt;0,AA59-Z59,0)+IF(AA60-Z60&lt;0,AA60-Z60,0)+IF(AA31-Z31&lt;0,AA31-Z31,0)+IF(AA53-Z53&lt;0,AA53-Z53,0)</f>
        <v>-3436</v>
      </c>
      <c r="AB68" s="40" cm="1">
        <f t="array" ref="AB68">IF(AB4-AA4&lt;0,AB4-AA4,0)+IF(AB5-AA5&lt;0,AB5-AA5,0)+IF(AB6-AA6&lt;0,AB6-AA6,0)+IF(AB7-AA7&lt;0,AB7-AA7,0)+IF(AB8-AA8&lt;0,AB8-AA8,0)+IF(AB9-AA9&lt;0,AB9-AA9,0)+IF(AB10-AA10&lt;0,AB10-AA10,0)+IF(AB11-AA11&lt;0,AB11-AA11,0)+IF(AB12-AA12&lt;0,AB12-AA12,0)+IF(AB13-AA13&lt;0,AB13-AA13,0)+IF(AB14-AA14&lt;0,AB14-AA14,0)+IF(AB15-AA15&lt;0,AB15-AA15,0)+IF(AB16-AA16&lt;0,AB16-AA16,0)+IF(AB17-AA17&lt;0,AB17-AA17,0)+IF(AB18-AA18&lt;0,AB18-AA18,0)+IF(AB19-AA19&lt;0,AB19-AA19,0)+IF(AB20-AA20&lt;0,AB20-AA20,0)+IF(AB21-AA21&lt;0,AB21-AA21,0)+IF(AB22-AA22&lt;0,AB22-AA22,0)+IF(AB23-AA23&lt;0,AB23-AA23,0)+IF(AB24-AA24&lt;0,AB24-AA24,0)+IF(AB25-AA25&lt;0,AB25-AA25,0)+IF(AB26-AA26&lt;0,AB26-AA26,0)+IF(AB27-AA27&lt;0,AB27-AA27,0)+IF(AB28-AA28&lt;0,AB28-AA28,0)+IF(AB29-AA29&lt;0,AB29-AA29,0)+IF(AB30-AA30&lt;0,AB30-AA30,0)+IF(AB32-AA32&lt;0,AB32-AA32,0)+IF(AB33-AA33&lt;0,AB33-AA33,0)+IF(AB34-AA34&lt;0,AB34-AA34,0)+IF(AB35-AA35&lt;0,AB35-AA35,0)+IF(AB36-AA36&lt;0,AB36-AA36,0)+IF(AB37-AA37&lt;0,AB37-AA37,0)+IF(AB38-AA38&lt;0,AB38-AA38,0)+IF(AB39-AA39&lt;0,AB39-AA39,0)+IF(AB40-AA40&lt;0,AB40-AA40,0)+IF(AB41-AA41&lt;0,AB41-AA41,0)+IF(AB42-AA42&lt;0,AB42-AA42,0)+IF(AB43-AA43&lt;0,AB43-AA43,0)+IF(AB44-AA44&lt;0,AB44-AA44,0)+IF(AB45-AA45&lt;0,AB45-AA45,0)+IF(AB46-AA46&lt;0,AB46-AA46,0)+IF(AB47-AA47&lt;0,AB47-AA47,0)+IF(AB48-AA48&lt;0,AB48-AA48,0)+IF(AB49-AA49&lt;0,AB49-AA49,0)+IF(AB50-AA50&lt;0,AB50-AA50,0)+IF(AB51-AA51&lt;0,AB51-AA51,0)+IF(AB52-AA52&lt;0,AB52-AA52,0)+IF(AB54-AA54&lt;0,A5S4-AA54,0)+IF(AB55-AA55&lt;0,AB55-AA55,0)+IF(AB56-AA56&lt;0,AB56-AA56,0)+IF(AB57-AA57&lt;0,AB57-AA57,0)+IF(AB58-AA58&lt;0,AB58-AA58,0)+IF(AB59-AA59&lt;0,AB59-AA59,0)+IF(AB60-AA60&lt;0,AB60-AA60,0)+IF(AB31-AA31&lt;0,AB31-AA31,0)+IF(AB53-AA53&lt;0,AB53-AA53,0)</f>
        <v>-3410</v>
      </c>
      <c r="AC68" s="40" cm="1">
        <f t="array" ref="AC68">IF(AC4-AB4&lt;0,AC4-AB4,0)+IF(AC5-AB5&lt;0,AC5-AB5,0)+IF(AC6-AB6&lt;0,AC6-AB6,0)+IF(AC7-AB7&lt;0,AC7-AB7,0)+IF(AC8-AB8&lt;0,AC8-AB8,0)+IF(AC9-AB9&lt;0,AC9-AB9,0)+IF(AC10-AB10&lt;0,AC10-AB10,0)+IF(AC11-AB11&lt;0,AC11-AB11,0)+IF(AC12-AB12&lt;0,AC12-AB12,0)+IF(AC13-AB13&lt;0,AC13-AB13,0)+IF(AC14-AB14&lt;0,AC14-AB14,0)+IF(AC15-AB15&lt;0,AC15-AB15,0)+IF(AC16-AB16&lt;0,AC16-AB16,0)+IF(AC17-AB17&lt;0,AC17-AB17,0)+IF(AC18-AB18&lt;0,AC18-AB18,0)+IF(AC19-AB19&lt;0,AC19-AB19,0)+IF(AC20-AB20&lt;0,AC20-AB20,0)+IF(AC21-AB21&lt;0,AC21-AB21,0)+IF(AC22-AB22&lt;0,AC22-AB22,0)+IF(AC23-AB23&lt;0,AC23-AB23,0)+IF(AC24-AB24&lt;0,AC24-AB24,0)+IF(AC25-AB25&lt;0,AC25-AB25,0)+IF(AC26-AB26&lt;0,AC26-AB26,0)+IF(AC27-AB27&lt;0,AC27-AB27,0)+IF(AC28-AB28&lt;0,AC28-AB28,0)+IF(AC29-AB29&lt;0,AC29-AB29,0)+IF(AC30-AB30&lt;0,AC30-AB30,0)+IF(AC32-AB32&lt;0,AC32-AB32,0)+IF(AC33-AB33&lt;0,AC33-AB33,0)+IF(AC34-AB34&lt;0,AC34-AB34,0)+IF(AC35-AB35&lt;0,AC35-AB35,0)+IF(AC36-AB36&lt;0,AC36-AB36,0)+IF(AC37-AB37&lt;0,AC37-AB37,0)+IF(AC38-AB38&lt;0,AC38-AB38,0)+IF(AC39-AB39&lt;0,AC39-AB39,0)+IF(AC40-AB40&lt;0,AC40-AB40,0)+IF(AC41-AB41&lt;0,AC41-AB41,0)+IF(AC42-AB42&lt;0,AC42-AB42,0)+IF(AC43-AB43&lt;0,AC43-AB43,0)+IF(AC44-AB44&lt;0,AC44-AB44,0)+IF(AC45-AB45&lt;0,AC45-AB45,0)+IF(AC46-AB46&lt;0,AC46-AB46,0)+IF(AC47-AB47&lt;0,AC47-AB47,0)+IF(AC48-AB48&lt;0,AC48-AB48,0)+IF(AC49-AB49&lt;0,AC49-AB49,0)+IF(AC50-AB50&lt;0,AC50-AB50,0)+IF(AC51-AB51&lt;0,AC51-AB51,0)+IF(AC52-AB52&lt;0,AC52-AB52,0)+IF(AC54-AB54&lt;0,A5S4-AB54,0)+IF(AC55-AB55&lt;0,AC55-AB55,0)+IF(AC56-AB56&lt;0,AC56-AB56,0)+IF(AC57-AB57&lt;0,AC57-AB57,0)+IF(AC58-AB58&lt;0,AC58-AB58,0)+IF(AC59-AB59&lt;0,AC59-AB59,0)+IF(AC60-AB60&lt;0,AC60-AB60,0)+IF(AC31-AB31&lt;0,AC31-AB31,0)+IF(AC53-AB53&lt;0,AC53-AB53,0)</f>
        <v>-1100</v>
      </c>
      <c r="AD68" s="40" cm="1">
        <f t="array" ref="AD68">IF(AD4-AC4&lt;0,AD4-AC4,0)+IF(AD5-AC5&lt;0,AD5-AC5,0)+IF(AD6-AC6&lt;0,AD6-AC6,0)+IF(AD7-AC7&lt;0,AD7-AC7,0)+IF(AD8-AC8&lt;0,AD8-AC8,0)+IF(AD9-AC9&lt;0,AD9-AC9,0)+IF(AD10-AC10&lt;0,AD10-AC10,0)+IF(AD11-AC11&lt;0,AD11-AC11,0)+IF(AD12-AC12&lt;0,AD12-AC12,0)+IF(AD13-AC13&lt;0,AD13-AC13,0)+IF(AD14-AC14&lt;0,AD14-AC14,0)+IF(AD15-AC15&lt;0,AD15-AC15,0)+IF(AD16-AC16&lt;0,AD16-AC16,0)+IF(AD17-AC17&lt;0,AD17-AC17,0)+IF(AD18-AC18&lt;0,AD18-AC18,0)+IF(AD19-AC19&lt;0,AD19-AC19,0)+IF(AD20-AC20&lt;0,AD20-AC20,0)+IF(AD21-AC21&lt;0,AD21-AC21,0)+IF(AD22-AC22&lt;0,AD22-AC22,0)+IF(AD23-AC23&lt;0,AD23-AC23,0)+IF(AD24-AC24&lt;0,AD24-AC24,0)+IF(AD25-AC25&lt;0,AD25-AC25,0)+IF(AD26-AC26&lt;0,AD26-AC26,0)+IF(AD27-AC27&lt;0,AD27-AC27,0)+IF(AD28-AC28&lt;0,AD28-AC28,0)+IF(AD29-AC29&lt;0,AD29-AC29,0)+IF(AD30-AC30&lt;0,AD30-AC30,0)+IF(AD32-AC32&lt;0,AD32-AC32,0)+IF(AD33-AC33&lt;0,AD33-AC33,0)+IF(AD34-AC34&lt;0,AD34-AC34,0)+IF(AD35-AC35&lt;0,AD35-AC35,0)+IF(AD36-AC36&lt;0,AD36-AC36,0)+IF(AD37-AC37&lt;0,AD37-AC37,0)+IF(AD38-AC38&lt;0,AD38-AC38,0)+IF(AD39-AC39&lt;0,AD39-AC39,0)+IF(AD40-AC40&lt;0,AD40-AC40,0)+IF(AD41-AC41&lt;0,AD41-AC41,0)+IF(AD42-AC42&lt;0,AD42-AC42,0)+IF(AD43-AC43&lt;0,AD43-AC43,0)+IF(AD44-AC44&lt;0,AD44-AC44,0)+IF(AD45-AC45&lt;0,AD45-AC45,0)+IF(AD46-AC46&lt;0,AD46-AC46,0)+IF(AD47-AC47&lt;0,AD47-AC47,0)+IF(AD48-AC48&lt;0,AD48-AC48,0)+IF(AD49-AC49&lt;0,AD49-AC49,0)+IF(AD50-AC50&lt;0,AD50-AC50,0)+IF(AD51-AC51&lt;0,AD51-AC51,0)+IF(AD52-AC52&lt;0,AD52-AC52,0)+IF(AD54-AC54&lt;0,A5S4-AC54,0)+IF(AD55-AC55&lt;0,AD55-AC55,0)+IF(AD56-AC56&lt;0,AD56-AC56,0)+IF(AD57-AC57&lt;0,AD57-AC57,0)+IF(AD58-AC58&lt;0,AD58-AC58,0)+IF(AD59-AC59&lt;0,AD59-AC59,0)+IF(AD60-AC60&lt;0,AD60-AC60,0)+IF(AD31-AC31&lt;0,AD31-AC31,0)+IF(AD53-AC53&lt;0,AD53-AC53,0)</f>
        <v>0</v>
      </c>
      <c r="AE68" s="40" cm="1">
        <f t="array" ref="AE68">IF(AE4-AD4&lt;0,AE4-AD4,0)+IF(AE5-AD5&lt;0,AE5-AD5,0)+IF(AE6-AD6&lt;0,AE6-AD6,0)+IF(AE7-AD7&lt;0,AE7-AD7,0)+IF(AE8-AD8&lt;0,AE8-AD8,0)+IF(AE9-AD9&lt;0,AE9-AD9,0)+IF(AE10-AD10&lt;0,AE10-AD10,0)+IF(AE11-AD11&lt;0,AE11-AD11,0)+IF(AE12-AD12&lt;0,AE12-AD12,0)+IF(AE13-AD13&lt;0,AE13-AD13,0)+IF(AE14-AD14&lt;0,AE14-AD14,0)+IF(AE15-AD15&lt;0,AE15-AD15,0)+IF(AE16-AD16&lt;0,AE16-AD16,0)+IF(AE17-AD17&lt;0,AE17-AD17,0)+IF(AE18-AD18&lt;0,AE18-AD18,0)+IF(AE19-AD19&lt;0,AE19-AD19,0)+IF(AE20-AD20&lt;0,AE20-AD20,0)+IF(AE21-AD21&lt;0,AE21-AD21,0)+IF(AE22-AD22&lt;0,AE22-AD22,0)+IF(AE23-AD23&lt;0,AE23-AD23,0)+IF(AE24-AD24&lt;0,AE24-AD24,0)+IF(AE25-AD25&lt;0,AE25-AD25,0)+IF(AE26-AD26&lt;0,AE26-AD26,0)+IF(AE27-AD27&lt;0,AE27-AD27,0)+IF(AE28-AD28&lt;0,AE28-AD28,0)+IF(AE29-AD29&lt;0,AE29-AD29,0)+IF(AE30-AD30&lt;0,AE30-AD30,0)+IF(AE32-AD32&lt;0,AE32-AD32,0)+IF(AE33-AD33&lt;0,AE33-AD33,0)+IF(AE34-AD34&lt;0,AE34-AD34,0)+IF(AE35-AD35&lt;0,AE35-AD35,0)+IF(AE36-AD36&lt;0,AE36-AD36,0)+IF(AE37-AD37&lt;0,AE37-AD37,0)+IF(AE38-AD38&lt;0,AE38-AD38,0)+IF(AE39-AD39&lt;0,AE39-AD39,0)+IF(AE40-AD40&lt;0,AE40-AD40,0)+IF(AE41-AD41&lt;0,AE41-AD41,0)+IF(AE42-AD42&lt;0,AE42-AD42,0)+IF(AE43-AD43&lt;0,AE43-AD43,0)+IF(AE44-AD44&lt;0,AE44-AD44,0)+IF(AE45-AD45&lt;0,AE45-AD45,0)+IF(AE46-AD46&lt;0,AE46-AD46,0)+IF(AE47-AD47&lt;0,AE47-AD47,0)+IF(AE48-AD48&lt;0,AE48-AD48,0)+IF(AE49-AD49&lt;0,AE49-AD49,0)+IF(AE50-AD50&lt;0,AE50-AD50,0)+IF(AE51-AD51&lt;0,AE51-AD51,0)+IF(AE52-AD52&lt;0,AE52-AD52,0)+IF(AE54-AD54&lt;0,A5S4-AD54,0)+IF(AE55-AD55&lt;0,AE55-AD55,0)+IF(AE56-AD56&lt;0,AE56-AD56,0)+IF(AE57-AD57&lt;0,AE57-AD57,0)+IF(AE58-AD58&lt;0,AE58-AD58,0)+IF(AE59-AD59&lt;0,AE59-AD59,0)+IF(AE60-AD60&lt;0,AE60-AD60,0)+IF(AE31-AD31&lt;0,AE31-AD31,0)+IF(AE53-AD53&lt;0,AE53-AD53,0)</f>
        <v>0</v>
      </c>
      <c r="AF68" s="40" cm="1">
        <f t="array" ref="AF68">IF(AF4-AE4&lt;0,AF4-AE4,0)+IF(AF5-AE5&lt;0,AF5-AE5,0)+IF(AF6-AE6&lt;0,AF6-AE6,0)+IF(AF7-AE7&lt;0,AF7-AE7,0)+IF(AF8-AE8&lt;0,AF8-AE8,0)+IF(AF9-AE9&lt;0,AF9-AE9,0)+IF(AF10-AE10&lt;0,AF10-AE10,0)+IF(AF11-AE11&lt;0,AF11-AE11,0)+IF(AF12-AE12&lt;0,AF12-AE12,0)+IF(AF13-AE13&lt;0,AF13-AE13,0)+IF(AF14-AE14&lt;0,AF14-AE14,0)+IF(AF15-AE15&lt;0,AF15-AE15,0)+IF(AF16-AE16&lt;0,AF16-AE16,0)+IF(AF17-AE17&lt;0,AF17-AE17,0)+IF(AF18-AE18&lt;0,AF18-AE18,0)+IF(AF19-AE19&lt;0,AF19-AE19,0)+IF(AF20-AE20&lt;0,AF20-AE20,0)+IF(AF21-AE21&lt;0,AF21-AE21,0)+IF(AF22-AE22&lt;0,AF22-AE22,0)+IF(AF23-AE23&lt;0,AF23-AE23,0)+IF(AF24-AE24&lt;0,AF24-AE24,0)+IF(AF25-AE25&lt;0,AF25-AE25,0)+IF(AF26-AE26&lt;0,AF26-AE26,0)+IF(AF27-AE27&lt;0,AF27-AE27,0)+IF(AF28-AE28&lt;0,AF28-AE28,0)+IF(AF29-AE29&lt;0,AF29-AE29,0)+IF(AF30-AE30&lt;0,AF30-AE30,0)+IF(AF32-AE32&lt;0,AF32-AE32,0)+IF(AF33-AE33&lt;0,AF33-AE33,0)+IF(AF34-AE34&lt;0,AF34-AE34,0)+IF(AF35-AE35&lt;0,AF35-AE35,0)+IF(AF36-AE36&lt;0,AF36-AE36,0)+IF(AF37-AE37&lt;0,AF37-AE37,0)+IF(AF38-AE38&lt;0,AF38-AE38,0)+IF(AF39-AE39&lt;0,AF39-AE39,0)+IF(AF40-AE40&lt;0,AF40-AE40,0)+IF(AF41-AE41&lt;0,AF41-AE41,0)+IF(AF42-AE42&lt;0,AF42-AE42,0)+IF(AF43-AE43&lt;0,AF43-AE43,0)+IF(AF44-AE44&lt;0,AF44-AE44,0)+IF(AF45-AE45&lt;0,AF45-AE45,0)+IF(AF46-AE46&lt;0,AF46-AE46,0)+IF(AF47-AE47&lt;0,AF47-AE47,0)+IF(AF48-AE48&lt;0,AF48-AE48,0)+IF(AF49-AE49&lt;0,AF49-AE49,0)+IF(AF50-AE50&lt;0,AF50-AE50,0)+IF(AF51-AE51&lt;0,AF51-AE51,0)+IF(AF52-AE52&lt;0,AF52-AE52,0)+IF(AF54-AE54&lt;0,A5S4-AE54,0)+IF(AF55-AE55&lt;0,AF55-AE55,0)+IF(AF56-AE56&lt;0,AF56-AE56,0)+IF(AF57-AE57&lt;0,AF57-AE57,0)+IF(AF58-AE58&lt;0,AF58-AE58,0)+IF(AF59-AE59&lt;0,AF59-AE59,0)+IF(AF60-AE60&lt;0,AF60-AE60,0)+IF(AF31-AE31&lt;0,AF31-AE31,0)+IF(AF53-AE53&lt;0,AF53-AE53,0)</f>
        <v>0</v>
      </c>
    </row>
    <row r="69" spans="1:32" s="25" customFormat="1">
      <c r="A69" s="11" t="str">
        <f>Debt_Qtr!A69</f>
        <v>Net New Debt/ (Repayment)</v>
      </c>
      <c r="B69" s="111"/>
      <c r="C69" s="111"/>
      <c r="D69" s="111"/>
      <c r="E69" s="111"/>
      <c r="F69" s="111"/>
      <c r="G69" s="111"/>
      <c r="H69" s="111"/>
      <c r="I69" s="111"/>
      <c r="J69" s="111"/>
      <c r="K69" s="111"/>
      <c r="L69" s="111"/>
      <c r="M69" s="111"/>
      <c r="N69" s="111"/>
      <c r="O69" s="111"/>
      <c r="P69" s="111"/>
      <c r="Q69" s="111"/>
      <c r="R69" s="111"/>
      <c r="S69" s="97"/>
      <c r="T69" s="97"/>
      <c r="U69" s="97"/>
      <c r="V69" s="97">
        <f t="shared" ref="V69:X69" si="34">V68+V67</f>
        <v>31769</v>
      </c>
      <c r="W69" s="97">
        <f t="shared" si="34"/>
        <v>-469</v>
      </c>
      <c r="X69" s="97">
        <f t="shared" si="34"/>
        <v>-51</v>
      </c>
      <c r="Y69" s="97">
        <f t="shared" ref="Y69:Z69" si="35">Y68+Y67</f>
        <v>11948</v>
      </c>
      <c r="Z69" s="97">
        <f t="shared" si="35"/>
        <v>-2551</v>
      </c>
      <c r="AA69" s="97">
        <f t="shared" ref="AA69:AB69" si="36">AA68+AA67</f>
        <v>-3369</v>
      </c>
      <c r="AB69" s="97">
        <f t="shared" si="36"/>
        <v>-3410</v>
      </c>
      <c r="AC69" s="97">
        <f t="shared" ref="AC69" si="37">AC68+AC67</f>
        <v>-1100</v>
      </c>
      <c r="AD69" s="97">
        <f t="shared" ref="AD69:AE69" si="38">AD68+AD67</f>
        <v>0</v>
      </c>
      <c r="AE69" s="97">
        <f t="shared" si="38"/>
        <v>0</v>
      </c>
      <c r="AF69" s="97">
        <f t="shared" ref="AF69" si="39">AF68+AF67</f>
        <v>0</v>
      </c>
    </row>
    <row r="70" spans="1:32" s="25" customFormat="1">
      <c r="A70" s="11"/>
      <c r="B70" s="11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row>
    <row r="71" spans="1:32" s="25" customFormat="1">
      <c r="A71" s="8" t="s">
        <v>213</v>
      </c>
      <c r="B71" s="125"/>
      <c r="C71" s="1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5"/>
      <c r="AF71" s="125"/>
    </row>
    <row r="72" spans="1:32" s="25" customFormat="1">
      <c r="A72" s="3" t="str">
        <f>Debt_Qtr!A72</f>
        <v>3.125% Notes due 2020</v>
      </c>
      <c r="B72" s="218"/>
      <c r="C72" s="218"/>
      <c r="D72" s="218"/>
      <c r="E72" s="218"/>
      <c r="F72" s="218"/>
      <c r="G72" s="218"/>
      <c r="H72" s="218"/>
      <c r="I72" s="218"/>
      <c r="J72" s="218"/>
      <c r="K72" s="218"/>
      <c r="L72" s="218"/>
      <c r="M72" s="218"/>
      <c r="N72" s="218"/>
      <c r="O72" s="218"/>
      <c r="P72" s="218"/>
      <c r="Q72" s="218"/>
      <c r="R72" s="218"/>
      <c r="S72" s="226"/>
      <c r="T72" s="226"/>
      <c r="U72" s="226"/>
      <c r="V72" s="226">
        <f>Debt_Qtr!AE72</f>
        <v>3.125E-2</v>
      </c>
      <c r="W72" s="226">
        <f>Debt_Qtr!AJ72</f>
        <v>3.125E-2</v>
      </c>
      <c r="X72" s="226">
        <f>Debt_Qtr!AO72</f>
        <v>3.125E-2</v>
      </c>
      <c r="Y72" s="226">
        <f>Debt_Qtr!AT72</f>
        <v>3.125E-2</v>
      </c>
      <c r="Z72" s="226">
        <f>Debt_Qtr!AY72</f>
        <v>3.125E-2</v>
      </c>
      <c r="AA72" s="226">
        <f>Debt_Qtr!BD72</f>
        <v>3.125E-2</v>
      </c>
      <c r="AB72" s="226">
        <f>Debt_Qtr!BI72</f>
        <v>3.125E-2</v>
      </c>
      <c r="AC72" s="218">
        <f t="shared" ref="AC72:AF110" si="40">AB72</f>
        <v>3.125E-2</v>
      </c>
      <c r="AD72" s="218">
        <f t="shared" si="40"/>
        <v>3.125E-2</v>
      </c>
      <c r="AE72" s="218">
        <f t="shared" si="40"/>
        <v>3.125E-2</v>
      </c>
      <c r="AF72" s="218">
        <f t="shared" si="40"/>
        <v>3.125E-2</v>
      </c>
    </row>
    <row r="73" spans="1:32" s="25" customFormat="1">
      <c r="A73" s="3" t="str">
        <f>Debt_Qtr!A73</f>
        <v>8.750% Notes due 2021</v>
      </c>
      <c r="B73" s="218"/>
      <c r="C73" s="218"/>
      <c r="D73" s="218"/>
      <c r="E73" s="218"/>
      <c r="F73" s="218"/>
      <c r="G73" s="218"/>
      <c r="H73" s="218"/>
      <c r="I73" s="218"/>
      <c r="J73" s="218"/>
      <c r="K73" s="218"/>
      <c r="L73" s="218"/>
      <c r="M73" s="218"/>
      <c r="N73" s="218"/>
      <c r="O73" s="218"/>
      <c r="P73" s="218"/>
      <c r="Q73" s="218"/>
      <c r="R73" s="218"/>
      <c r="S73" s="226"/>
      <c r="T73" s="226"/>
      <c r="U73" s="226"/>
      <c r="V73" s="226">
        <f>Debt_Qtr!AE73</f>
        <v>8.7499999999999994E-2</v>
      </c>
      <c r="W73" s="226">
        <f>Debt_Qtr!AJ73</f>
        <v>8.7499999999999994E-2</v>
      </c>
      <c r="X73" s="226">
        <f>Debt_Qtr!AO73</f>
        <v>8.7499999999999994E-2</v>
      </c>
      <c r="Y73" s="226">
        <f>Debt_Qtr!AT73</f>
        <v>8.7499999999999994E-2</v>
      </c>
      <c r="Z73" s="226">
        <f>Debt_Qtr!AY73</f>
        <v>8.7499999999999994E-2</v>
      </c>
      <c r="AA73" s="226">
        <f>Debt_Qtr!BD73</f>
        <v>8.7499999999999994E-2</v>
      </c>
      <c r="AB73" s="226">
        <f>Debt_Qtr!BI73</f>
        <v>8.7499999999999994E-2</v>
      </c>
      <c r="AC73" s="218">
        <f t="shared" si="40"/>
        <v>8.7499999999999994E-2</v>
      </c>
      <c r="AD73" s="218">
        <f t="shared" si="40"/>
        <v>8.7499999999999994E-2</v>
      </c>
      <c r="AE73" s="218">
        <f t="shared" si="40"/>
        <v>8.7499999999999994E-2</v>
      </c>
      <c r="AF73" s="218">
        <f t="shared" si="40"/>
        <v>8.7499999999999994E-2</v>
      </c>
    </row>
    <row r="74" spans="1:32" s="25" customFormat="1">
      <c r="A74" s="3" t="str">
        <f>Debt_Qtr!A74</f>
        <v>3.100% Notes due 2021</v>
      </c>
      <c r="B74" s="218"/>
      <c r="C74" s="218"/>
      <c r="D74" s="218"/>
      <c r="E74" s="218"/>
      <c r="F74" s="218"/>
      <c r="G74" s="218"/>
      <c r="H74" s="218"/>
      <c r="I74" s="218"/>
      <c r="J74" s="218"/>
      <c r="K74" s="218"/>
      <c r="L74" s="218"/>
      <c r="M74" s="218"/>
      <c r="N74" s="218"/>
      <c r="O74" s="218"/>
      <c r="P74" s="218"/>
      <c r="Q74" s="218"/>
      <c r="R74" s="218"/>
      <c r="S74" s="226"/>
      <c r="T74" s="226"/>
      <c r="U74" s="226"/>
      <c r="V74" s="226">
        <f>Debt_Qtr!AE74</f>
        <v>3.1E-2</v>
      </c>
      <c r="W74" s="226">
        <f>Debt_Qtr!AJ74</f>
        <v>3.1E-2</v>
      </c>
      <c r="X74" s="226">
        <f>Debt_Qtr!AO74</f>
        <v>3.1E-2</v>
      </c>
      <c r="Y74" s="226">
        <f>Debt_Qtr!AT74</f>
        <v>3.1E-2</v>
      </c>
      <c r="Z74" s="226">
        <f>Debt_Qtr!AY74</f>
        <v>3.1E-2</v>
      </c>
      <c r="AA74" s="226">
        <f>Debt_Qtr!BD74</f>
        <v>3.1E-2</v>
      </c>
      <c r="AB74" s="226">
        <f>Debt_Qtr!BI74</f>
        <v>3.1E-2</v>
      </c>
      <c r="AC74" s="218">
        <f t="shared" si="40"/>
        <v>3.1E-2</v>
      </c>
      <c r="AD74" s="218">
        <f t="shared" si="40"/>
        <v>3.1E-2</v>
      </c>
      <c r="AE74" s="218">
        <f t="shared" si="40"/>
        <v>3.1E-2</v>
      </c>
      <c r="AF74" s="218">
        <f t="shared" si="40"/>
        <v>3.1E-2</v>
      </c>
    </row>
    <row r="75" spans="1:32" s="25" customFormat="1">
      <c r="A75" s="3" t="str">
        <f>Debt_Qtr!A75</f>
        <v>2.800% Notes due 2022</v>
      </c>
      <c r="B75" s="218"/>
      <c r="C75" s="218"/>
      <c r="D75" s="218"/>
      <c r="E75" s="218"/>
      <c r="F75" s="218"/>
      <c r="G75" s="218"/>
      <c r="H75" s="218"/>
      <c r="I75" s="218"/>
      <c r="J75" s="218"/>
      <c r="K75" s="218"/>
      <c r="L75" s="218"/>
      <c r="M75" s="218"/>
      <c r="N75" s="218"/>
      <c r="O75" s="218"/>
      <c r="P75" s="218"/>
      <c r="Q75" s="218"/>
      <c r="R75" s="218"/>
      <c r="S75" s="226"/>
      <c r="T75" s="226"/>
      <c r="U75" s="226"/>
      <c r="V75" s="226">
        <f>Debt_Qtr!AE75</f>
        <v>2.8000000000000001E-2</v>
      </c>
      <c r="W75" s="226">
        <f>Debt_Qtr!AJ75</f>
        <v>2.8000000000000001E-2</v>
      </c>
      <c r="X75" s="226">
        <f>Debt_Qtr!AO75</f>
        <v>2.8000000000000001E-2</v>
      </c>
      <c r="Y75" s="226">
        <f>Debt_Qtr!AT75</f>
        <v>2.8000000000000001E-2</v>
      </c>
      <c r="Z75" s="226">
        <f>Debt_Qtr!AY75</f>
        <v>2.8000000000000001E-2</v>
      </c>
      <c r="AA75" s="226">
        <f>Debt_Qtr!BD75</f>
        <v>2.8000000000000001E-2</v>
      </c>
      <c r="AB75" s="226">
        <f>Debt_Qtr!BI75</f>
        <v>2.8000000000000001E-2</v>
      </c>
      <c r="AC75" s="218">
        <f t="shared" si="40"/>
        <v>2.8000000000000001E-2</v>
      </c>
      <c r="AD75" s="218">
        <f t="shared" si="40"/>
        <v>2.8000000000000001E-2</v>
      </c>
      <c r="AE75" s="218">
        <f t="shared" si="40"/>
        <v>2.8000000000000001E-2</v>
      </c>
      <c r="AF75" s="218">
        <f t="shared" si="40"/>
        <v>2.8000000000000001E-2</v>
      </c>
    </row>
    <row r="76" spans="1:32" s="25" customFormat="1">
      <c r="A76" s="3" t="str">
        <f>Debt_Qtr!A76</f>
        <v>2.500% Notes due 2022</v>
      </c>
      <c r="B76" s="218"/>
      <c r="C76" s="218"/>
      <c r="D76" s="218"/>
      <c r="E76" s="218"/>
      <c r="F76" s="218"/>
      <c r="G76" s="218"/>
      <c r="H76" s="218"/>
      <c r="I76" s="218"/>
      <c r="J76" s="218"/>
      <c r="K76" s="218"/>
      <c r="L76" s="218"/>
      <c r="M76" s="218"/>
      <c r="N76" s="218"/>
      <c r="O76" s="218"/>
      <c r="P76" s="218"/>
      <c r="Q76" s="218"/>
      <c r="R76" s="218"/>
      <c r="S76" s="226"/>
      <c r="T76" s="226"/>
      <c r="U76" s="226"/>
      <c r="V76" s="226">
        <f>Debt_Qtr!AE76</f>
        <v>2.5000000000000001E-2</v>
      </c>
      <c r="W76" s="226">
        <f>Debt_Qtr!AJ76</f>
        <v>2.5000000000000001E-2</v>
      </c>
      <c r="X76" s="226">
        <f>Debt_Qtr!AO76</f>
        <v>2.5000000000000001E-2</v>
      </c>
      <c r="Y76" s="226">
        <f>Debt_Qtr!AT76</f>
        <v>2.5000000000000001E-2</v>
      </c>
      <c r="Z76" s="226">
        <f>Debt_Qtr!AY76</f>
        <v>2.5000000000000001E-2</v>
      </c>
      <c r="AA76" s="226">
        <f>Debt_Qtr!BD76</f>
        <v>2.5000000000000001E-2</v>
      </c>
      <c r="AB76" s="226">
        <f>Debt_Qtr!BI76</f>
        <v>2.5000000000000001E-2</v>
      </c>
      <c r="AC76" s="218">
        <f t="shared" si="40"/>
        <v>2.5000000000000001E-2</v>
      </c>
      <c r="AD76" s="218">
        <f t="shared" si="40"/>
        <v>2.5000000000000001E-2</v>
      </c>
      <c r="AE76" s="218">
        <f t="shared" si="40"/>
        <v>2.5000000000000001E-2</v>
      </c>
      <c r="AF76" s="218">
        <f t="shared" si="40"/>
        <v>2.5000000000000001E-2</v>
      </c>
    </row>
    <row r="77" spans="1:32" s="25" customFormat="1">
      <c r="A77" s="3" t="str">
        <f>Debt_Qtr!A77</f>
        <v xml:space="preserve">3.650% Notes due 2023 </v>
      </c>
      <c r="B77" s="218"/>
      <c r="C77" s="218"/>
      <c r="D77" s="218"/>
      <c r="E77" s="218"/>
      <c r="F77" s="218"/>
      <c r="G77" s="218"/>
      <c r="H77" s="218"/>
      <c r="I77" s="218"/>
      <c r="J77" s="218"/>
      <c r="K77" s="218"/>
      <c r="L77" s="218"/>
      <c r="M77" s="218"/>
      <c r="N77" s="218"/>
      <c r="O77" s="218"/>
      <c r="P77" s="218"/>
      <c r="Q77" s="218"/>
      <c r="R77" s="218"/>
      <c r="S77" s="226"/>
      <c r="T77" s="226"/>
      <c r="U77" s="226"/>
      <c r="V77" s="226">
        <f>Debt_Qtr!AE77</f>
        <v>3.6499999999999998E-2</v>
      </c>
      <c r="W77" s="226">
        <f>Debt_Qtr!AJ77</f>
        <v>3.6499999999999998E-2</v>
      </c>
      <c r="X77" s="226">
        <f>Debt_Qtr!AO77</f>
        <v>3.6499999999999998E-2</v>
      </c>
      <c r="Y77" s="226">
        <f>Debt_Qtr!AT77</f>
        <v>3.6499999999999998E-2</v>
      </c>
      <c r="Z77" s="226">
        <f>Debt_Qtr!AY77</f>
        <v>3.6499999999999998E-2</v>
      </c>
      <c r="AA77" s="226">
        <f>Debt_Qtr!BD77</f>
        <v>3.6499999999999998E-2</v>
      </c>
      <c r="AB77" s="226">
        <f>Debt_Qtr!BI77</f>
        <v>3.6499999999999998E-2</v>
      </c>
      <c r="AC77" s="218">
        <f t="shared" si="40"/>
        <v>3.6499999999999998E-2</v>
      </c>
      <c r="AD77" s="218">
        <f t="shared" si="40"/>
        <v>3.6499999999999998E-2</v>
      </c>
      <c r="AE77" s="218">
        <f t="shared" si="40"/>
        <v>3.6499999999999998E-2</v>
      </c>
      <c r="AF77" s="218">
        <f t="shared" si="40"/>
        <v>3.6499999999999998E-2</v>
      </c>
    </row>
    <row r="78" spans="1:32" s="25" customFormat="1">
      <c r="A78" s="3" t="str">
        <f>Debt_Qtr!A78</f>
        <v xml:space="preserve">3.700% Notes due 2023 </v>
      </c>
      <c r="B78" s="218"/>
      <c r="C78" s="218"/>
      <c r="D78" s="218"/>
      <c r="E78" s="218"/>
      <c r="F78" s="218"/>
      <c r="G78" s="218"/>
      <c r="H78" s="218"/>
      <c r="I78" s="218"/>
      <c r="J78" s="218"/>
      <c r="K78" s="218"/>
      <c r="L78" s="218"/>
      <c r="M78" s="218"/>
      <c r="N78" s="218"/>
      <c r="O78" s="218"/>
      <c r="P78" s="218"/>
      <c r="Q78" s="218"/>
      <c r="R78" s="218"/>
      <c r="S78" s="226"/>
      <c r="T78" s="226"/>
      <c r="U78" s="226"/>
      <c r="V78" s="226">
        <f>Debt_Qtr!AE78</f>
        <v>3.6999999999999998E-2</v>
      </c>
      <c r="W78" s="226">
        <f>Debt_Qtr!AJ78</f>
        <v>3.6999999999999998E-2</v>
      </c>
      <c r="X78" s="226">
        <f>Debt_Qtr!AO78</f>
        <v>3.6999999999999998E-2</v>
      </c>
      <c r="Y78" s="226">
        <f>Debt_Qtr!AT78</f>
        <v>3.6999999999999998E-2</v>
      </c>
      <c r="Z78" s="226">
        <f>Debt_Qtr!AY78</f>
        <v>3.6999999999999998E-2</v>
      </c>
      <c r="AA78" s="226">
        <f>Debt_Qtr!BD78</f>
        <v>3.6999999999999998E-2</v>
      </c>
      <c r="AB78" s="226">
        <f>Debt_Qtr!BI78</f>
        <v>3.6999999999999998E-2</v>
      </c>
      <c r="AC78" s="218">
        <f t="shared" si="40"/>
        <v>3.6999999999999998E-2</v>
      </c>
      <c r="AD78" s="218">
        <f t="shared" si="40"/>
        <v>3.6999999999999998E-2</v>
      </c>
      <c r="AE78" s="218">
        <f t="shared" si="40"/>
        <v>3.6999999999999998E-2</v>
      </c>
      <c r="AF78" s="218">
        <f t="shared" si="40"/>
        <v>3.6999999999999998E-2</v>
      </c>
    </row>
    <row r="79" spans="1:32" s="25" customFormat="1">
      <c r="A79" s="3" t="str">
        <f>Debt_Qtr!A79</f>
        <v xml:space="preserve">3.200% Notes due 2024 </v>
      </c>
      <c r="B79" s="218"/>
      <c r="C79" s="218"/>
      <c r="D79" s="218"/>
      <c r="E79" s="218"/>
      <c r="F79" s="218"/>
      <c r="G79" s="218"/>
      <c r="H79" s="218"/>
      <c r="I79" s="218"/>
      <c r="J79" s="218"/>
      <c r="K79" s="218"/>
      <c r="L79" s="218"/>
      <c r="M79" s="218"/>
      <c r="N79" s="218"/>
      <c r="O79" s="218"/>
      <c r="P79" s="218"/>
      <c r="Q79" s="218"/>
      <c r="R79" s="218"/>
      <c r="S79" s="226"/>
      <c r="T79" s="226"/>
      <c r="U79" s="226"/>
      <c r="V79" s="226">
        <f>Debt_Qtr!AE79</f>
        <v>3.2000000000000001E-2</v>
      </c>
      <c r="W79" s="226">
        <f>Debt_Qtr!AJ79</f>
        <v>3.2000000000000001E-2</v>
      </c>
      <c r="X79" s="226">
        <f>Debt_Qtr!AO79</f>
        <v>3.2000000000000001E-2</v>
      </c>
      <c r="Y79" s="226">
        <f>Debt_Qtr!AT79</f>
        <v>3.2000000000000001E-2</v>
      </c>
      <c r="Z79" s="226">
        <f>Debt_Qtr!AY79</f>
        <v>3.2000000000000001E-2</v>
      </c>
      <c r="AA79" s="226">
        <f>Debt_Qtr!BD79</f>
        <v>3.2000000000000001E-2</v>
      </c>
      <c r="AB79" s="226">
        <f>Debt_Qtr!BI79</f>
        <v>3.2000000000000001E-2</v>
      </c>
      <c r="AC79" s="218">
        <f t="shared" si="40"/>
        <v>3.2000000000000001E-2</v>
      </c>
      <c r="AD79" s="218">
        <f t="shared" si="40"/>
        <v>3.2000000000000001E-2</v>
      </c>
      <c r="AE79" s="218">
        <f t="shared" si="40"/>
        <v>3.2000000000000001E-2</v>
      </c>
      <c r="AF79" s="218">
        <f t="shared" si="40"/>
        <v>3.2000000000000001E-2</v>
      </c>
    </row>
    <row r="80" spans="1:32" s="25" customFormat="1">
      <c r="A80" s="3" t="str">
        <f>Debt_Qtr!A80</f>
        <v>3.150% Notes due 2024</v>
      </c>
      <c r="B80" s="218"/>
      <c r="C80" s="218"/>
      <c r="D80" s="218"/>
      <c r="E80" s="218"/>
      <c r="F80" s="218"/>
      <c r="G80" s="218"/>
      <c r="H80" s="218"/>
      <c r="I80" s="218"/>
      <c r="J80" s="218"/>
      <c r="K80" s="218"/>
      <c r="L80" s="218"/>
      <c r="M80" s="218"/>
      <c r="N80" s="218"/>
      <c r="O80" s="218"/>
      <c r="P80" s="218"/>
      <c r="Q80" s="218"/>
      <c r="R80" s="218"/>
      <c r="S80" s="226"/>
      <c r="T80" s="226"/>
      <c r="U80" s="226"/>
      <c r="V80" s="226">
        <f>Debt_Qtr!AE80</f>
        <v>3.15E-2</v>
      </c>
      <c r="W80" s="226">
        <f>Debt_Qtr!AJ80</f>
        <v>3.15E-2</v>
      </c>
      <c r="X80" s="226">
        <f>Debt_Qtr!AO80</f>
        <v>3.15E-2</v>
      </c>
      <c r="Y80" s="226">
        <f>Debt_Qtr!AT80</f>
        <v>3.15E-2</v>
      </c>
      <c r="Z80" s="226">
        <f>Debt_Qtr!AY80</f>
        <v>3.15E-2</v>
      </c>
      <c r="AA80" s="226">
        <f>Debt_Qtr!BD80</f>
        <v>3.15E-2</v>
      </c>
      <c r="AB80" s="226">
        <f>Debt_Qtr!BI80</f>
        <v>3.15E-2</v>
      </c>
      <c r="AC80" s="218">
        <f t="shared" si="40"/>
        <v>3.15E-2</v>
      </c>
      <c r="AD80" s="218">
        <f t="shared" si="40"/>
        <v>3.15E-2</v>
      </c>
      <c r="AE80" s="218">
        <f t="shared" si="40"/>
        <v>3.15E-2</v>
      </c>
      <c r="AF80" s="218">
        <f t="shared" si="40"/>
        <v>3.15E-2</v>
      </c>
    </row>
    <row r="81" spans="1:32" s="25" customFormat="1">
      <c r="A81" s="525" t="s">
        <v>471</v>
      </c>
      <c r="B81" s="218"/>
      <c r="C81" s="218"/>
      <c r="D81" s="218"/>
      <c r="E81" s="218"/>
      <c r="F81" s="218"/>
      <c r="G81" s="218"/>
      <c r="H81" s="218"/>
      <c r="I81" s="218"/>
      <c r="J81" s="218"/>
      <c r="K81" s="218"/>
      <c r="L81" s="218"/>
      <c r="M81" s="218"/>
      <c r="N81" s="218"/>
      <c r="O81" s="218"/>
      <c r="P81" s="218"/>
      <c r="Q81" s="218"/>
      <c r="R81" s="218"/>
      <c r="S81" s="226"/>
      <c r="T81" s="226"/>
      <c r="U81" s="226"/>
      <c r="V81" s="226"/>
      <c r="W81" s="226"/>
      <c r="X81" s="226"/>
      <c r="Y81" s="226">
        <f>Debt_Qtr!AT81</f>
        <v>1.225E-2</v>
      </c>
      <c r="Z81" s="226">
        <f>Debt_Qtr!AY81</f>
        <v>6.5250000000000002E-2</v>
      </c>
      <c r="AA81" s="226">
        <f>Debt_Qtr!BD81</f>
        <v>6.5250000000000002E-2</v>
      </c>
      <c r="AB81" s="226">
        <f>Debt_Qtr!BI81</f>
        <v>6.5250000000000002E-2</v>
      </c>
      <c r="AC81" s="218">
        <f t="shared" ref="AC81" si="41">AB81</f>
        <v>6.5250000000000002E-2</v>
      </c>
      <c r="AD81" s="218">
        <f t="shared" ref="AD81:AF81" si="42">AC81</f>
        <v>6.5250000000000002E-2</v>
      </c>
      <c r="AE81" s="218">
        <f t="shared" si="42"/>
        <v>6.5250000000000002E-2</v>
      </c>
      <c r="AF81" s="218">
        <f t="shared" si="42"/>
        <v>6.5250000000000002E-2</v>
      </c>
    </row>
    <row r="82" spans="1:32" s="25" customFormat="1">
      <c r="A82" s="3" t="str">
        <f>Debt_Qtr!A82</f>
        <v>3.950% Notes due 2025</v>
      </c>
      <c r="B82" s="218"/>
      <c r="C82" s="218"/>
      <c r="D82" s="218"/>
      <c r="E82" s="218"/>
      <c r="F82" s="218"/>
      <c r="G82" s="218"/>
      <c r="H82" s="218"/>
      <c r="I82" s="218"/>
      <c r="J82" s="218"/>
      <c r="K82" s="218"/>
      <c r="L82" s="218"/>
      <c r="M82" s="218"/>
      <c r="N82" s="218"/>
      <c r="O82" s="218"/>
      <c r="P82" s="218"/>
      <c r="Q82" s="218"/>
      <c r="R82" s="218"/>
      <c r="S82" s="226"/>
      <c r="T82" s="226"/>
      <c r="U82" s="226"/>
      <c r="V82" s="226">
        <f>Debt_Qtr!AE82</f>
        <v>3.95E-2</v>
      </c>
      <c r="W82" s="226">
        <f>Debt_Qtr!AJ82</f>
        <v>3.95E-2</v>
      </c>
      <c r="X82" s="226">
        <f>Debt_Qtr!AO82</f>
        <v>3.95E-2</v>
      </c>
      <c r="Y82" s="226">
        <f>Debt_Qtr!AT82</f>
        <v>3.95E-2</v>
      </c>
      <c r="Z82" s="226">
        <f>Debt_Qtr!AY82</f>
        <v>3.95E-2</v>
      </c>
      <c r="AA82" s="226">
        <f>Debt_Qtr!BD82</f>
        <v>3.95E-2</v>
      </c>
      <c r="AB82" s="226">
        <f>Debt_Qtr!BI82</f>
        <v>3.95E-2</v>
      </c>
      <c r="AC82" s="218">
        <f t="shared" si="40"/>
        <v>3.95E-2</v>
      </c>
      <c r="AD82" s="218">
        <f t="shared" si="40"/>
        <v>3.95E-2</v>
      </c>
      <c r="AE82" s="218">
        <f t="shared" si="40"/>
        <v>3.95E-2</v>
      </c>
      <c r="AF82" s="218">
        <f t="shared" si="40"/>
        <v>3.95E-2</v>
      </c>
    </row>
    <row r="83" spans="1:32" s="25" customFormat="1">
      <c r="A83" s="3" t="str">
        <f>Debt_Qtr!A83</f>
        <v xml:space="preserve">2.650% Notes due 2026 </v>
      </c>
      <c r="B83" s="218"/>
      <c r="C83" s="218"/>
      <c r="D83" s="218"/>
      <c r="E83" s="218"/>
      <c r="F83" s="218"/>
      <c r="G83" s="218"/>
      <c r="H83" s="218"/>
      <c r="I83" s="218"/>
      <c r="J83" s="218"/>
      <c r="K83" s="218"/>
      <c r="L83" s="218"/>
      <c r="M83" s="218"/>
      <c r="N83" s="218"/>
      <c r="O83" s="218"/>
      <c r="P83" s="218"/>
      <c r="Q83" s="218"/>
      <c r="R83" s="218"/>
      <c r="S83" s="226"/>
      <c r="T83" s="226"/>
      <c r="U83" s="226"/>
      <c r="V83" s="226">
        <f>Debt_Qtr!AE83</f>
        <v>2.6499999999999999E-2</v>
      </c>
      <c r="W83" s="226">
        <f>Debt_Qtr!AJ83</f>
        <v>2.6499999999999999E-2</v>
      </c>
      <c r="X83" s="226">
        <f>Debt_Qtr!AO83</f>
        <v>2.6499999999999999E-2</v>
      </c>
      <c r="Y83" s="226">
        <f>Debt_Qtr!AT83</f>
        <v>2.6499999999999999E-2</v>
      </c>
      <c r="Z83" s="226">
        <f>Debt_Qtr!AY83</f>
        <v>2.6499999999999999E-2</v>
      </c>
      <c r="AA83" s="226">
        <f>Debt_Qtr!BD83</f>
        <v>2.6499999999999999E-2</v>
      </c>
      <c r="AB83" s="226">
        <f>Debt_Qtr!BI83</f>
        <v>2.6499999999999999E-2</v>
      </c>
      <c r="AC83" s="218">
        <f t="shared" si="40"/>
        <v>2.6499999999999999E-2</v>
      </c>
      <c r="AD83" s="218">
        <f t="shared" si="40"/>
        <v>2.6499999999999999E-2</v>
      </c>
      <c r="AE83" s="218">
        <f t="shared" si="40"/>
        <v>2.6499999999999999E-2</v>
      </c>
      <c r="AF83" s="218">
        <f t="shared" si="40"/>
        <v>2.6499999999999999E-2</v>
      </c>
    </row>
    <row r="84" spans="1:32" s="25" customFormat="1">
      <c r="A84" s="492" t="str">
        <f>Debt_Qtr!A84</f>
        <v>5.000% Notes due 2026</v>
      </c>
      <c r="B84" s="218"/>
      <c r="C84" s="218"/>
      <c r="D84" s="218"/>
      <c r="E84" s="218"/>
      <c r="F84" s="218"/>
      <c r="G84" s="218"/>
      <c r="H84" s="218"/>
      <c r="I84" s="218"/>
      <c r="J84" s="218"/>
      <c r="K84" s="218"/>
      <c r="L84" s="218"/>
      <c r="M84" s="218"/>
      <c r="N84" s="218"/>
      <c r="O84" s="218"/>
      <c r="P84" s="218"/>
      <c r="Q84" s="218"/>
      <c r="R84" s="218"/>
      <c r="S84" s="226"/>
      <c r="T84" s="226"/>
      <c r="U84" s="226"/>
      <c r="V84" s="226">
        <f>Debt_Qtr!AE84</f>
        <v>0.05</v>
      </c>
      <c r="W84" s="226">
        <f>Debt_Qtr!AJ84</f>
        <v>0.05</v>
      </c>
      <c r="X84" s="226">
        <f>Debt_Qtr!AO84</f>
        <v>0.05</v>
      </c>
      <c r="Y84" s="226">
        <f>Debt_Qtr!AT84</f>
        <v>0.05</v>
      </c>
      <c r="Z84" s="226">
        <f>Debt_Qtr!AY84</f>
        <v>0.05</v>
      </c>
      <c r="AA84" s="226">
        <f>Debt_Qtr!BD84</f>
        <v>0.05</v>
      </c>
      <c r="AB84" s="226">
        <f>Debt_Qtr!BI84</f>
        <v>0.05</v>
      </c>
      <c r="AC84" s="218">
        <f t="shared" ref="AC84:AF84" si="43">AB84</f>
        <v>0.05</v>
      </c>
      <c r="AD84" s="218">
        <f t="shared" si="43"/>
        <v>0.05</v>
      </c>
      <c r="AE84" s="218">
        <f t="shared" si="43"/>
        <v>0.05</v>
      </c>
      <c r="AF84" s="218">
        <f t="shared" si="43"/>
        <v>0.05</v>
      </c>
    </row>
    <row r="85" spans="1:32" s="25" customFormat="1">
      <c r="A85" s="525" t="s">
        <v>473</v>
      </c>
      <c r="B85" s="218"/>
      <c r="C85" s="218"/>
      <c r="D85" s="218"/>
      <c r="E85" s="218"/>
      <c r="F85" s="218"/>
      <c r="G85" s="218"/>
      <c r="H85" s="218"/>
      <c r="I85" s="218"/>
      <c r="J85" s="218"/>
      <c r="K85" s="218"/>
      <c r="L85" s="218"/>
      <c r="M85" s="218"/>
      <c r="N85" s="218"/>
      <c r="O85" s="218"/>
      <c r="P85" s="218"/>
      <c r="Q85" s="218"/>
      <c r="R85" s="218"/>
      <c r="S85" s="226"/>
      <c r="T85" s="226"/>
      <c r="U85" s="226"/>
      <c r="V85" s="226"/>
      <c r="W85" s="226"/>
      <c r="X85" s="226"/>
      <c r="Y85" s="226">
        <f>Debt_Qtr!AT85</f>
        <v>5.7500000000000002E-2</v>
      </c>
      <c r="Z85" s="226">
        <f>Debt_Qtr!AY85</f>
        <v>5.7500000000000002E-2</v>
      </c>
      <c r="AA85" s="226">
        <f>Debt_Qtr!BD85</f>
        <v>5.7500000000000002E-2</v>
      </c>
      <c r="AB85" s="226">
        <f>Debt_Qtr!BI85</f>
        <v>5.7500000000000002E-2</v>
      </c>
      <c r="AC85" s="218">
        <f t="shared" ref="AC85:AC86" si="44">AB85</f>
        <v>5.7500000000000002E-2</v>
      </c>
      <c r="AD85" s="218">
        <f t="shared" ref="AD85:AF86" si="45">AC85</f>
        <v>5.7500000000000002E-2</v>
      </c>
      <c r="AE85" s="218">
        <f t="shared" si="45"/>
        <v>5.7500000000000002E-2</v>
      </c>
      <c r="AF85" s="218">
        <f t="shared" si="45"/>
        <v>5.7500000000000002E-2</v>
      </c>
    </row>
    <row r="86" spans="1:32" s="25" customFormat="1">
      <c r="A86" s="525" t="s">
        <v>472</v>
      </c>
      <c r="B86" s="218"/>
      <c r="C86" s="218"/>
      <c r="D86" s="218"/>
      <c r="E86" s="218"/>
      <c r="F86" s="218"/>
      <c r="G86" s="218"/>
      <c r="H86" s="218"/>
      <c r="I86" s="218"/>
      <c r="J86" s="218"/>
      <c r="K86" s="218"/>
      <c r="L86" s="218"/>
      <c r="M86" s="218"/>
      <c r="N86" s="218"/>
      <c r="O86" s="218"/>
      <c r="P86" s="218"/>
      <c r="Q86" s="218"/>
      <c r="R86" s="218"/>
      <c r="S86" s="226"/>
      <c r="T86" s="226"/>
      <c r="U86" s="226"/>
      <c r="V86" s="226"/>
      <c r="W86" s="226"/>
      <c r="X86" s="226"/>
      <c r="Y86" s="226">
        <f>Debt_Qtr!AT86</f>
        <v>1.225E-2</v>
      </c>
      <c r="Z86" s="226">
        <f>Debt_Qtr!AY86</f>
        <v>6.5250000000000002E-2</v>
      </c>
      <c r="AA86" s="226">
        <f>Debt_Qtr!BD86</f>
        <v>6.5250000000000002E-2</v>
      </c>
      <c r="AB86" s="226">
        <f>Debt_Qtr!BI86</f>
        <v>6.5250000000000002E-2</v>
      </c>
      <c r="AC86" s="218">
        <f t="shared" si="44"/>
        <v>6.5250000000000002E-2</v>
      </c>
      <c r="AD86" s="218">
        <f t="shared" si="45"/>
        <v>6.5250000000000002E-2</v>
      </c>
      <c r="AE86" s="218">
        <f t="shared" si="45"/>
        <v>6.5250000000000002E-2</v>
      </c>
      <c r="AF86" s="218">
        <f t="shared" si="45"/>
        <v>6.5250000000000002E-2</v>
      </c>
    </row>
    <row r="87" spans="1:32" s="25" customFormat="1">
      <c r="A87" s="3" t="str">
        <f>Debt_Qtr!A87</f>
        <v>3.125% Notes due 2027</v>
      </c>
      <c r="B87" s="218"/>
      <c r="C87" s="218"/>
      <c r="D87" s="218"/>
      <c r="E87" s="218"/>
      <c r="F87" s="218"/>
      <c r="G87" s="218"/>
      <c r="H87" s="218"/>
      <c r="I87" s="218"/>
      <c r="J87" s="218"/>
      <c r="K87" s="218"/>
      <c r="L87" s="218"/>
      <c r="M87" s="218"/>
      <c r="N87" s="218"/>
      <c r="O87" s="218"/>
      <c r="P87" s="218"/>
      <c r="Q87" s="218"/>
      <c r="R87" s="218"/>
      <c r="S87" s="226"/>
      <c r="T87" s="226"/>
      <c r="U87" s="226"/>
      <c r="V87" s="226">
        <f>Debt_Qtr!AE87</f>
        <v>3.125E-2</v>
      </c>
      <c r="W87" s="226">
        <f>Debt_Qtr!AJ87</f>
        <v>3.125E-2</v>
      </c>
      <c r="X87" s="226">
        <f>Debt_Qtr!AO87</f>
        <v>3.125E-2</v>
      </c>
      <c r="Y87" s="226">
        <f>Debt_Qtr!AT87</f>
        <v>3.125E-2</v>
      </c>
      <c r="Z87" s="226">
        <f>Debt_Qtr!AY87</f>
        <v>3.125E-2</v>
      </c>
      <c r="AA87" s="226">
        <f>Debt_Qtr!BD87</f>
        <v>3.125E-2</v>
      </c>
      <c r="AB87" s="226">
        <f>Debt_Qtr!BI87</f>
        <v>3.125E-2</v>
      </c>
      <c r="AC87" s="218">
        <f t="shared" si="40"/>
        <v>3.125E-2</v>
      </c>
      <c r="AD87" s="218">
        <f t="shared" si="40"/>
        <v>3.125E-2</v>
      </c>
      <c r="AE87" s="218">
        <f t="shared" si="40"/>
        <v>3.125E-2</v>
      </c>
      <c r="AF87" s="218">
        <f t="shared" si="40"/>
        <v>3.125E-2</v>
      </c>
    </row>
    <row r="88" spans="1:32" s="25" customFormat="1">
      <c r="A88" s="3" t="str">
        <f>Debt_Qtr!A88</f>
        <v>3.500% Notes due 2027</v>
      </c>
      <c r="B88" s="218"/>
      <c r="C88" s="218"/>
      <c r="D88" s="218"/>
      <c r="E88" s="218"/>
      <c r="F88" s="218"/>
      <c r="G88" s="218"/>
      <c r="H88" s="218"/>
      <c r="I88" s="218"/>
      <c r="J88" s="218"/>
      <c r="K88" s="218"/>
      <c r="L88" s="218"/>
      <c r="M88" s="218"/>
      <c r="N88" s="218"/>
      <c r="O88" s="218"/>
      <c r="P88" s="218"/>
      <c r="Q88" s="218"/>
      <c r="R88" s="218"/>
      <c r="S88" s="226"/>
      <c r="T88" s="226"/>
      <c r="U88" s="226"/>
      <c r="V88" s="226">
        <f>Debt_Qtr!AE88</f>
        <v>3.5000000000000003E-2</v>
      </c>
      <c r="W88" s="226">
        <f>Debt_Qtr!AJ88</f>
        <v>3.5000000000000003E-2</v>
      </c>
      <c r="X88" s="226">
        <f>Debt_Qtr!AO88</f>
        <v>3.5000000000000003E-2</v>
      </c>
      <c r="Y88" s="226">
        <f>Debt_Qtr!AT88</f>
        <v>3.5000000000000003E-2</v>
      </c>
      <c r="Z88" s="226">
        <f>Debt_Qtr!AY88</f>
        <v>3.5000000000000003E-2</v>
      </c>
      <c r="AA88" s="226">
        <f>Debt_Qtr!BD88</f>
        <v>3.5000000000000003E-2</v>
      </c>
      <c r="AB88" s="226">
        <f>Debt_Qtr!BI88</f>
        <v>3.5000000000000003E-2</v>
      </c>
      <c r="AC88" s="218">
        <f t="shared" si="40"/>
        <v>3.5000000000000003E-2</v>
      </c>
      <c r="AD88" s="218">
        <f t="shared" si="40"/>
        <v>3.5000000000000003E-2</v>
      </c>
      <c r="AE88" s="218">
        <f t="shared" si="40"/>
        <v>3.5000000000000003E-2</v>
      </c>
      <c r="AF88" s="218">
        <f t="shared" si="40"/>
        <v>3.5000000000000003E-2</v>
      </c>
    </row>
    <row r="89" spans="1:32" s="25" customFormat="1">
      <c r="A89" s="3" t="str">
        <f>Debt_Qtr!A89</f>
        <v>7.200% Notes due 2027</v>
      </c>
      <c r="B89" s="218"/>
      <c r="C89" s="218"/>
      <c r="D89" s="218"/>
      <c r="E89" s="218"/>
      <c r="F89" s="218"/>
      <c r="G89" s="218"/>
      <c r="H89" s="218"/>
      <c r="I89" s="218"/>
      <c r="J89" s="218"/>
      <c r="K89" s="218"/>
      <c r="L89" s="218"/>
      <c r="M89" s="218"/>
      <c r="N89" s="218"/>
      <c r="O89" s="218"/>
      <c r="P89" s="218"/>
      <c r="Q89" s="218"/>
      <c r="R89" s="218"/>
      <c r="S89" s="226"/>
      <c r="T89" s="226"/>
      <c r="U89" s="226"/>
      <c r="V89" s="226">
        <f>Debt_Qtr!AE89</f>
        <v>7.1999999999999995E-2</v>
      </c>
      <c r="W89" s="226">
        <f>Debt_Qtr!AJ89</f>
        <v>7.1999999999999995E-2</v>
      </c>
      <c r="X89" s="226">
        <f>Debt_Qtr!AO89</f>
        <v>7.1999999999999995E-2</v>
      </c>
      <c r="Y89" s="226">
        <f>Debt_Qtr!AT89</f>
        <v>7.1999999999999995E-2</v>
      </c>
      <c r="Z89" s="226">
        <f>Debt_Qtr!AY89</f>
        <v>7.1999999999999995E-2</v>
      </c>
      <c r="AA89" s="226">
        <f>Debt_Qtr!BD89</f>
        <v>7.1999999999999995E-2</v>
      </c>
      <c r="AB89" s="226">
        <f>Debt_Qtr!BI89</f>
        <v>7.1999999999999995E-2</v>
      </c>
      <c r="AC89" s="218">
        <f t="shared" si="40"/>
        <v>7.1999999999999995E-2</v>
      </c>
      <c r="AD89" s="218">
        <f t="shared" si="40"/>
        <v>7.1999999999999995E-2</v>
      </c>
      <c r="AE89" s="218">
        <f t="shared" si="40"/>
        <v>7.1999999999999995E-2</v>
      </c>
      <c r="AF89" s="218">
        <f t="shared" si="40"/>
        <v>7.1999999999999995E-2</v>
      </c>
    </row>
    <row r="90" spans="1:32" s="25" customFormat="1">
      <c r="A90" s="3" t="str">
        <f>Debt_Qtr!A90</f>
        <v>7.100% Notes due 2027</v>
      </c>
      <c r="B90" s="218"/>
      <c r="C90" s="218"/>
      <c r="D90" s="218"/>
      <c r="E90" s="218"/>
      <c r="F90" s="218"/>
      <c r="G90" s="218"/>
      <c r="H90" s="218"/>
      <c r="I90" s="218"/>
      <c r="J90" s="218"/>
      <c r="K90" s="218"/>
      <c r="L90" s="218"/>
      <c r="M90" s="218"/>
      <c r="N90" s="218"/>
      <c r="O90" s="218"/>
      <c r="P90" s="218"/>
      <c r="Q90" s="218"/>
      <c r="R90" s="218"/>
      <c r="S90" s="226"/>
      <c r="T90" s="226"/>
      <c r="U90" s="226"/>
      <c r="V90" s="226">
        <f>Debt_Qtr!AE90</f>
        <v>7.0999999999999994E-2</v>
      </c>
      <c r="W90" s="226">
        <f>Debt_Qtr!AJ90</f>
        <v>7.0999999999999994E-2</v>
      </c>
      <c r="X90" s="226">
        <f>Debt_Qtr!AO90</f>
        <v>7.0999999999999994E-2</v>
      </c>
      <c r="Y90" s="226">
        <f>Debt_Qtr!AT90</f>
        <v>7.0999999999999994E-2</v>
      </c>
      <c r="Z90" s="226">
        <f>Debt_Qtr!AY90</f>
        <v>7.0999999999999994E-2</v>
      </c>
      <c r="AA90" s="226">
        <f>Debt_Qtr!BD90</f>
        <v>7.0999999999999994E-2</v>
      </c>
      <c r="AB90" s="226">
        <f>Debt_Qtr!BI90</f>
        <v>7.0999999999999994E-2</v>
      </c>
      <c r="AC90" s="218">
        <f t="shared" si="40"/>
        <v>7.0999999999999994E-2</v>
      </c>
      <c r="AD90" s="218">
        <f t="shared" si="40"/>
        <v>7.0999999999999994E-2</v>
      </c>
      <c r="AE90" s="218">
        <f t="shared" si="40"/>
        <v>7.0999999999999994E-2</v>
      </c>
      <c r="AF90" s="218">
        <f t="shared" si="40"/>
        <v>7.0999999999999994E-2</v>
      </c>
    </row>
    <row r="91" spans="1:32" s="25" customFormat="1">
      <c r="A91" s="3" t="str">
        <f>Debt_Qtr!A91</f>
        <v>6.700% Notes due 2028</v>
      </c>
      <c r="B91" s="218"/>
      <c r="C91" s="218"/>
      <c r="D91" s="218"/>
      <c r="E91" s="218"/>
      <c r="F91" s="218"/>
      <c r="G91" s="218"/>
      <c r="H91" s="218"/>
      <c r="I91" s="218"/>
      <c r="J91" s="218"/>
      <c r="K91" s="218"/>
      <c r="L91" s="218"/>
      <c r="M91" s="218"/>
      <c r="N91" s="218"/>
      <c r="O91" s="218"/>
      <c r="P91" s="218"/>
      <c r="Q91" s="218"/>
      <c r="R91" s="218"/>
      <c r="S91" s="226"/>
      <c r="T91" s="226"/>
      <c r="U91" s="226"/>
      <c r="V91" s="226">
        <f>Debt_Qtr!AE91</f>
        <v>6.7000000000000004E-2</v>
      </c>
      <c r="W91" s="226">
        <f>Debt_Qtr!AJ91</f>
        <v>6.7000000000000004E-2</v>
      </c>
      <c r="X91" s="226">
        <f>Debt_Qtr!AO91</f>
        <v>6.7000000000000004E-2</v>
      </c>
      <c r="Y91" s="226">
        <f>Debt_Qtr!AT91</f>
        <v>6.7000000000000004E-2</v>
      </c>
      <c r="Z91" s="226">
        <f>Debt_Qtr!AY91</f>
        <v>6.7000000000000004E-2</v>
      </c>
      <c r="AA91" s="226">
        <f>Debt_Qtr!BD91</f>
        <v>6.7000000000000004E-2</v>
      </c>
      <c r="AB91" s="226">
        <f>Debt_Qtr!BI91</f>
        <v>6.7000000000000004E-2</v>
      </c>
      <c r="AC91" s="218">
        <f t="shared" si="40"/>
        <v>6.7000000000000004E-2</v>
      </c>
      <c r="AD91" s="218">
        <f t="shared" si="40"/>
        <v>6.7000000000000004E-2</v>
      </c>
      <c r="AE91" s="218">
        <f t="shared" si="40"/>
        <v>6.7000000000000004E-2</v>
      </c>
      <c r="AF91" s="218">
        <f t="shared" si="40"/>
        <v>6.7000000000000004E-2</v>
      </c>
    </row>
    <row r="92" spans="1:32" s="25" customFormat="1">
      <c r="A92" s="3" t="str">
        <f>Debt_Qtr!A92</f>
        <v>7.000% Notes due 2028</v>
      </c>
      <c r="B92" s="218"/>
      <c r="C92" s="218"/>
      <c r="D92" s="218"/>
      <c r="E92" s="218"/>
      <c r="F92" s="218"/>
      <c r="G92" s="218"/>
      <c r="H92" s="218"/>
      <c r="I92" s="218"/>
      <c r="J92" s="218"/>
      <c r="K92" s="218"/>
      <c r="L92" s="218"/>
      <c r="M92" s="218"/>
      <c r="N92" s="218"/>
      <c r="O92" s="218"/>
      <c r="P92" s="218"/>
      <c r="Q92" s="218"/>
      <c r="R92" s="218"/>
      <c r="S92" s="226"/>
      <c r="T92" s="226"/>
      <c r="U92" s="226"/>
      <c r="V92" s="226">
        <f>Debt_Qtr!AE92</f>
        <v>7.0000000000000007E-2</v>
      </c>
      <c r="W92" s="226">
        <f>Debt_Qtr!AJ92</f>
        <v>7.0000000000000007E-2</v>
      </c>
      <c r="X92" s="226">
        <f>Debt_Qtr!AO92</f>
        <v>7.0000000000000007E-2</v>
      </c>
      <c r="Y92" s="226">
        <f>Debt_Qtr!AT92</f>
        <v>7.0000000000000007E-2</v>
      </c>
      <c r="Z92" s="226">
        <f>Debt_Qtr!AY92</f>
        <v>7.0000000000000007E-2</v>
      </c>
      <c r="AA92" s="226">
        <f>Debt_Qtr!BD92</f>
        <v>7.0000000000000007E-2</v>
      </c>
      <c r="AB92" s="226">
        <f>Debt_Qtr!BI92</f>
        <v>7.0000000000000007E-2</v>
      </c>
      <c r="AC92" s="218">
        <f t="shared" si="40"/>
        <v>7.0000000000000007E-2</v>
      </c>
      <c r="AD92" s="218">
        <f t="shared" si="40"/>
        <v>7.0000000000000007E-2</v>
      </c>
      <c r="AE92" s="218">
        <f t="shared" si="40"/>
        <v>7.0000000000000007E-2</v>
      </c>
      <c r="AF92" s="218">
        <f t="shared" si="40"/>
        <v>7.0000000000000007E-2</v>
      </c>
    </row>
    <row r="93" spans="1:32" s="25" customFormat="1">
      <c r="A93" s="3" t="str">
        <f>Debt_Qtr!A93</f>
        <v>4.125% Notes due 2028</v>
      </c>
      <c r="B93" s="218"/>
      <c r="C93" s="218"/>
      <c r="D93" s="218"/>
      <c r="E93" s="218"/>
      <c r="F93" s="218"/>
      <c r="G93" s="218"/>
      <c r="H93" s="218"/>
      <c r="I93" s="218"/>
      <c r="J93" s="218"/>
      <c r="K93" s="218"/>
      <c r="L93" s="218"/>
      <c r="M93" s="218"/>
      <c r="N93" s="218"/>
      <c r="O93" s="218"/>
      <c r="P93" s="218"/>
      <c r="Q93" s="218"/>
      <c r="R93" s="218"/>
      <c r="S93" s="226"/>
      <c r="T93" s="226"/>
      <c r="U93" s="226"/>
      <c r="V93" s="226">
        <f>Debt_Qtr!AE93</f>
        <v>4.1250000000000002E-2</v>
      </c>
      <c r="W93" s="226">
        <f>Debt_Qtr!AJ93</f>
        <v>4.1250000000000002E-2</v>
      </c>
      <c r="X93" s="226">
        <f>Debt_Qtr!AO93</f>
        <v>4.1250000000000002E-2</v>
      </c>
      <c r="Y93" s="226">
        <f>Debt_Qtr!AT93</f>
        <v>4.1250000000000002E-2</v>
      </c>
      <c r="Z93" s="226">
        <f>Debt_Qtr!AY93</f>
        <v>4.1250000000000002E-2</v>
      </c>
      <c r="AA93" s="226">
        <f>Debt_Qtr!BD93</f>
        <v>4.1250000000000002E-2</v>
      </c>
      <c r="AB93" s="226">
        <f>Debt_Qtr!BI93</f>
        <v>4.1250000000000002E-2</v>
      </c>
      <c r="AC93" s="218">
        <f t="shared" si="40"/>
        <v>4.1250000000000002E-2</v>
      </c>
      <c r="AD93" s="218">
        <f t="shared" si="40"/>
        <v>4.1250000000000002E-2</v>
      </c>
      <c r="AE93" s="218">
        <f t="shared" si="40"/>
        <v>4.1250000000000002E-2</v>
      </c>
      <c r="AF93" s="218">
        <f t="shared" si="40"/>
        <v>4.1250000000000002E-2</v>
      </c>
    </row>
    <row r="94" spans="1:32" s="25" customFormat="1">
      <c r="A94" s="525" t="s">
        <v>477</v>
      </c>
      <c r="B94" s="218"/>
      <c r="C94" s="218"/>
      <c r="D94" s="218"/>
      <c r="E94" s="218"/>
      <c r="F94" s="218"/>
      <c r="G94" s="218"/>
      <c r="H94" s="218"/>
      <c r="I94" s="218"/>
      <c r="J94" s="218"/>
      <c r="K94" s="218"/>
      <c r="L94" s="218"/>
      <c r="M94" s="218"/>
      <c r="N94" s="218"/>
      <c r="O94" s="218"/>
      <c r="P94" s="218"/>
      <c r="Q94" s="218"/>
      <c r="R94" s="218"/>
      <c r="S94" s="226"/>
      <c r="T94" s="226"/>
      <c r="U94" s="226"/>
      <c r="V94" s="226"/>
      <c r="W94" s="226"/>
      <c r="X94" s="226"/>
      <c r="Y94" s="226">
        <f>Debt_Qtr!AT94</f>
        <v>5.7500000000000002E-2</v>
      </c>
      <c r="Z94" s="226">
        <f>Debt_Qtr!AY94</f>
        <v>5.7500000000000002E-2</v>
      </c>
      <c r="AA94" s="226">
        <f>Debt_Qtr!BD94</f>
        <v>5.7500000000000002E-2</v>
      </c>
      <c r="AB94" s="226">
        <f>Debt_Qtr!BI94</f>
        <v>5.7500000000000002E-2</v>
      </c>
      <c r="AC94" s="218">
        <f t="shared" ref="AC94" si="46">AB94</f>
        <v>5.7500000000000002E-2</v>
      </c>
      <c r="AD94" s="218">
        <f t="shared" ref="AD94:AF94" si="47">AC94</f>
        <v>5.7500000000000002E-2</v>
      </c>
      <c r="AE94" s="218">
        <f t="shared" si="47"/>
        <v>5.7500000000000002E-2</v>
      </c>
      <c r="AF94" s="218">
        <f t="shared" si="47"/>
        <v>5.7500000000000002E-2</v>
      </c>
    </row>
    <row r="95" spans="1:32" s="25" customFormat="1">
      <c r="A95" s="3" t="str">
        <f>Debt_Qtr!A95</f>
        <v>7.500% Notes due 2029</v>
      </c>
      <c r="B95" s="218"/>
      <c r="C95" s="218"/>
      <c r="D95" s="218"/>
      <c r="E95" s="218"/>
      <c r="F95" s="218"/>
      <c r="G95" s="218"/>
      <c r="H95" s="218"/>
      <c r="I95" s="218"/>
      <c r="J95" s="218"/>
      <c r="K95" s="218"/>
      <c r="L95" s="218"/>
      <c r="M95" s="218"/>
      <c r="N95" s="218"/>
      <c r="O95" s="218"/>
      <c r="P95" s="218"/>
      <c r="Q95" s="218"/>
      <c r="R95" s="218"/>
      <c r="S95" s="226"/>
      <c r="T95" s="226"/>
      <c r="U95" s="226"/>
      <c r="V95" s="226">
        <f>Debt_Qtr!AE95</f>
        <v>7.4999999999999997E-2</v>
      </c>
      <c r="W95" s="226">
        <f>Debt_Qtr!AJ95</f>
        <v>7.4999999999999997E-2</v>
      </c>
      <c r="X95" s="226">
        <f>Debt_Qtr!AO95</f>
        <v>7.4999999999999997E-2</v>
      </c>
      <c r="Y95" s="226">
        <f>Debt_Qtr!AT95</f>
        <v>7.4999999999999997E-2</v>
      </c>
      <c r="Z95" s="226">
        <f>Debt_Qtr!AY95</f>
        <v>7.4999999999999997E-2</v>
      </c>
      <c r="AA95" s="226">
        <f>Debt_Qtr!BD95</f>
        <v>7.4999999999999997E-2</v>
      </c>
      <c r="AB95" s="226">
        <f>Debt_Qtr!BI95</f>
        <v>7.4999999999999997E-2</v>
      </c>
      <c r="AC95" s="218">
        <f t="shared" si="40"/>
        <v>7.4999999999999997E-2</v>
      </c>
      <c r="AD95" s="218">
        <f t="shared" si="40"/>
        <v>7.4999999999999997E-2</v>
      </c>
      <c r="AE95" s="218">
        <f t="shared" si="40"/>
        <v>7.4999999999999997E-2</v>
      </c>
      <c r="AF95" s="218">
        <f t="shared" si="40"/>
        <v>7.4999999999999997E-2</v>
      </c>
    </row>
    <row r="96" spans="1:32" s="25" customFormat="1">
      <c r="A96" s="3" t="str">
        <f>Debt_Qtr!A96</f>
        <v>2.150% Notes due 2030 (€500 million Principal Value)</v>
      </c>
      <c r="B96" s="218"/>
      <c r="C96" s="218"/>
      <c r="D96" s="218"/>
      <c r="E96" s="218"/>
      <c r="F96" s="218"/>
      <c r="G96" s="218"/>
      <c r="H96" s="218"/>
      <c r="I96" s="218"/>
      <c r="J96" s="218"/>
      <c r="K96" s="218"/>
      <c r="L96" s="218"/>
      <c r="M96" s="218"/>
      <c r="N96" s="218"/>
      <c r="O96" s="218"/>
      <c r="P96" s="218"/>
      <c r="Q96" s="218"/>
      <c r="R96" s="218"/>
      <c r="S96" s="226"/>
      <c r="T96" s="226"/>
      <c r="U96" s="226"/>
      <c r="V96" s="226">
        <f>Debt_Qtr!AE96</f>
        <v>2.1499999999999998E-2</v>
      </c>
      <c r="W96" s="226">
        <f>Debt_Qtr!AJ96</f>
        <v>2.1499999999999998E-2</v>
      </c>
      <c r="X96" s="226">
        <f>Debt_Qtr!AO96</f>
        <v>2.1499999999999998E-2</v>
      </c>
      <c r="Y96" s="226">
        <f>Debt_Qtr!AT96</f>
        <v>2.1499999999999998E-2</v>
      </c>
      <c r="Z96" s="226">
        <f>Debt_Qtr!AY96</f>
        <v>2.1499999999999998E-2</v>
      </c>
      <c r="AA96" s="226">
        <f>Debt_Qtr!BD96</f>
        <v>2.1499999999999998E-2</v>
      </c>
      <c r="AB96" s="226">
        <f>Debt_Qtr!BI96</f>
        <v>2.1499999999999998E-2</v>
      </c>
      <c r="AC96" s="218">
        <f t="shared" si="40"/>
        <v>2.1499999999999998E-2</v>
      </c>
      <c r="AD96" s="218">
        <f t="shared" si="40"/>
        <v>2.1499999999999998E-2</v>
      </c>
      <c r="AE96" s="218">
        <f t="shared" si="40"/>
        <v>2.1499999999999998E-2</v>
      </c>
      <c r="AF96" s="218">
        <f t="shared" si="40"/>
        <v>2.1499999999999998E-2</v>
      </c>
    </row>
    <row r="97" spans="1:32" s="25" customFormat="1">
      <c r="A97" s="3" t="str">
        <f>Debt_Qtr!A97</f>
        <v>2.250% Notes due 2030</v>
      </c>
      <c r="B97" s="218"/>
      <c r="C97" s="218"/>
      <c r="D97" s="218"/>
      <c r="E97" s="218"/>
      <c r="F97" s="218"/>
      <c r="G97" s="218"/>
      <c r="H97" s="218"/>
      <c r="I97" s="218"/>
      <c r="J97" s="218"/>
      <c r="K97" s="218"/>
      <c r="L97" s="218"/>
      <c r="M97" s="218"/>
      <c r="N97" s="218"/>
      <c r="O97" s="218"/>
      <c r="P97" s="218"/>
      <c r="Q97" s="218"/>
      <c r="R97" s="218"/>
      <c r="S97" s="226"/>
      <c r="T97" s="226"/>
      <c r="U97" s="226"/>
      <c r="V97" s="226">
        <f>Debt_Qtr!AE97</f>
        <v>2.2499999999999999E-2</v>
      </c>
      <c r="W97" s="226">
        <f>Debt_Qtr!AJ97</f>
        <v>2.2499999999999999E-2</v>
      </c>
      <c r="X97" s="226">
        <f>Debt_Qtr!AO97</f>
        <v>2.2499999999999999E-2</v>
      </c>
      <c r="Y97" s="226">
        <f>Debt_Qtr!AT97</f>
        <v>2.2499999999999999E-2</v>
      </c>
      <c r="Z97" s="226">
        <f>Debt_Qtr!AY97</f>
        <v>2.2499999999999999E-2</v>
      </c>
      <c r="AA97" s="226">
        <f>Debt_Qtr!BD97</f>
        <v>2.2499999999999999E-2</v>
      </c>
      <c r="AB97" s="226">
        <f>Debt_Qtr!BI97</f>
        <v>2.2499999999999999E-2</v>
      </c>
      <c r="AC97" s="218">
        <f t="shared" si="40"/>
        <v>2.2499999999999999E-2</v>
      </c>
      <c r="AD97" s="218">
        <f t="shared" si="40"/>
        <v>2.2499999999999999E-2</v>
      </c>
      <c r="AE97" s="218">
        <f t="shared" si="40"/>
        <v>2.2499999999999999E-2</v>
      </c>
      <c r="AF97" s="218">
        <f t="shared" si="40"/>
        <v>2.2499999999999999E-2</v>
      </c>
    </row>
    <row r="98" spans="1:32" s="25" customFormat="1">
      <c r="A98" s="525" t="s">
        <v>476</v>
      </c>
      <c r="B98" s="218"/>
      <c r="C98" s="218"/>
      <c r="D98" s="218"/>
      <c r="E98" s="218"/>
      <c r="F98" s="218"/>
      <c r="G98" s="218"/>
      <c r="H98" s="218"/>
      <c r="I98" s="218"/>
      <c r="J98" s="218"/>
      <c r="K98" s="218"/>
      <c r="L98" s="218"/>
      <c r="M98" s="218"/>
      <c r="N98" s="218"/>
      <c r="O98" s="218"/>
      <c r="P98" s="218"/>
      <c r="Q98" s="218"/>
      <c r="R98" s="218"/>
      <c r="S98" s="226"/>
      <c r="T98" s="226"/>
      <c r="U98" s="226"/>
      <c r="V98" s="226"/>
      <c r="W98" s="226"/>
      <c r="X98" s="226"/>
      <c r="Y98" s="226">
        <f>Debt_Qtr!AT98</f>
        <v>0.06</v>
      </c>
      <c r="Z98" s="226">
        <f>Debt_Qtr!AY98</f>
        <v>0.06</v>
      </c>
      <c r="AA98" s="226">
        <f>Debt_Qtr!BD98</f>
        <v>0.06</v>
      </c>
      <c r="AB98" s="226">
        <f>Debt_Qtr!BI98</f>
        <v>0.06</v>
      </c>
      <c r="AC98" s="218">
        <f t="shared" ref="AC98" si="48">AB98</f>
        <v>0.06</v>
      </c>
      <c r="AD98" s="218">
        <f t="shared" ref="AD98:AF98" si="49">AC98</f>
        <v>0.06</v>
      </c>
      <c r="AE98" s="218">
        <f t="shared" si="49"/>
        <v>0.06</v>
      </c>
      <c r="AF98" s="218">
        <f t="shared" si="49"/>
        <v>0.06</v>
      </c>
    </row>
    <row r="99" spans="1:32" s="25" customFormat="1">
      <c r="A99" s="3" t="str">
        <f>Debt_Qtr!A99</f>
        <v>1.900% Notes due 2031</v>
      </c>
      <c r="B99" s="218"/>
      <c r="C99" s="218"/>
      <c r="D99" s="218"/>
      <c r="E99" s="218"/>
      <c r="F99" s="218"/>
      <c r="G99" s="218"/>
      <c r="H99" s="218"/>
      <c r="I99" s="218"/>
      <c r="J99" s="218"/>
      <c r="K99" s="218"/>
      <c r="L99" s="218"/>
      <c r="M99" s="218"/>
      <c r="N99" s="218"/>
      <c r="O99" s="218"/>
      <c r="P99" s="218"/>
      <c r="Q99" s="218"/>
      <c r="R99" s="218"/>
      <c r="S99" s="226"/>
      <c r="T99" s="226"/>
      <c r="U99" s="226"/>
      <c r="V99" s="226">
        <f>Debt_Qtr!AE99</f>
        <v>0</v>
      </c>
      <c r="W99" s="226">
        <f>Debt_Qtr!AJ99</f>
        <v>1.9E-2</v>
      </c>
      <c r="X99" s="226">
        <f>Debt_Qtr!AO99</f>
        <v>1.9E-2</v>
      </c>
      <c r="Y99" s="226">
        <f>Debt_Qtr!AT99</f>
        <v>1.9E-2</v>
      </c>
      <c r="Z99" s="226">
        <f>Debt_Qtr!AY99</f>
        <v>1.9E-2</v>
      </c>
      <c r="AA99" s="226">
        <f>Debt_Qtr!BD99</f>
        <v>1.9E-2</v>
      </c>
      <c r="AB99" s="226">
        <f>Debt_Qtr!BI99</f>
        <v>1.9E-2</v>
      </c>
      <c r="AC99" s="218">
        <f t="shared" ref="AC99:AF99" si="50">AB99</f>
        <v>1.9E-2</v>
      </c>
      <c r="AD99" s="218">
        <f t="shared" si="50"/>
        <v>1.9E-2</v>
      </c>
      <c r="AE99" s="218">
        <f t="shared" si="50"/>
        <v>1.9E-2</v>
      </c>
      <c r="AF99" s="218">
        <f t="shared" si="50"/>
        <v>1.9E-2</v>
      </c>
    </row>
    <row r="100" spans="1:32" s="25" customFormat="1">
      <c r="A100" s="3" t="str">
        <f>Debt_Qtr!A100</f>
        <v>2.375% Notes due 2032</v>
      </c>
      <c r="B100" s="218"/>
      <c r="C100" s="218"/>
      <c r="D100" s="218"/>
      <c r="E100" s="218"/>
      <c r="F100" s="218"/>
      <c r="G100" s="218"/>
      <c r="H100" s="218"/>
      <c r="I100" s="218"/>
      <c r="J100" s="218"/>
      <c r="K100" s="218"/>
      <c r="L100" s="218"/>
      <c r="M100" s="218"/>
      <c r="N100" s="218"/>
      <c r="O100" s="218"/>
      <c r="P100" s="218"/>
      <c r="Q100" s="218"/>
      <c r="R100" s="218"/>
      <c r="S100" s="226"/>
      <c r="T100" s="226"/>
      <c r="U100" s="226"/>
      <c r="V100" s="226">
        <f>Debt_Qtr!AE100</f>
        <v>0</v>
      </c>
      <c r="W100" s="226">
        <f>Debt_Qtr!AJ100</f>
        <v>2.375E-2</v>
      </c>
      <c r="X100" s="226">
        <f>Debt_Qtr!AO100</f>
        <v>2.375E-2</v>
      </c>
      <c r="Y100" s="226">
        <f>Debt_Qtr!AT100</f>
        <v>2.375E-2</v>
      </c>
      <c r="Z100" s="226">
        <f>Debt_Qtr!AY100</f>
        <v>2.375E-2</v>
      </c>
      <c r="AA100" s="226">
        <f>Debt_Qtr!BD100</f>
        <v>2.375E-2</v>
      </c>
      <c r="AB100" s="226">
        <f>Debt_Qtr!BI100</f>
        <v>2.375E-2</v>
      </c>
      <c r="AC100" s="218">
        <f t="shared" ref="AC100:AF100" si="51">AB100</f>
        <v>2.375E-2</v>
      </c>
      <c r="AD100" s="218">
        <f t="shared" si="51"/>
        <v>2.375E-2</v>
      </c>
      <c r="AE100" s="218">
        <f t="shared" si="51"/>
        <v>2.375E-2</v>
      </c>
      <c r="AF100" s="218">
        <f t="shared" si="51"/>
        <v>2.375E-2</v>
      </c>
    </row>
    <row r="101" spans="1:32" s="25" customFormat="1">
      <c r="A101" s="492" t="str">
        <f>Debt_Qtr!A101</f>
        <v>5.150% Notes due 2033</v>
      </c>
      <c r="B101" s="218"/>
      <c r="C101" s="218"/>
      <c r="D101" s="218"/>
      <c r="E101" s="218"/>
      <c r="F101" s="218"/>
      <c r="G101" s="218"/>
      <c r="H101" s="218"/>
      <c r="I101" s="218"/>
      <c r="J101" s="218"/>
      <c r="K101" s="218"/>
      <c r="L101" s="218"/>
      <c r="M101" s="218"/>
      <c r="N101" s="218"/>
      <c r="O101" s="218"/>
      <c r="P101" s="218"/>
      <c r="Q101" s="218"/>
      <c r="R101" s="218"/>
      <c r="S101" s="226"/>
      <c r="T101" s="226"/>
      <c r="U101" s="226"/>
      <c r="V101" s="226">
        <f>Debt_Qtr!AE101</f>
        <v>5.1499999999999997E-2</v>
      </c>
      <c r="W101" s="226">
        <f>Debt_Qtr!AJ101</f>
        <v>5.1499999999999997E-2</v>
      </c>
      <c r="X101" s="226">
        <f>Debt_Qtr!AO101</f>
        <v>5.1499999999999997E-2</v>
      </c>
      <c r="Y101" s="226">
        <f>Debt_Qtr!AT101</f>
        <v>5.1499999999999997E-2</v>
      </c>
      <c r="Z101" s="226">
        <f>Debt_Qtr!AY101</f>
        <v>5.1499999999999997E-2</v>
      </c>
      <c r="AA101" s="226">
        <f>Debt_Qtr!BD101</f>
        <v>5.1499999999999997E-2</v>
      </c>
      <c r="AB101" s="226">
        <f>Debt_Qtr!BI101</f>
        <v>5.1499999999999997E-2</v>
      </c>
      <c r="AC101" s="218">
        <f t="shared" ref="AC101:AF101" si="52">AB101</f>
        <v>5.1499999999999997E-2</v>
      </c>
      <c r="AD101" s="218">
        <f t="shared" si="52"/>
        <v>5.1499999999999997E-2</v>
      </c>
      <c r="AE101" s="218">
        <f t="shared" si="52"/>
        <v>5.1499999999999997E-2</v>
      </c>
      <c r="AF101" s="218">
        <f t="shared" si="52"/>
        <v>5.1499999999999997E-2</v>
      </c>
    </row>
    <row r="102" spans="1:32" s="25" customFormat="1">
      <c r="A102" s="525" t="s">
        <v>474</v>
      </c>
      <c r="B102" s="218"/>
      <c r="C102" s="218"/>
      <c r="D102" s="218"/>
      <c r="E102" s="218"/>
      <c r="F102" s="218"/>
      <c r="G102" s="218"/>
      <c r="H102" s="218"/>
      <c r="I102" s="218"/>
      <c r="J102" s="218"/>
      <c r="K102" s="218"/>
      <c r="L102" s="218"/>
      <c r="M102" s="218"/>
      <c r="N102" s="218"/>
      <c r="O102" s="218"/>
      <c r="P102" s="218"/>
      <c r="Q102" s="218"/>
      <c r="R102" s="218"/>
      <c r="S102" s="226"/>
      <c r="T102" s="226"/>
      <c r="U102" s="226"/>
      <c r="V102" s="226"/>
      <c r="W102" s="226"/>
      <c r="X102" s="226"/>
      <c r="Y102" s="226">
        <f>Debt_Qtr!AT102</f>
        <v>6.0999999999999999E-2</v>
      </c>
      <c r="Z102" s="226">
        <f>Debt_Qtr!AY102</f>
        <v>6.0999999999999999E-2</v>
      </c>
      <c r="AA102" s="226">
        <f>Debt_Qtr!BD102</f>
        <v>6.0999999999999999E-2</v>
      </c>
      <c r="AB102" s="226">
        <f>Debt_Qtr!BI102</f>
        <v>6.0999999999999999E-2</v>
      </c>
      <c r="AC102" s="218">
        <f t="shared" ref="AC102" si="53">AB102</f>
        <v>6.0999999999999999E-2</v>
      </c>
      <c r="AD102" s="218">
        <f t="shared" ref="AD102:AF102" si="54">AC102</f>
        <v>6.0999999999999999E-2</v>
      </c>
      <c r="AE102" s="218">
        <f t="shared" si="54"/>
        <v>6.0999999999999999E-2</v>
      </c>
      <c r="AF102" s="218">
        <f t="shared" si="54"/>
        <v>6.0999999999999999E-2</v>
      </c>
    </row>
    <row r="103" spans="1:32" s="25" customFormat="1">
      <c r="A103" s="3" t="str">
        <f>Debt_Qtr!A103</f>
        <v>5.400% Notes due 2035</v>
      </c>
      <c r="B103" s="218"/>
      <c r="C103" s="218"/>
      <c r="D103" s="218"/>
      <c r="E103" s="218"/>
      <c r="F103" s="218"/>
      <c r="G103" s="218"/>
      <c r="H103" s="218"/>
      <c r="I103" s="218"/>
      <c r="J103" s="218"/>
      <c r="K103" s="218"/>
      <c r="L103" s="218"/>
      <c r="M103" s="218"/>
      <c r="N103" s="218"/>
      <c r="O103" s="218"/>
      <c r="P103" s="218"/>
      <c r="Q103" s="218"/>
      <c r="R103" s="218"/>
      <c r="S103" s="226"/>
      <c r="T103" s="226"/>
      <c r="U103" s="226"/>
      <c r="V103" s="226">
        <f>Debt_Qtr!AE103</f>
        <v>5.3999999999999999E-2</v>
      </c>
      <c r="W103" s="226">
        <f>Debt_Qtr!AJ103</f>
        <v>5.3999999999999999E-2</v>
      </c>
      <c r="X103" s="226">
        <f>Debt_Qtr!AO103</f>
        <v>5.3999999999999999E-2</v>
      </c>
      <c r="Y103" s="226">
        <f>Debt_Qtr!AT103</f>
        <v>5.3999999999999999E-2</v>
      </c>
      <c r="Z103" s="226">
        <f>Debt_Qtr!AY103</f>
        <v>5.3999999999999999E-2</v>
      </c>
      <c r="AA103" s="226">
        <f>Debt_Qtr!BD103</f>
        <v>5.3999999999999999E-2</v>
      </c>
      <c r="AB103" s="226">
        <f>Debt_Qtr!BI103</f>
        <v>5.3999999999999999E-2</v>
      </c>
      <c r="AC103" s="218">
        <f t="shared" si="40"/>
        <v>5.3999999999999999E-2</v>
      </c>
      <c r="AD103" s="218">
        <f t="shared" si="40"/>
        <v>5.3999999999999999E-2</v>
      </c>
      <c r="AE103" s="218">
        <f t="shared" si="40"/>
        <v>5.3999999999999999E-2</v>
      </c>
      <c r="AF103" s="218">
        <f t="shared" si="40"/>
        <v>5.3999999999999999E-2</v>
      </c>
    </row>
    <row r="104" spans="1:32" s="25" customFormat="1">
      <c r="A104" s="3" t="str">
        <f>Debt_Qtr!A104</f>
        <v>6.050% Notes due 2036</v>
      </c>
      <c r="B104" s="218"/>
      <c r="C104" s="218"/>
      <c r="D104" s="218"/>
      <c r="E104" s="218"/>
      <c r="F104" s="218"/>
      <c r="G104" s="218"/>
      <c r="H104" s="218"/>
      <c r="I104" s="218"/>
      <c r="J104" s="218"/>
      <c r="K104" s="218"/>
      <c r="L104" s="218"/>
      <c r="M104" s="218"/>
      <c r="N104" s="218"/>
      <c r="O104" s="218"/>
      <c r="P104" s="218"/>
      <c r="Q104" s="218"/>
      <c r="R104" s="218"/>
      <c r="S104" s="226"/>
      <c r="T104" s="226"/>
      <c r="U104" s="226"/>
      <c r="V104" s="226">
        <f>Debt_Qtr!AE104</f>
        <v>6.0499999999999998E-2</v>
      </c>
      <c r="W104" s="226">
        <f>Debt_Qtr!AJ104</f>
        <v>6.0499999999999998E-2</v>
      </c>
      <c r="X104" s="226">
        <f>Debt_Qtr!AO104</f>
        <v>6.0499999999999998E-2</v>
      </c>
      <c r="Y104" s="226">
        <f>Debt_Qtr!AT104</f>
        <v>6.0499999999999998E-2</v>
      </c>
      <c r="Z104" s="226">
        <f>Debt_Qtr!AY104</f>
        <v>6.0499999999999998E-2</v>
      </c>
      <c r="AA104" s="226">
        <f>Debt_Qtr!BD104</f>
        <v>6.0499999999999998E-2</v>
      </c>
      <c r="AB104" s="226">
        <f>Debt_Qtr!BI104</f>
        <v>6.0499999999999998E-2</v>
      </c>
      <c r="AC104" s="218">
        <f t="shared" si="40"/>
        <v>6.0499999999999998E-2</v>
      </c>
      <c r="AD104" s="218">
        <f t="shared" si="40"/>
        <v>6.0499999999999998E-2</v>
      </c>
      <c r="AE104" s="218">
        <f t="shared" si="40"/>
        <v>6.0499999999999998E-2</v>
      </c>
      <c r="AF104" s="218">
        <f t="shared" si="40"/>
        <v>6.0499999999999998E-2</v>
      </c>
    </row>
    <row r="105" spans="1:32" s="25" customFormat="1">
      <c r="A105" s="3" t="str">
        <f>Debt_Qtr!A105</f>
        <v>6.800% Notes due 2036</v>
      </c>
      <c r="B105" s="218"/>
      <c r="C105" s="218"/>
      <c r="D105" s="218"/>
      <c r="E105" s="218"/>
      <c r="F105" s="218"/>
      <c r="G105" s="218"/>
      <c r="H105" s="218"/>
      <c r="I105" s="218"/>
      <c r="J105" s="218"/>
      <c r="K105" s="218"/>
      <c r="L105" s="218"/>
      <c r="M105" s="218"/>
      <c r="N105" s="218"/>
      <c r="O105" s="218"/>
      <c r="P105" s="218"/>
      <c r="Q105" s="218"/>
      <c r="R105" s="218"/>
      <c r="S105" s="226"/>
      <c r="T105" s="226"/>
      <c r="U105" s="226"/>
      <c r="V105" s="226">
        <f>Debt_Qtr!AE105</f>
        <v>6.8000000000000005E-2</v>
      </c>
      <c r="W105" s="226">
        <f>Debt_Qtr!AJ105</f>
        <v>6.8000000000000005E-2</v>
      </c>
      <c r="X105" s="226">
        <f>Debt_Qtr!AO105</f>
        <v>6.8000000000000005E-2</v>
      </c>
      <c r="Y105" s="226">
        <f>Debt_Qtr!AT105</f>
        <v>6.8000000000000005E-2</v>
      </c>
      <c r="Z105" s="226">
        <f>Debt_Qtr!AY105</f>
        <v>6.8000000000000005E-2</v>
      </c>
      <c r="AA105" s="226">
        <f>Debt_Qtr!BD105</f>
        <v>6.8000000000000005E-2</v>
      </c>
      <c r="AB105" s="226">
        <f>Debt_Qtr!BI105</f>
        <v>6.8000000000000005E-2</v>
      </c>
      <c r="AC105" s="218">
        <f t="shared" si="40"/>
        <v>6.8000000000000005E-2</v>
      </c>
      <c r="AD105" s="218">
        <f t="shared" si="40"/>
        <v>6.8000000000000005E-2</v>
      </c>
      <c r="AE105" s="218">
        <f t="shared" si="40"/>
        <v>6.8000000000000005E-2</v>
      </c>
      <c r="AF105" s="218">
        <f t="shared" si="40"/>
        <v>6.8000000000000005E-2</v>
      </c>
    </row>
    <row r="106" spans="1:32" s="25" customFormat="1">
      <c r="A106" s="3" t="str">
        <f>Debt_Qtr!A106</f>
        <v>7.000% Notes due 2038</v>
      </c>
      <c r="B106" s="218"/>
      <c r="C106" s="218"/>
      <c r="D106" s="218"/>
      <c r="E106" s="218"/>
      <c r="F106" s="218"/>
      <c r="G106" s="218"/>
      <c r="H106" s="218"/>
      <c r="I106" s="218"/>
      <c r="J106" s="218"/>
      <c r="K106" s="218"/>
      <c r="L106" s="218"/>
      <c r="M106" s="218"/>
      <c r="N106" s="218"/>
      <c r="O106" s="218"/>
      <c r="P106" s="218"/>
      <c r="Q106" s="218"/>
      <c r="R106" s="218"/>
      <c r="S106" s="226"/>
      <c r="T106" s="226"/>
      <c r="U106" s="226"/>
      <c r="V106" s="226">
        <f>Debt_Qtr!AE106</f>
        <v>7.0000000000000007E-2</v>
      </c>
      <c r="W106" s="226">
        <f>Debt_Qtr!AJ106</f>
        <v>7.0000000000000007E-2</v>
      </c>
      <c r="X106" s="226">
        <f>Debt_Qtr!AO106</f>
        <v>7.0000000000000007E-2</v>
      </c>
      <c r="Y106" s="226">
        <f>Debt_Qtr!AT106</f>
        <v>7.0000000000000007E-2</v>
      </c>
      <c r="Z106" s="226">
        <f>Debt_Qtr!AY106</f>
        <v>7.0000000000000007E-2</v>
      </c>
      <c r="AA106" s="226">
        <f>Debt_Qtr!BD106</f>
        <v>7.0000000000000007E-2</v>
      </c>
      <c r="AB106" s="226">
        <f>Debt_Qtr!BI106</f>
        <v>7.0000000000000007E-2</v>
      </c>
      <c r="AC106" s="218">
        <f t="shared" si="40"/>
        <v>7.0000000000000007E-2</v>
      </c>
      <c r="AD106" s="218">
        <f t="shared" si="40"/>
        <v>7.0000000000000007E-2</v>
      </c>
      <c r="AE106" s="218">
        <f t="shared" si="40"/>
        <v>7.0000000000000007E-2</v>
      </c>
      <c r="AF106" s="218">
        <f t="shared" si="40"/>
        <v>7.0000000000000007E-2</v>
      </c>
    </row>
    <row r="107" spans="1:32" s="25" customFormat="1">
      <c r="A107" s="3" t="str">
        <f>Debt_Qtr!A107</f>
        <v>6.125% Notes due 2038</v>
      </c>
      <c r="B107" s="218"/>
      <c r="C107" s="218"/>
      <c r="D107" s="218"/>
      <c r="E107" s="218"/>
      <c r="F107" s="218"/>
      <c r="G107" s="218"/>
      <c r="H107" s="218"/>
      <c r="I107" s="218"/>
      <c r="J107" s="218"/>
      <c r="K107" s="218"/>
      <c r="L107" s="218"/>
      <c r="M107" s="218"/>
      <c r="N107" s="218"/>
      <c r="O107" s="218"/>
      <c r="P107" s="218"/>
      <c r="Q107" s="218"/>
      <c r="R107" s="218"/>
      <c r="S107" s="226"/>
      <c r="T107" s="226"/>
      <c r="U107" s="226"/>
      <c r="V107" s="226">
        <f>Debt_Qtr!AE107</f>
        <v>6.1249999999999999E-2</v>
      </c>
      <c r="W107" s="226">
        <f>Debt_Qtr!AJ107</f>
        <v>6.1249999999999999E-2</v>
      </c>
      <c r="X107" s="226">
        <f>Debt_Qtr!AO107</f>
        <v>6.1249999999999999E-2</v>
      </c>
      <c r="Y107" s="226">
        <f>Debt_Qtr!AT107</f>
        <v>6.1249999999999999E-2</v>
      </c>
      <c r="Z107" s="226">
        <f>Debt_Qtr!AY107</f>
        <v>6.1249999999999999E-2</v>
      </c>
      <c r="AA107" s="226">
        <f>Debt_Qtr!BD107</f>
        <v>6.1249999999999999E-2</v>
      </c>
      <c r="AB107" s="226">
        <f>Debt_Qtr!BI107</f>
        <v>6.1249999999999999E-2</v>
      </c>
      <c r="AC107" s="218">
        <f t="shared" si="40"/>
        <v>6.1249999999999999E-2</v>
      </c>
      <c r="AD107" s="218">
        <f t="shared" si="40"/>
        <v>6.1249999999999999E-2</v>
      </c>
      <c r="AE107" s="218">
        <f t="shared" si="40"/>
        <v>6.1249999999999999E-2</v>
      </c>
      <c r="AF107" s="218">
        <f t="shared" si="40"/>
        <v>6.1249999999999999E-2</v>
      </c>
    </row>
    <row r="108" spans="1:32" s="25" customFormat="1">
      <c r="A108" s="3" t="str">
        <f>Debt_Qtr!A108</f>
        <v>4.450% Notes due 2038</v>
      </c>
      <c r="B108" s="218"/>
      <c r="C108" s="218"/>
      <c r="D108" s="218"/>
      <c r="E108" s="218"/>
      <c r="F108" s="218"/>
      <c r="G108" s="218"/>
      <c r="H108" s="218"/>
      <c r="I108" s="218"/>
      <c r="J108" s="218"/>
      <c r="K108" s="218"/>
      <c r="L108" s="218"/>
      <c r="M108" s="218"/>
      <c r="N108" s="218"/>
      <c r="O108" s="218"/>
      <c r="P108" s="218"/>
      <c r="Q108" s="218"/>
      <c r="R108" s="218"/>
      <c r="S108" s="226"/>
      <c r="T108" s="226"/>
      <c r="U108" s="226"/>
      <c r="V108" s="226">
        <f>Debt_Qtr!AE108</f>
        <v>4.4499999999999998E-2</v>
      </c>
      <c r="W108" s="226">
        <f>Debt_Qtr!AJ108</f>
        <v>4.4499999999999998E-2</v>
      </c>
      <c r="X108" s="226">
        <f>Debt_Qtr!AO108</f>
        <v>4.4499999999999998E-2</v>
      </c>
      <c r="Y108" s="226">
        <f>Debt_Qtr!AT108</f>
        <v>4.4499999999999998E-2</v>
      </c>
      <c r="Z108" s="226">
        <f>Debt_Qtr!AY108</f>
        <v>4.4499999999999998E-2</v>
      </c>
      <c r="AA108" s="226">
        <f>Debt_Qtr!BD108</f>
        <v>4.4499999999999998E-2</v>
      </c>
      <c r="AB108" s="226">
        <f>Debt_Qtr!BI108</f>
        <v>4.4499999999999998E-2</v>
      </c>
      <c r="AC108" s="218">
        <f t="shared" si="40"/>
        <v>4.4499999999999998E-2</v>
      </c>
      <c r="AD108" s="218">
        <f t="shared" si="40"/>
        <v>4.4499999999999998E-2</v>
      </c>
      <c r="AE108" s="218">
        <f t="shared" si="40"/>
        <v>4.4499999999999998E-2</v>
      </c>
      <c r="AF108" s="218">
        <f t="shared" si="40"/>
        <v>4.4499999999999998E-2</v>
      </c>
    </row>
    <row r="109" spans="1:32" s="25" customFormat="1">
      <c r="A109" s="3" t="str">
        <f>Debt_Qtr!A109</f>
        <v>5.700% Notes due 2040</v>
      </c>
      <c r="B109" s="218"/>
      <c r="C109" s="218"/>
      <c r="D109" s="218"/>
      <c r="E109" s="218"/>
      <c r="F109" s="218"/>
      <c r="G109" s="218"/>
      <c r="H109" s="218"/>
      <c r="I109" s="218"/>
      <c r="J109" s="218"/>
      <c r="K109" s="218"/>
      <c r="L109" s="218"/>
      <c r="M109" s="218"/>
      <c r="N109" s="218"/>
      <c r="O109" s="218"/>
      <c r="P109" s="218"/>
      <c r="Q109" s="218"/>
      <c r="R109" s="218"/>
      <c r="S109" s="226"/>
      <c r="T109" s="226"/>
      <c r="U109" s="226"/>
      <c r="V109" s="226">
        <f>Debt_Qtr!AE109</f>
        <v>5.7000000000000002E-2</v>
      </c>
      <c r="W109" s="226">
        <f>Debt_Qtr!AJ109</f>
        <v>5.7000000000000002E-2</v>
      </c>
      <c r="X109" s="226">
        <f>Debt_Qtr!AO109</f>
        <v>5.7000000000000002E-2</v>
      </c>
      <c r="Y109" s="226">
        <f>Debt_Qtr!AT109</f>
        <v>5.7000000000000002E-2</v>
      </c>
      <c r="Z109" s="226">
        <f>Debt_Qtr!AY109</f>
        <v>5.7000000000000002E-2</v>
      </c>
      <c r="AA109" s="226">
        <f>Debt_Qtr!BD109</f>
        <v>5.7000000000000002E-2</v>
      </c>
      <c r="AB109" s="226">
        <f>Debt_Qtr!BI109</f>
        <v>5.7000000000000002E-2</v>
      </c>
      <c r="AC109" s="218">
        <f t="shared" si="40"/>
        <v>5.7000000000000002E-2</v>
      </c>
      <c r="AD109" s="218">
        <f t="shared" si="40"/>
        <v>5.7000000000000002E-2</v>
      </c>
      <c r="AE109" s="218">
        <f t="shared" si="40"/>
        <v>5.7000000000000002E-2</v>
      </c>
      <c r="AF109" s="218">
        <f t="shared" si="40"/>
        <v>5.7000000000000002E-2</v>
      </c>
    </row>
    <row r="110" spans="1:32" s="25" customFormat="1">
      <c r="A110" s="3" t="str">
        <f>Debt_Qtr!A110</f>
        <v>4.875% Notes due 2040</v>
      </c>
      <c r="B110" s="218"/>
      <c r="C110" s="218"/>
      <c r="D110" s="218"/>
      <c r="E110" s="218"/>
      <c r="F110" s="218"/>
      <c r="G110" s="218"/>
      <c r="H110" s="218"/>
      <c r="I110" s="218"/>
      <c r="J110" s="218"/>
      <c r="K110" s="218"/>
      <c r="L110" s="218"/>
      <c r="M110" s="218"/>
      <c r="N110" s="218"/>
      <c r="O110" s="218"/>
      <c r="P110" s="218"/>
      <c r="Q110" s="218"/>
      <c r="R110" s="218"/>
      <c r="S110" s="226"/>
      <c r="T110" s="226"/>
      <c r="U110" s="226"/>
      <c r="V110" s="226">
        <f>Debt_Qtr!AE110</f>
        <v>4.8750000000000002E-2</v>
      </c>
      <c r="W110" s="226">
        <f>Debt_Qtr!AJ110</f>
        <v>4.8750000000000002E-2</v>
      </c>
      <c r="X110" s="226">
        <f>Debt_Qtr!AO110</f>
        <v>4.8750000000000002E-2</v>
      </c>
      <c r="Y110" s="226">
        <f>Debt_Qtr!AT110</f>
        <v>4.8750000000000002E-2</v>
      </c>
      <c r="Z110" s="226">
        <f>Debt_Qtr!AY110</f>
        <v>4.8750000000000002E-2</v>
      </c>
      <c r="AA110" s="226">
        <f>Debt_Qtr!BD110</f>
        <v>4.8750000000000002E-2</v>
      </c>
      <c r="AB110" s="226">
        <f>Debt_Qtr!BI110</f>
        <v>4.8750000000000002E-2</v>
      </c>
      <c r="AC110" s="218">
        <f t="shared" si="40"/>
        <v>4.8750000000000002E-2</v>
      </c>
      <c r="AD110" s="218">
        <f t="shared" si="40"/>
        <v>4.8750000000000002E-2</v>
      </c>
      <c r="AE110" s="218">
        <f t="shared" si="40"/>
        <v>4.8750000000000002E-2</v>
      </c>
      <c r="AF110" s="218">
        <f t="shared" si="40"/>
        <v>4.8750000000000002E-2</v>
      </c>
    </row>
    <row r="111" spans="1:32" s="25" customFormat="1">
      <c r="A111" s="3" t="str">
        <f>Debt_Qtr!A111</f>
        <v>4.700% Notes due 2041</v>
      </c>
      <c r="B111" s="218"/>
      <c r="C111" s="218"/>
      <c r="D111" s="218"/>
      <c r="E111" s="218"/>
      <c r="F111" s="218"/>
      <c r="G111" s="218"/>
      <c r="H111" s="218"/>
      <c r="I111" s="218"/>
      <c r="J111" s="218"/>
      <c r="K111" s="218"/>
      <c r="L111" s="218"/>
      <c r="M111" s="218"/>
      <c r="N111" s="218"/>
      <c r="O111" s="218"/>
      <c r="P111" s="218"/>
      <c r="Q111" s="218"/>
      <c r="R111" s="218"/>
      <c r="S111" s="226"/>
      <c r="T111" s="226"/>
      <c r="U111" s="226"/>
      <c r="V111" s="226">
        <f>Debt_Qtr!AE111</f>
        <v>4.7E-2</v>
      </c>
      <c r="W111" s="226">
        <f>Debt_Qtr!AJ111</f>
        <v>4.7E-2</v>
      </c>
      <c r="X111" s="226">
        <f>Debt_Qtr!AO111</f>
        <v>4.7E-2</v>
      </c>
      <c r="Y111" s="226">
        <f>Debt_Qtr!AT111</f>
        <v>4.7E-2</v>
      </c>
      <c r="Z111" s="226">
        <f>Debt_Qtr!AY111</f>
        <v>4.7E-2</v>
      </c>
      <c r="AA111" s="226">
        <f>Debt_Qtr!BD111</f>
        <v>4.7E-2</v>
      </c>
      <c r="AB111" s="226">
        <f>Debt_Qtr!BI111</f>
        <v>4.7E-2</v>
      </c>
      <c r="AC111" s="218">
        <f t="shared" ref="AC111:AF128" si="55">AB111</f>
        <v>4.7E-2</v>
      </c>
      <c r="AD111" s="218">
        <f t="shared" si="55"/>
        <v>4.7E-2</v>
      </c>
      <c r="AE111" s="218">
        <f t="shared" si="55"/>
        <v>4.7E-2</v>
      </c>
      <c r="AF111" s="218">
        <f t="shared" si="55"/>
        <v>4.7E-2</v>
      </c>
    </row>
    <row r="112" spans="1:32" s="25" customFormat="1">
      <c r="A112" s="3" t="str">
        <f>Debt_Qtr!A112</f>
        <v>4.500% Notes due 2042</v>
      </c>
      <c r="B112" s="218"/>
      <c r="C112" s="218"/>
      <c r="D112" s="218"/>
      <c r="E112" s="218"/>
      <c r="F112" s="218"/>
      <c r="G112" s="218"/>
      <c r="H112" s="218"/>
      <c r="I112" s="218"/>
      <c r="J112" s="218"/>
      <c r="K112" s="218"/>
      <c r="L112" s="218"/>
      <c r="M112" s="218"/>
      <c r="N112" s="218"/>
      <c r="O112" s="218"/>
      <c r="P112" s="218"/>
      <c r="Q112" s="218"/>
      <c r="R112" s="218"/>
      <c r="S112" s="226"/>
      <c r="T112" s="226"/>
      <c r="U112" s="226"/>
      <c r="V112" s="226">
        <f>Debt_Qtr!AE112</f>
        <v>4.4999999999999998E-2</v>
      </c>
      <c r="W112" s="226">
        <f>Debt_Qtr!AJ112</f>
        <v>4.4999999999999998E-2</v>
      </c>
      <c r="X112" s="226">
        <f>Debt_Qtr!AO112</f>
        <v>4.4999999999999998E-2</v>
      </c>
      <c r="Y112" s="226">
        <f>Debt_Qtr!AT112</f>
        <v>4.4999999999999998E-2</v>
      </c>
      <c r="Z112" s="226">
        <f>Debt_Qtr!AY112</f>
        <v>4.4999999999999998E-2</v>
      </c>
      <c r="AA112" s="226">
        <f>Debt_Qtr!BD112</f>
        <v>4.4999999999999998E-2</v>
      </c>
      <c r="AB112" s="226">
        <f>Debt_Qtr!BI112</f>
        <v>4.4999999999999998E-2</v>
      </c>
      <c r="AC112" s="218">
        <f t="shared" si="55"/>
        <v>4.4999999999999998E-2</v>
      </c>
      <c r="AD112" s="218">
        <f t="shared" si="55"/>
        <v>4.4999999999999998E-2</v>
      </c>
      <c r="AE112" s="218">
        <f t="shared" si="55"/>
        <v>4.4999999999999998E-2</v>
      </c>
      <c r="AF112" s="218">
        <f t="shared" si="55"/>
        <v>4.4999999999999998E-2</v>
      </c>
    </row>
    <row r="113" spans="1:32" s="25" customFormat="1">
      <c r="A113" s="3" t="str">
        <f>Debt_Qtr!A113</f>
        <v>4.800% Notes due 2043</v>
      </c>
      <c r="B113" s="218"/>
      <c r="C113" s="218"/>
      <c r="D113" s="218"/>
      <c r="E113" s="218"/>
      <c r="F113" s="218"/>
      <c r="G113" s="218"/>
      <c r="H113" s="218"/>
      <c r="I113" s="218"/>
      <c r="J113" s="218"/>
      <c r="K113" s="218"/>
      <c r="L113" s="218"/>
      <c r="M113" s="218"/>
      <c r="N113" s="218"/>
      <c r="O113" s="218"/>
      <c r="P113" s="218"/>
      <c r="Q113" s="218"/>
      <c r="R113" s="218"/>
      <c r="S113" s="226"/>
      <c r="T113" s="226"/>
      <c r="U113" s="226"/>
      <c r="V113" s="226">
        <f>Debt_Qtr!AE113</f>
        <v>4.8000000000000001E-2</v>
      </c>
      <c r="W113" s="226">
        <f>Debt_Qtr!AJ113</f>
        <v>4.8000000000000001E-2</v>
      </c>
      <c r="X113" s="226">
        <f>Debt_Qtr!AO113</f>
        <v>4.8000000000000001E-2</v>
      </c>
      <c r="Y113" s="226">
        <f>Debt_Qtr!AT113</f>
        <v>4.8000000000000001E-2</v>
      </c>
      <c r="Z113" s="226">
        <f>Debt_Qtr!AY113</f>
        <v>4.8000000000000001E-2</v>
      </c>
      <c r="AA113" s="226">
        <f>Debt_Qtr!BD113</f>
        <v>4.8000000000000001E-2</v>
      </c>
      <c r="AB113" s="226">
        <f>Debt_Qtr!BI113</f>
        <v>4.8000000000000001E-2</v>
      </c>
      <c r="AC113" s="218">
        <f t="shared" si="55"/>
        <v>4.8000000000000001E-2</v>
      </c>
      <c r="AD113" s="218">
        <f t="shared" si="55"/>
        <v>4.8000000000000001E-2</v>
      </c>
      <c r="AE113" s="218">
        <f t="shared" si="55"/>
        <v>4.8000000000000001E-2</v>
      </c>
      <c r="AF113" s="218">
        <f t="shared" si="55"/>
        <v>4.8000000000000001E-2</v>
      </c>
    </row>
    <row r="114" spans="1:32" s="25" customFormat="1">
      <c r="A114" s="3" t="str">
        <f>Debt_Qtr!A114</f>
        <v>4.200% Notes due 2044</v>
      </c>
      <c r="B114" s="218"/>
      <c r="C114" s="218"/>
      <c r="D114" s="218"/>
      <c r="E114" s="218"/>
      <c r="F114" s="218"/>
      <c r="G114" s="218"/>
      <c r="H114" s="218"/>
      <c r="I114" s="218"/>
      <c r="J114" s="218"/>
      <c r="K114" s="218"/>
      <c r="L114" s="218"/>
      <c r="M114" s="218"/>
      <c r="N114" s="218"/>
      <c r="O114" s="218"/>
      <c r="P114" s="218"/>
      <c r="Q114" s="218"/>
      <c r="R114" s="218"/>
      <c r="S114" s="226"/>
      <c r="T114" s="226"/>
      <c r="U114" s="226"/>
      <c r="V114" s="226">
        <f>Debt_Qtr!AE114</f>
        <v>4.2000000000000003E-2</v>
      </c>
      <c r="W114" s="226">
        <f>Debt_Qtr!AJ114</f>
        <v>4.2000000000000003E-2</v>
      </c>
      <c r="X114" s="226">
        <f>Debt_Qtr!AO114</f>
        <v>4.2000000000000003E-2</v>
      </c>
      <c r="Y114" s="226">
        <f>Debt_Qtr!AT114</f>
        <v>4.2000000000000003E-2</v>
      </c>
      <c r="Z114" s="226">
        <f>Debt_Qtr!AY114</f>
        <v>4.2000000000000003E-2</v>
      </c>
      <c r="AA114" s="226">
        <f>Debt_Qtr!BD114</f>
        <v>4.2000000000000003E-2</v>
      </c>
      <c r="AB114" s="226">
        <f>Debt_Qtr!BI114</f>
        <v>4.2000000000000003E-2</v>
      </c>
      <c r="AC114" s="218">
        <f t="shared" si="55"/>
        <v>4.2000000000000003E-2</v>
      </c>
      <c r="AD114" s="218">
        <f t="shared" si="55"/>
        <v>4.2000000000000003E-2</v>
      </c>
      <c r="AE114" s="218">
        <f t="shared" si="55"/>
        <v>4.2000000000000003E-2</v>
      </c>
      <c r="AF114" s="218">
        <f t="shared" si="55"/>
        <v>4.2000000000000003E-2</v>
      </c>
    </row>
    <row r="115" spans="1:32" s="25" customFormat="1">
      <c r="A115" s="3" t="str">
        <f>Debt_Qtr!A115</f>
        <v>4.150% Notes due 2045</v>
      </c>
      <c r="B115" s="218"/>
      <c r="C115" s="218"/>
      <c r="D115" s="218"/>
      <c r="E115" s="218"/>
      <c r="F115" s="218"/>
      <c r="G115" s="218"/>
      <c r="H115" s="218"/>
      <c r="I115" s="218"/>
      <c r="J115" s="218"/>
      <c r="K115" s="218"/>
      <c r="L115" s="218"/>
      <c r="M115" s="218"/>
      <c r="N115" s="218"/>
      <c r="O115" s="218"/>
      <c r="P115" s="218"/>
      <c r="Q115" s="218"/>
      <c r="R115" s="218"/>
      <c r="S115" s="226"/>
      <c r="T115" s="226"/>
      <c r="U115" s="226"/>
      <c r="V115" s="226">
        <f>Debt_Qtr!AE115</f>
        <v>4.1500000000000002E-2</v>
      </c>
      <c r="W115" s="226">
        <f>Debt_Qtr!AJ115</f>
        <v>4.1500000000000002E-2</v>
      </c>
      <c r="X115" s="226">
        <f>Debt_Qtr!AO115</f>
        <v>4.1500000000000002E-2</v>
      </c>
      <c r="Y115" s="226">
        <f>Debt_Qtr!AT115</f>
        <v>4.1500000000000002E-2</v>
      </c>
      <c r="Z115" s="226">
        <f>Debt_Qtr!AY115</f>
        <v>4.1500000000000002E-2</v>
      </c>
      <c r="AA115" s="226">
        <f>Debt_Qtr!BD115</f>
        <v>4.1500000000000002E-2</v>
      </c>
      <c r="AB115" s="226">
        <f>Debt_Qtr!BI115</f>
        <v>4.1500000000000002E-2</v>
      </c>
      <c r="AC115" s="218">
        <f t="shared" si="55"/>
        <v>4.1500000000000002E-2</v>
      </c>
      <c r="AD115" s="218">
        <f t="shared" si="55"/>
        <v>4.1500000000000002E-2</v>
      </c>
      <c r="AE115" s="218">
        <f t="shared" si="55"/>
        <v>4.1500000000000002E-2</v>
      </c>
      <c r="AF115" s="218">
        <f t="shared" si="55"/>
        <v>4.1500000000000002E-2</v>
      </c>
    </row>
    <row r="116" spans="1:32" s="25" customFormat="1">
      <c r="A116" s="3" t="str">
        <f>Debt_Qtr!A116</f>
        <v>3.750% Notes due 2046</v>
      </c>
      <c r="B116" s="218"/>
      <c r="C116" s="218"/>
      <c r="D116" s="218"/>
      <c r="E116" s="218"/>
      <c r="F116" s="218"/>
      <c r="G116" s="218"/>
      <c r="H116" s="218"/>
      <c r="I116" s="218"/>
      <c r="J116" s="218"/>
      <c r="K116" s="218"/>
      <c r="L116" s="218"/>
      <c r="M116" s="218"/>
      <c r="N116" s="218"/>
      <c r="O116" s="218"/>
      <c r="P116" s="218"/>
      <c r="Q116" s="218"/>
      <c r="R116" s="218"/>
      <c r="S116" s="226"/>
      <c r="T116" s="226"/>
      <c r="U116" s="226"/>
      <c r="V116" s="226">
        <f>Debt_Qtr!AE116</f>
        <v>3.7499999999999999E-2</v>
      </c>
      <c r="W116" s="226">
        <f>Debt_Qtr!AJ116</f>
        <v>3.7499999999999999E-2</v>
      </c>
      <c r="X116" s="226">
        <f>Debt_Qtr!AO116</f>
        <v>3.7499999999999999E-2</v>
      </c>
      <c r="Y116" s="226">
        <f>Debt_Qtr!AT116</f>
        <v>3.7499999999999999E-2</v>
      </c>
      <c r="Z116" s="226">
        <f>Debt_Qtr!AY116</f>
        <v>3.7499999999999999E-2</v>
      </c>
      <c r="AA116" s="226">
        <f>Debt_Qtr!BD116</f>
        <v>3.7499999999999999E-2</v>
      </c>
      <c r="AB116" s="226">
        <f>Debt_Qtr!BI116</f>
        <v>3.7499999999999999E-2</v>
      </c>
      <c r="AC116" s="218">
        <f t="shared" si="55"/>
        <v>3.7499999999999999E-2</v>
      </c>
      <c r="AD116" s="218">
        <f t="shared" si="55"/>
        <v>3.7499999999999999E-2</v>
      </c>
      <c r="AE116" s="218">
        <f t="shared" si="55"/>
        <v>3.7499999999999999E-2</v>
      </c>
      <c r="AF116" s="218">
        <f t="shared" si="55"/>
        <v>3.7499999999999999E-2</v>
      </c>
    </row>
    <row r="117" spans="1:32" s="25" customFormat="1">
      <c r="A117" s="3" t="str">
        <f>Debt_Qtr!A117</f>
        <v>4.050% Notes due 2047</v>
      </c>
      <c r="B117" s="218"/>
      <c r="C117" s="218"/>
      <c r="D117" s="218"/>
      <c r="E117" s="218"/>
      <c r="F117" s="218"/>
      <c r="G117" s="218"/>
      <c r="H117" s="218"/>
      <c r="I117" s="218"/>
      <c r="J117" s="218"/>
      <c r="K117" s="218"/>
      <c r="L117" s="218"/>
      <c r="M117" s="218"/>
      <c r="N117" s="218"/>
      <c r="O117" s="218"/>
      <c r="P117" s="218"/>
      <c r="Q117" s="218"/>
      <c r="R117" s="218"/>
      <c r="S117" s="226"/>
      <c r="T117" s="226"/>
      <c r="U117" s="226"/>
      <c r="V117" s="226">
        <f>Debt_Qtr!AE117</f>
        <v>4.0500000000000001E-2</v>
      </c>
      <c r="W117" s="226">
        <f>Debt_Qtr!AJ117</f>
        <v>4.0500000000000001E-2</v>
      </c>
      <c r="X117" s="226">
        <f>Debt_Qtr!AO117</f>
        <v>4.0500000000000001E-2</v>
      </c>
      <c r="Y117" s="226">
        <f>Debt_Qtr!AT117</f>
        <v>4.0500000000000001E-2</v>
      </c>
      <c r="Z117" s="226">
        <f>Debt_Qtr!AY117</f>
        <v>4.0500000000000001E-2</v>
      </c>
      <c r="AA117" s="226">
        <f>Debt_Qtr!BD117</f>
        <v>4.0500000000000001E-2</v>
      </c>
      <c r="AB117" s="226">
        <f>Debt_Qtr!BI117</f>
        <v>4.0500000000000001E-2</v>
      </c>
      <c r="AC117" s="218">
        <f t="shared" si="55"/>
        <v>4.0500000000000001E-2</v>
      </c>
      <c r="AD117" s="218">
        <f t="shared" si="55"/>
        <v>4.0500000000000001E-2</v>
      </c>
      <c r="AE117" s="218">
        <f t="shared" si="55"/>
        <v>4.0500000000000001E-2</v>
      </c>
      <c r="AF117" s="218">
        <f t="shared" si="55"/>
        <v>4.0500000000000001E-2</v>
      </c>
    </row>
    <row r="118" spans="1:32" s="25" customFormat="1">
      <c r="A118" s="3" t="str">
        <f>Debt_Qtr!A118</f>
        <v>4.350% Notes due 2047</v>
      </c>
      <c r="B118" s="218"/>
      <c r="C118" s="218"/>
      <c r="D118" s="218"/>
      <c r="E118" s="218"/>
      <c r="F118" s="218"/>
      <c r="G118" s="218"/>
      <c r="H118" s="218"/>
      <c r="I118" s="218"/>
      <c r="J118" s="218"/>
      <c r="K118" s="218"/>
      <c r="L118" s="218"/>
      <c r="M118" s="218"/>
      <c r="N118" s="218"/>
      <c r="O118" s="218"/>
      <c r="P118" s="218"/>
      <c r="Q118" s="218"/>
      <c r="R118" s="218"/>
      <c r="S118" s="226"/>
      <c r="T118" s="226"/>
      <c r="U118" s="226"/>
      <c r="V118" s="226">
        <f>Debt_Qtr!AE118</f>
        <v>4.3499999999999997E-2</v>
      </c>
      <c r="W118" s="226">
        <f>Debt_Qtr!AJ118</f>
        <v>4.3499999999999997E-2</v>
      </c>
      <c r="X118" s="226">
        <f>Debt_Qtr!AO118</f>
        <v>4.3499999999999997E-2</v>
      </c>
      <c r="Y118" s="226">
        <f>Debt_Qtr!AT118</f>
        <v>4.3499999999999997E-2</v>
      </c>
      <c r="Z118" s="226">
        <f>Debt_Qtr!AY118</f>
        <v>4.3499999999999997E-2</v>
      </c>
      <c r="AA118" s="226">
        <f>Debt_Qtr!BD118</f>
        <v>4.3499999999999997E-2</v>
      </c>
      <c r="AB118" s="226">
        <f>Debt_Qtr!BI118</f>
        <v>4.3499999999999997E-2</v>
      </c>
      <c r="AC118" s="218">
        <f t="shared" si="55"/>
        <v>4.3499999999999997E-2</v>
      </c>
      <c r="AD118" s="218">
        <f t="shared" si="55"/>
        <v>4.3499999999999997E-2</v>
      </c>
      <c r="AE118" s="218">
        <f t="shared" si="55"/>
        <v>4.3499999999999997E-2</v>
      </c>
      <c r="AF118" s="218">
        <f t="shared" si="55"/>
        <v>4.3499999999999997E-2</v>
      </c>
    </row>
    <row r="119" spans="1:32" s="25" customFormat="1">
      <c r="A119" s="3" t="str">
        <f>Debt_Qtr!A119</f>
        <v>4.625% Notes due 2048</v>
      </c>
      <c r="B119" s="218"/>
      <c r="C119" s="218"/>
      <c r="D119" s="218"/>
      <c r="E119" s="218"/>
      <c r="F119" s="218"/>
      <c r="G119" s="218"/>
      <c r="H119" s="218"/>
      <c r="I119" s="218"/>
      <c r="J119" s="218"/>
      <c r="K119" s="218"/>
      <c r="L119" s="218"/>
      <c r="M119" s="218"/>
      <c r="N119" s="218"/>
      <c r="O119" s="218"/>
      <c r="P119" s="218"/>
      <c r="Q119" s="218"/>
      <c r="R119" s="218"/>
      <c r="S119" s="226"/>
      <c r="T119" s="226"/>
      <c r="U119" s="226"/>
      <c r="V119" s="226">
        <f>Debt_Qtr!AE119</f>
        <v>4.6249999999999999E-2</v>
      </c>
      <c r="W119" s="226">
        <f>Debt_Qtr!AJ119</f>
        <v>4.6249999999999999E-2</v>
      </c>
      <c r="X119" s="226">
        <f>Debt_Qtr!AO119</f>
        <v>4.6249999999999999E-2</v>
      </c>
      <c r="Y119" s="226">
        <f>Debt_Qtr!AT119</f>
        <v>4.6249999999999999E-2</v>
      </c>
      <c r="Z119" s="226">
        <f>Debt_Qtr!AY119</f>
        <v>4.6249999999999999E-2</v>
      </c>
      <c r="AA119" s="226">
        <f>Debt_Qtr!BD119</f>
        <v>4.6249999999999999E-2</v>
      </c>
      <c r="AB119" s="226">
        <f>Debt_Qtr!BI119</f>
        <v>4.6249999999999999E-2</v>
      </c>
      <c r="AC119" s="218">
        <f t="shared" si="55"/>
        <v>4.6249999999999999E-2</v>
      </c>
      <c r="AD119" s="218">
        <f t="shared" si="55"/>
        <v>4.6249999999999999E-2</v>
      </c>
      <c r="AE119" s="218">
        <f t="shared" si="55"/>
        <v>4.6249999999999999E-2</v>
      </c>
      <c r="AF119" s="218">
        <f t="shared" si="55"/>
        <v>4.6249999999999999E-2</v>
      </c>
    </row>
    <row r="120" spans="1:32" s="25" customFormat="1">
      <c r="A120" s="3" t="str">
        <f>Debt_Qtr!A120</f>
        <v>3.125% Notes due 2050</v>
      </c>
      <c r="B120" s="218"/>
      <c r="C120" s="218"/>
      <c r="D120" s="218"/>
      <c r="E120" s="218"/>
      <c r="F120" s="218"/>
      <c r="G120" s="218"/>
      <c r="H120" s="218"/>
      <c r="I120" s="218"/>
      <c r="J120" s="218"/>
      <c r="K120" s="218"/>
      <c r="L120" s="218"/>
      <c r="M120" s="218"/>
      <c r="N120" s="218"/>
      <c r="O120" s="218"/>
      <c r="P120" s="218"/>
      <c r="Q120" s="218"/>
      <c r="R120" s="218"/>
      <c r="S120" s="226"/>
      <c r="T120" s="226"/>
      <c r="U120" s="226"/>
      <c r="V120" s="226">
        <f>Debt_Qtr!AE120</f>
        <v>3.125E-2</v>
      </c>
      <c r="W120" s="226">
        <f>Debt_Qtr!AJ120</f>
        <v>3.125E-2</v>
      </c>
      <c r="X120" s="226">
        <f>Debt_Qtr!AO120</f>
        <v>3.125E-2</v>
      </c>
      <c r="Y120" s="226">
        <f>Debt_Qtr!AT120</f>
        <v>3.125E-2</v>
      </c>
      <c r="Z120" s="226">
        <f>Debt_Qtr!AY120</f>
        <v>3.125E-2</v>
      </c>
      <c r="AA120" s="226">
        <f>Debt_Qtr!BD120</f>
        <v>3.125E-2</v>
      </c>
      <c r="AB120" s="226">
        <f>Debt_Qtr!BI120</f>
        <v>3.125E-2</v>
      </c>
      <c r="AC120" s="218">
        <f t="shared" si="55"/>
        <v>3.125E-2</v>
      </c>
      <c r="AD120" s="218">
        <f t="shared" si="55"/>
        <v>3.125E-2</v>
      </c>
      <c r="AE120" s="218">
        <f t="shared" si="55"/>
        <v>3.125E-2</v>
      </c>
      <c r="AF120" s="218">
        <f t="shared" si="55"/>
        <v>3.125E-2</v>
      </c>
    </row>
    <row r="121" spans="1:32" s="25" customFormat="1">
      <c r="A121" s="3" t="str">
        <f>Debt_Qtr!A121</f>
        <v>2.820% Notes due 2051</v>
      </c>
      <c r="B121" s="218"/>
      <c r="C121" s="218"/>
      <c r="D121" s="218"/>
      <c r="E121" s="218"/>
      <c r="F121" s="218"/>
      <c r="G121" s="218"/>
      <c r="H121" s="218"/>
      <c r="I121" s="218"/>
      <c r="J121" s="218"/>
      <c r="K121" s="218"/>
      <c r="L121" s="218"/>
      <c r="M121" s="218"/>
      <c r="N121" s="218"/>
      <c r="O121" s="218"/>
      <c r="P121" s="218"/>
      <c r="Q121" s="218"/>
      <c r="R121" s="218"/>
      <c r="S121" s="226"/>
      <c r="T121" s="226"/>
      <c r="U121" s="226"/>
      <c r="V121" s="226">
        <f>Debt_Qtr!AE121</f>
        <v>0</v>
      </c>
      <c r="W121" s="226">
        <f>Debt_Qtr!AJ121</f>
        <v>2.8199999999999999E-2</v>
      </c>
      <c r="X121" s="226">
        <f>Debt_Qtr!AO121</f>
        <v>2.8199999999999999E-2</v>
      </c>
      <c r="Y121" s="226">
        <f>Debt_Qtr!AT121</f>
        <v>2.8199999999999999E-2</v>
      </c>
      <c r="Z121" s="226">
        <f>Debt_Qtr!AY121</f>
        <v>2.8199999999999999E-2</v>
      </c>
      <c r="AA121" s="226">
        <f>Debt_Qtr!BD121</f>
        <v>2.8199999999999999E-2</v>
      </c>
      <c r="AB121" s="226">
        <f>Debt_Qtr!BI121</f>
        <v>2.8199999999999999E-2</v>
      </c>
      <c r="AC121" s="218">
        <f t="shared" ref="AC121:AF121" si="56">AB121</f>
        <v>2.8199999999999999E-2</v>
      </c>
      <c r="AD121" s="218">
        <f t="shared" si="56"/>
        <v>2.8199999999999999E-2</v>
      </c>
      <c r="AE121" s="218">
        <f t="shared" si="56"/>
        <v>2.8199999999999999E-2</v>
      </c>
      <c r="AF121" s="218">
        <f t="shared" si="56"/>
        <v>2.8199999999999999E-2</v>
      </c>
    </row>
    <row r="122" spans="1:32" s="25" customFormat="1">
      <c r="A122" s="3" t="str">
        <f>Debt_Qtr!A122</f>
        <v>3.030% Notes due 2052</v>
      </c>
      <c r="B122" s="218"/>
      <c r="C122" s="218"/>
      <c r="D122" s="218"/>
      <c r="E122" s="218"/>
      <c r="F122" s="218"/>
      <c r="G122" s="218"/>
      <c r="H122" s="218"/>
      <c r="I122" s="218"/>
      <c r="J122" s="218"/>
      <c r="K122" s="218"/>
      <c r="L122" s="218"/>
      <c r="M122" s="218"/>
      <c r="N122" s="218"/>
      <c r="O122" s="218"/>
      <c r="P122" s="218"/>
      <c r="Q122" s="218"/>
      <c r="R122" s="218"/>
      <c r="S122" s="226"/>
      <c r="T122" s="226"/>
      <c r="U122" s="226"/>
      <c r="V122" s="226">
        <f>Debt_Qtr!AE122</f>
        <v>0</v>
      </c>
      <c r="W122" s="226">
        <f>Debt_Qtr!AJ122</f>
        <v>3.0300000000000001E-2</v>
      </c>
      <c r="X122" s="226">
        <f>Debt_Qtr!AO122</f>
        <v>3.0300000000000001E-2</v>
      </c>
      <c r="Y122" s="226">
        <f>Debt_Qtr!AT122</f>
        <v>3.0300000000000001E-2</v>
      </c>
      <c r="Z122" s="226">
        <f>Debt_Qtr!AY122</f>
        <v>3.0300000000000001E-2</v>
      </c>
      <c r="AA122" s="226">
        <f>Debt_Qtr!BD122</f>
        <v>3.0300000000000001E-2</v>
      </c>
      <c r="AB122" s="226">
        <f>Debt_Qtr!BI122</f>
        <v>3.0300000000000001E-2</v>
      </c>
      <c r="AC122" s="218">
        <f t="shared" ref="AC122:AF122" si="57">AB122</f>
        <v>3.0300000000000001E-2</v>
      </c>
      <c r="AD122" s="218">
        <f t="shared" si="57"/>
        <v>3.0300000000000001E-2</v>
      </c>
      <c r="AE122" s="218">
        <f t="shared" si="57"/>
        <v>3.0300000000000001E-2</v>
      </c>
      <c r="AF122" s="218">
        <f t="shared" si="57"/>
        <v>3.0300000000000001E-2</v>
      </c>
    </row>
    <row r="123" spans="1:32" s="25" customFormat="1">
      <c r="A123" s="3" t="str">
        <f>Debt_Qtr!A123</f>
        <v>3.030% Notes due 2053</v>
      </c>
      <c r="B123" s="218"/>
      <c r="C123" s="218"/>
      <c r="D123" s="218"/>
      <c r="E123" s="218"/>
      <c r="F123" s="218"/>
      <c r="G123" s="218"/>
      <c r="H123" s="218"/>
      <c r="I123" s="218"/>
      <c r="J123" s="218"/>
      <c r="K123" s="218"/>
      <c r="L123" s="218"/>
      <c r="M123" s="218"/>
      <c r="N123" s="218"/>
      <c r="O123" s="218"/>
      <c r="P123" s="218"/>
      <c r="Q123" s="218"/>
      <c r="R123" s="218"/>
      <c r="S123" s="226"/>
      <c r="T123" s="226"/>
      <c r="U123" s="226"/>
      <c r="V123" s="226">
        <f>Debt_Qtr!AE123</f>
        <v>5.3749999999999999E-2</v>
      </c>
      <c r="W123" s="226">
        <f>Debt_Qtr!AJ123</f>
        <v>5.3749999999999999E-2</v>
      </c>
      <c r="X123" s="226">
        <f>Debt_Qtr!AO123</f>
        <v>5.3749999999999999E-2</v>
      </c>
      <c r="Y123" s="226">
        <f>Debt_Qtr!AT123</f>
        <v>5.3749999999999999E-2</v>
      </c>
      <c r="Z123" s="226">
        <f>Debt_Qtr!AY123</f>
        <v>5.3749999999999999E-2</v>
      </c>
      <c r="AA123" s="226">
        <f>Debt_Qtr!BD123</f>
        <v>5.3749999999999999E-2</v>
      </c>
      <c r="AB123" s="226">
        <f>Debt_Qtr!BI123</f>
        <v>5.3749999999999999E-2</v>
      </c>
      <c r="AC123" s="218">
        <f t="shared" ref="AC123:AF123" si="58">AB123</f>
        <v>5.3749999999999999E-2</v>
      </c>
      <c r="AD123" s="218">
        <f t="shared" si="58"/>
        <v>5.3749999999999999E-2</v>
      </c>
      <c r="AE123" s="218">
        <f t="shared" si="58"/>
        <v>5.3749999999999999E-2</v>
      </c>
      <c r="AF123" s="218">
        <f t="shared" si="58"/>
        <v>5.3749999999999999E-2</v>
      </c>
    </row>
    <row r="124" spans="1:32" s="25" customFormat="1">
      <c r="A124" s="525" t="s">
        <v>475</v>
      </c>
      <c r="B124" s="218"/>
      <c r="C124" s="218"/>
      <c r="D124" s="218"/>
      <c r="E124" s="218"/>
      <c r="F124" s="218"/>
      <c r="G124" s="218"/>
      <c r="H124" s="218"/>
      <c r="I124" s="218"/>
      <c r="J124" s="218"/>
      <c r="K124" s="218"/>
      <c r="L124" s="218"/>
      <c r="M124" s="218"/>
      <c r="N124" s="218"/>
      <c r="O124" s="218"/>
      <c r="P124" s="218"/>
      <c r="Q124" s="218"/>
      <c r="R124" s="218"/>
      <c r="S124" s="226"/>
      <c r="T124" s="226"/>
      <c r="U124" s="226"/>
      <c r="V124" s="226"/>
      <c r="W124" s="226"/>
      <c r="X124" s="226"/>
      <c r="Y124" s="226">
        <f>Debt_Qtr!AT124</f>
        <v>6.4000000000000001E-2</v>
      </c>
      <c r="Z124" s="226">
        <f>Debt_Qtr!AY124</f>
        <v>6.4000000000000001E-2</v>
      </c>
      <c r="AA124" s="226">
        <f>Debt_Qtr!BD124</f>
        <v>6.4000000000000001E-2</v>
      </c>
      <c r="AB124" s="226">
        <f>Debt_Qtr!BI124</f>
        <v>6.4000000000000001E-2</v>
      </c>
      <c r="AC124" s="218">
        <f t="shared" ref="AC124" si="59">AB124</f>
        <v>6.4000000000000001E-2</v>
      </c>
      <c r="AD124" s="218">
        <f t="shared" ref="AD124:AF124" si="60">AC124</f>
        <v>6.4000000000000001E-2</v>
      </c>
      <c r="AE124" s="218">
        <f t="shared" si="60"/>
        <v>6.4000000000000001E-2</v>
      </c>
      <c r="AF124" s="218">
        <f t="shared" si="60"/>
        <v>6.4000000000000001E-2</v>
      </c>
    </row>
    <row r="125" spans="1:32" s="25" customFormat="1">
      <c r="A125" s="3" t="str">
        <f>Debt_Qtr!A125</f>
        <v>Other (Including Finance Leases)</v>
      </c>
      <c r="B125" s="218"/>
      <c r="C125" s="218"/>
      <c r="D125" s="218"/>
      <c r="E125" s="218"/>
      <c r="F125" s="218"/>
      <c r="G125" s="218"/>
      <c r="H125" s="218"/>
      <c r="I125" s="218"/>
      <c r="J125" s="218"/>
      <c r="K125" s="218"/>
      <c r="L125" s="218"/>
      <c r="M125" s="218"/>
      <c r="N125" s="218"/>
      <c r="O125" s="218"/>
      <c r="P125" s="218"/>
      <c r="Q125" s="218"/>
      <c r="R125" s="218"/>
      <c r="S125" s="226"/>
      <c r="T125" s="226"/>
      <c r="U125" s="226"/>
      <c r="V125" s="226">
        <f>Debt_Qtr!AE125</f>
        <v>3.7999999999999999E-2</v>
      </c>
      <c r="W125" s="226">
        <f>Debt_Qtr!AJ125</f>
        <v>3.7999999999999999E-2</v>
      </c>
      <c r="X125" s="226">
        <f>Debt_Qtr!AO125</f>
        <v>3.7999999999999999E-2</v>
      </c>
      <c r="Y125" s="226">
        <f>Debt_Qtr!AT125</f>
        <v>3.7999999999999999E-2</v>
      </c>
      <c r="Z125" s="226">
        <f>Debt_Qtr!AY125</f>
        <v>3.7999999999999999E-2</v>
      </c>
      <c r="AA125" s="226">
        <f>Debt_Qtr!BD125</f>
        <v>3.7999999999999999E-2</v>
      </c>
      <c r="AB125" s="226">
        <f>Debt_Qtr!BI125</f>
        <v>3.7999999999999999E-2</v>
      </c>
      <c r="AC125" s="218">
        <f t="shared" si="55"/>
        <v>3.7999999999999999E-2</v>
      </c>
      <c r="AD125" s="218">
        <f t="shared" si="55"/>
        <v>3.7999999999999999E-2</v>
      </c>
      <c r="AE125" s="218">
        <f t="shared" si="55"/>
        <v>3.7999999999999999E-2</v>
      </c>
      <c r="AF125" s="218">
        <f t="shared" si="55"/>
        <v>3.7999999999999999E-2</v>
      </c>
    </row>
    <row r="126" spans="1:32" s="25" customFormat="1">
      <c r="A126" s="3" t="str">
        <f>Debt_Qtr!A126</f>
        <v>Commercial Paper</v>
      </c>
      <c r="B126" s="218"/>
      <c r="C126" s="218"/>
      <c r="D126" s="218"/>
      <c r="E126" s="218"/>
      <c r="F126" s="218"/>
      <c r="G126" s="218"/>
      <c r="H126" s="218"/>
      <c r="I126" s="218"/>
      <c r="J126" s="218"/>
      <c r="K126" s="218"/>
      <c r="L126" s="218"/>
      <c r="M126" s="218"/>
      <c r="N126" s="218"/>
      <c r="O126" s="218"/>
      <c r="P126" s="218"/>
      <c r="Q126" s="218"/>
      <c r="R126" s="218"/>
      <c r="S126" s="226"/>
      <c r="T126" s="226"/>
      <c r="U126" s="226"/>
      <c r="V126" s="226">
        <f>Debt_Qtr!AE126</f>
        <v>3.7999999999999999E-2</v>
      </c>
      <c r="W126" s="226">
        <f>Debt_Qtr!AJ126</f>
        <v>3.7999999999999999E-2</v>
      </c>
      <c r="X126" s="226">
        <f>Debt_Qtr!AO126</f>
        <v>3.7999999999999999E-2</v>
      </c>
      <c r="Y126" s="226">
        <f>Debt_Qtr!AT126</f>
        <v>3.7999999999999999E-2</v>
      </c>
      <c r="Z126" s="226">
        <f>Debt_Qtr!AY126</f>
        <v>3.7999999999999999E-2</v>
      </c>
      <c r="AA126" s="226">
        <f>Debt_Qtr!BD126</f>
        <v>4.7E-2</v>
      </c>
      <c r="AB126" s="226">
        <f>Debt_Qtr!BI126</f>
        <v>4.7E-2</v>
      </c>
      <c r="AC126" s="218">
        <f t="shared" si="55"/>
        <v>4.7E-2</v>
      </c>
      <c r="AD126" s="218">
        <f t="shared" si="55"/>
        <v>4.7E-2</v>
      </c>
      <c r="AE126" s="218">
        <f t="shared" si="55"/>
        <v>4.7E-2</v>
      </c>
      <c r="AF126" s="218">
        <f t="shared" si="55"/>
        <v>4.7E-2</v>
      </c>
    </row>
    <row r="127" spans="1:32" s="25" customFormat="1">
      <c r="A127" s="3" t="str">
        <f>Debt_Qtr!A127</f>
        <v>Other Debts</v>
      </c>
      <c r="B127" s="218"/>
      <c r="C127" s="218"/>
      <c r="D127" s="218"/>
      <c r="E127" s="218"/>
      <c r="F127" s="218"/>
      <c r="G127" s="218"/>
      <c r="H127" s="218"/>
      <c r="I127" s="218"/>
      <c r="J127" s="218"/>
      <c r="K127" s="218"/>
      <c r="L127" s="218"/>
      <c r="M127" s="218"/>
      <c r="N127" s="218"/>
      <c r="O127" s="218"/>
      <c r="P127" s="218"/>
      <c r="Q127" s="218"/>
      <c r="R127" s="218"/>
      <c r="S127" s="226"/>
      <c r="T127" s="226"/>
      <c r="U127" s="226"/>
      <c r="V127" s="226">
        <f>Debt_Qtr!AE127</f>
        <v>3.7999999999999999E-2</v>
      </c>
      <c r="W127" s="226">
        <f>Debt_Qtr!AJ127</f>
        <v>3.7999999999999999E-2</v>
      </c>
      <c r="X127" s="226">
        <f>Debt_Qtr!AO127</f>
        <v>3.7999999999999999E-2</v>
      </c>
      <c r="Y127" s="226">
        <f>Debt_Qtr!AT127</f>
        <v>3.7999999999999999E-2</v>
      </c>
      <c r="Z127" s="226">
        <f>Debt_Qtr!AY127</f>
        <v>3.7999999999999999E-2</v>
      </c>
      <c r="AA127" s="226">
        <f>Debt_Qtr!BD127</f>
        <v>3.7999999999999999E-2</v>
      </c>
      <c r="AB127" s="226">
        <f>Debt_Qtr!BI127</f>
        <v>3.7999999999999999E-2</v>
      </c>
      <c r="AC127" s="218">
        <f t="shared" si="55"/>
        <v>3.7999999999999999E-2</v>
      </c>
      <c r="AD127" s="218">
        <f t="shared" si="55"/>
        <v>3.7999999999999999E-2</v>
      </c>
      <c r="AE127" s="218">
        <f t="shared" si="55"/>
        <v>3.7999999999999999E-2</v>
      </c>
      <c r="AF127" s="218">
        <f t="shared" si="55"/>
        <v>3.7999999999999999E-2</v>
      </c>
    </row>
    <row r="128" spans="1:32" s="25" customFormat="1">
      <c r="A128" s="3" t="str">
        <f>Debt_Qtr!A128</f>
        <v>Additional Debt</v>
      </c>
      <c r="B128" s="218"/>
      <c r="C128" s="218"/>
      <c r="D128" s="218"/>
      <c r="E128" s="218"/>
      <c r="F128" s="218"/>
      <c r="G128" s="218"/>
      <c r="H128" s="218"/>
      <c r="I128" s="218"/>
      <c r="J128" s="218"/>
      <c r="K128" s="218"/>
      <c r="L128" s="218"/>
      <c r="M128" s="218"/>
      <c r="N128" s="218"/>
      <c r="O128" s="218"/>
      <c r="P128" s="218"/>
      <c r="Q128" s="218"/>
      <c r="R128" s="218"/>
      <c r="S128" s="226"/>
      <c r="T128" s="226"/>
      <c r="U128" s="226"/>
      <c r="V128" s="226">
        <f>Debt_Qtr!AE128</f>
        <v>0</v>
      </c>
      <c r="W128" s="226">
        <f>Debt_Qtr!AJ128</f>
        <v>0</v>
      </c>
      <c r="X128" s="226">
        <f>Debt_Qtr!AO128</f>
        <v>0</v>
      </c>
      <c r="Y128" s="226">
        <f>Debt_Qtr!AT128</f>
        <v>6.5000000000000002E-2</v>
      </c>
      <c r="Z128" s="226">
        <f>Debt_Qtr!AY128</f>
        <v>6.5000000000000002E-2</v>
      </c>
      <c r="AA128" s="226">
        <f>Debt_Qtr!BD128</f>
        <v>6.5000000000000002E-2</v>
      </c>
      <c r="AB128" s="226">
        <f>Debt_Qtr!BI128</f>
        <v>6.5000000000000002E-2</v>
      </c>
      <c r="AC128" s="218">
        <f t="shared" si="55"/>
        <v>6.5000000000000002E-2</v>
      </c>
      <c r="AD128" s="218">
        <f t="shared" si="55"/>
        <v>6.5000000000000002E-2</v>
      </c>
      <c r="AE128" s="218">
        <f t="shared" si="55"/>
        <v>6.5000000000000002E-2</v>
      </c>
      <c r="AF128" s="218">
        <f t="shared" si="55"/>
        <v>6.5000000000000002E-2</v>
      </c>
    </row>
    <row r="129" spans="1:36" s="25" customFormat="1">
      <c r="A129" s="3"/>
      <c r="B129" s="218"/>
      <c r="C129" s="218"/>
      <c r="D129" s="218"/>
      <c r="E129" s="218"/>
      <c r="F129" s="218"/>
      <c r="G129" s="218"/>
      <c r="H129" s="218"/>
      <c r="I129" s="218"/>
      <c r="J129" s="218"/>
      <c r="K129" s="218"/>
      <c r="L129" s="218"/>
      <c r="M129" s="218"/>
      <c r="N129" s="218"/>
      <c r="O129" s="218"/>
      <c r="P129" s="218"/>
      <c r="Q129" s="218"/>
      <c r="R129" s="218"/>
      <c r="S129" s="226"/>
      <c r="T129" s="226"/>
      <c r="U129" s="226"/>
      <c r="V129" s="226"/>
      <c r="W129" s="226"/>
      <c r="X129" s="226"/>
      <c r="Y129" s="226"/>
      <c r="Z129" s="226"/>
      <c r="AA129" s="226"/>
      <c r="AB129" s="226"/>
      <c r="AC129" s="218"/>
      <c r="AD129" s="218"/>
      <c r="AE129" s="218"/>
      <c r="AF129" s="218"/>
    </row>
    <row r="130" spans="1:36" s="25" customFormat="1">
      <c r="A130" s="3" t="str">
        <f>Debt_Qtr!A130</f>
        <v>3-Months LIBOR rate</v>
      </c>
      <c r="B130" s="218"/>
      <c r="C130" s="218"/>
      <c r="D130" s="218"/>
      <c r="E130" s="218"/>
      <c r="F130" s="218"/>
      <c r="G130" s="218"/>
      <c r="H130" s="218"/>
      <c r="I130" s="218"/>
      <c r="J130" s="218"/>
      <c r="K130" s="218"/>
      <c r="L130" s="218"/>
      <c r="M130" s="218"/>
      <c r="N130" s="218"/>
      <c r="O130" s="218"/>
      <c r="P130" s="218"/>
      <c r="Q130" s="218"/>
      <c r="R130" s="218"/>
      <c r="S130" s="226"/>
      <c r="T130" s="226"/>
      <c r="U130" s="226"/>
      <c r="V130" s="226">
        <f>Debt_Qtr!AE130</f>
        <v>6.0586666666666662E-3</v>
      </c>
      <c r="W130" s="226">
        <f>Debt_Qtr!AJ130</f>
        <v>6.0586666666666662E-3</v>
      </c>
      <c r="X130" s="226">
        <f>Debt_Qtr!AO130</f>
        <v>6.0586666666666662E-3</v>
      </c>
      <c r="Y130" s="226">
        <f>Debt_Qtr!AT130</f>
        <v>1.7793999999999997E-2</v>
      </c>
      <c r="Z130" s="226">
        <f>Debt_Qtr!AY130</f>
        <v>5.2999999999999999E-2</v>
      </c>
      <c r="AA130" s="226">
        <f>Debt_Qtr!BD130</f>
        <v>5.2999999999999999E-2</v>
      </c>
      <c r="AB130" s="226">
        <f>Debt_Qtr!BI130</f>
        <v>5.2999999999999999E-2</v>
      </c>
      <c r="AC130" s="218">
        <f t="shared" ref="AC130:AF131" si="61">AB130</f>
        <v>5.2999999999999999E-2</v>
      </c>
      <c r="AD130" s="218">
        <f t="shared" si="61"/>
        <v>5.2999999999999999E-2</v>
      </c>
      <c r="AE130" s="218">
        <f t="shared" si="61"/>
        <v>5.2999999999999999E-2</v>
      </c>
      <c r="AF130" s="218">
        <f t="shared" si="61"/>
        <v>5.2999999999999999E-2</v>
      </c>
    </row>
    <row r="131" spans="1:36" s="25" customFormat="1">
      <c r="A131" s="3" t="str">
        <f>Debt_Qtr!A131</f>
        <v>3-Months EURIBOR rate</v>
      </c>
      <c r="B131" s="218"/>
      <c r="C131" s="218"/>
      <c r="D131" s="218"/>
      <c r="E131" s="218"/>
      <c r="F131" s="218"/>
      <c r="G131" s="218"/>
      <c r="H131" s="218"/>
      <c r="I131" s="218"/>
      <c r="J131" s="218"/>
      <c r="K131" s="218"/>
      <c r="L131" s="218"/>
      <c r="M131" s="218"/>
      <c r="N131" s="218"/>
      <c r="O131" s="218"/>
      <c r="P131" s="218"/>
      <c r="Q131" s="218"/>
      <c r="R131" s="218"/>
      <c r="S131" s="226"/>
      <c r="T131" s="226"/>
      <c r="U131" s="226"/>
      <c r="V131" s="226">
        <f>Debt_Qtr!AE131</f>
        <v>-4.4799999999999996E-3</v>
      </c>
      <c r="W131" s="226">
        <f>Debt_Qtr!AJ131</f>
        <v>-4.4799999999999996E-3</v>
      </c>
      <c r="X131" s="226">
        <f>Debt_Qtr!AO131</f>
        <v>-4.4799999999999996E-3</v>
      </c>
      <c r="Y131" s="226">
        <f>Debt_Qtr!AT131</f>
        <v>9.8899999999999995E-3</v>
      </c>
      <c r="Z131" s="226">
        <f>Debt_Qtr!AY131</f>
        <v>5.2999999999999999E-2</v>
      </c>
      <c r="AA131" s="226">
        <f>Debt_Qtr!BD131</f>
        <v>5.2999999999999999E-2</v>
      </c>
      <c r="AB131" s="226">
        <f>Debt_Qtr!BI131</f>
        <v>5.2999999999999999E-2</v>
      </c>
      <c r="AC131" s="218">
        <f t="shared" si="61"/>
        <v>5.2999999999999999E-2</v>
      </c>
      <c r="AD131" s="218">
        <f t="shared" si="61"/>
        <v>5.2999999999999999E-2</v>
      </c>
      <c r="AE131" s="218">
        <f t="shared" si="61"/>
        <v>5.2999999999999999E-2</v>
      </c>
      <c r="AF131" s="218">
        <f t="shared" si="61"/>
        <v>5.2999999999999999E-2</v>
      </c>
    </row>
    <row r="132" spans="1:36" s="25" customFormat="1">
      <c r="A132" s="3"/>
      <c r="B132" s="43"/>
      <c r="C132" s="43"/>
      <c r="D132" s="43"/>
      <c r="E132" s="43"/>
      <c r="F132" s="43"/>
      <c r="G132" s="43"/>
      <c r="H132" s="43"/>
      <c r="I132" s="43"/>
      <c r="J132" s="43"/>
      <c r="K132" s="43"/>
      <c r="L132" s="43"/>
      <c r="M132" s="43"/>
      <c r="N132" s="43"/>
      <c r="O132" s="43"/>
      <c r="P132" s="43"/>
      <c r="Q132" s="43"/>
      <c r="R132" s="43"/>
      <c r="S132" s="43"/>
      <c r="T132" s="43"/>
      <c r="U132" s="43"/>
      <c r="V132" s="43"/>
      <c r="W132" s="43"/>
      <c r="X132" s="43"/>
      <c r="Y132" s="43"/>
      <c r="Z132" s="43"/>
      <c r="AA132" s="43"/>
      <c r="AB132" s="43"/>
      <c r="AC132" s="43"/>
      <c r="AD132" s="43"/>
      <c r="AE132" s="43"/>
      <c r="AF132" s="43"/>
    </row>
    <row r="133" spans="1:36" s="25" customFormat="1">
      <c r="A133" s="8" t="s">
        <v>49</v>
      </c>
      <c r="B133" s="125"/>
      <c r="C133" s="125"/>
      <c r="D133" s="125"/>
      <c r="E133" s="125"/>
      <c r="F133" s="125"/>
      <c r="G133" s="125"/>
      <c r="H133" s="125"/>
      <c r="I133" s="125"/>
      <c r="J133" s="125"/>
      <c r="K133" s="125"/>
      <c r="L133" s="125"/>
      <c r="M133" s="125"/>
      <c r="N133" s="125"/>
      <c r="O133" s="125"/>
      <c r="P133" s="125"/>
      <c r="Q133" s="125"/>
      <c r="R133" s="125"/>
      <c r="S133" s="125"/>
      <c r="T133" s="125"/>
      <c r="U133" s="125"/>
      <c r="V133" s="125"/>
      <c r="W133" s="125"/>
      <c r="X133" s="125"/>
      <c r="Y133" s="125"/>
      <c r="Z133" s="125"/>
      <c r="AA133" s="125"/>
      <c r="AB133" s="125"/>
      <c r="AC133" s="125"/>
      <c r="AD133" s="125"/>
      <c r="AE133" s="125"/>
      <c r="AF133" s="125"/>
    </row>
    <row r="134" spans="1:36" s="25" customFormat="1">
      <c r="A134" s="3" t="str">
        <f>Debt_Qtr!A134</f>
        <v>3.125% Notes due 2020</v>
      </c>
      <c r="B134" s="43"/>
      <c r="C134" s="43"/>
      <c r="D134" s="43"/>
      <c r="E134" s="43"/>
      <c r="F134" s="43"/>
      <c r="G134" s="43"/>
      <c r="H134" s="43"/>
      <c r="I134" s="43"/>
      <c r="J134" s="43"/>
      <c r="K134" s="43"/>
      <c r="L134" s="43"/>
      <c r="M134" s="43"/>
      <c r="N134" s="43"/>
      <c r="O134" s="43"/>
      <c r="P134" s="43"/>
      <c r="Q134" s="43"/>
      <c r="R134" s="43"/>
      <c r="S134" s="38"/>
      <c r="T134" s="38"/>
      <c r="U134" s="38"/>
      <c r="V134" s="38">
        <f>Debt_Qtr!AE134</f>
        <v>19.53125</v>
      </c>
      <c r="W134" s="38">
        <f>Debt_Qtr!AJ134</f>
        <v>0</v>
      </c>
      <c r="X134" s="38">
        <f>Debt_Qtr!AO134</f>
        <v>0</v>
      </c>
      <c r="Y134" s="38">
        <f>Debt_Qtr!AT134</f>
        <v>0</v>
      </c>
      <c r="Z134" s="38">
        <f>Debt_Qtr!AY134</f>
        <v>0</v>
      </c>
      <c r="AA134" s="38">
        <f>Debt_Qtr!BD134</f>
        <v>0</v>
      </c>
      <c r="AB134" s="38">
        <f>Debt_Qtr!BI134</f>
        <v>0</v>
      </c>
      <c r="AC134" s="22">
        <f t="shared" ref="AC134:AF146" si="62">+AVERAGE(AC4,AB4)*AC72</f>
        <v>0</v>
      </c>
      <c r="AD134" s="22">
        <f t="shared" si="62"/>
        <v>0</v>
      </c>
      <c r="AE134" s="22">
        <f t="shared" si="62"/>
        <v>0</v>
      </c>
      <c r="AF134" s="22">
        <f t="shared" si="62"/>
        <v>0</v>
      </c>
      <c r="AI134" s="25">
        <v>0</v>
      </c>
      <c r="AJ134" s="25" t="b">
        <f>AI134=AA134</f>
        <v>1</v>
      </c>
    </row>
    <row r="135" spans="1:36" s="25" customFormat="1">
      <c r="A135" s="3" t="str">
        <f>Debt_Qtr!A135</f>
        <v>8.750% Notes due 2021</v>
      </c>
      <c r="B135" s="43"/>
      <c r="C135" s="43"/>
      <c r="D135" s="43"/>
      <c r="E135" s="43"/>
      <c r="F135" s="43"/>
      <c r="G135" s="43"/>
      <c r="H135" s="43"/>
      <c r="I135" s="43"/>
      <c r="J135" s="43"/>
      <c r="K135" s="43"/>
      <c r="L135" s="43"/>
      <c r="M135" s="43"/>
      <c r="N135" s="43"/>
      <c r="O135" s="43"/>
      <c r="P135" s="43"/>
      <c r="Q135" s="43"/>
      <c r="R135" s="43"/>
      <c r="S135" s="38"/>
      <c r="T135" s="38"/>
      <c r="U135" s="38"/>
      <c r="V135" s="38">
        <f>Debt_Qtr!AE135</f>
        <v>16.40625</v>
      </c>
      <c r="W135" s="38">
        <f>Debt_Qtr!AJ135</f>
        <v>2.734375</v>
      </c>
      <c r="X135" s="38">
        <f>Debt_Qtr!AO135</f>
        <v>0</v>
      </c>
      <c r="Y135" s="38">
        <f>Debt_Qtr!AT135</f>
        <v>0</v>
      </c>
      <c r="Z135" s="38">
        <f>Debt_Qtr!AY135</f>
        <v>0</v>
      </c>
      <c r="AA135" s="38">
        <f>Debt_Qtr!BD135</f>
        <v>0</v>
      </c>
      <c r="AB135" s="38">
        <f>Debt_Qtr!BI135</f>
        <v>0</v>
      </c>
      <c r="AC135" s="22">
        <f t="shared" si="62"/>
        <v>0</v>
      </c>
      <c r="AD135" s="22">
        <f t="shared" si="62"/>
        <v>0</v>
      </c>
      <c r="AE135" s="22">
        <f t="shared" si="62"/>
        <v>0</v>
      </c>
      <c r="AF135" s="22">
        <f t="shared" si="62"/>
        <v>0</v>
      </c>
      <c r="AI135" s="25">
        <v>0</v>
      </c>
      <c r="AJ135" s="25" t="b">
        <f t="shared" ref="AJ135:AJ192" si="63">AI135=AA135</f>
        <v>1</v>
      </c>
    </row>
    <row r="136" spans="1:36" s="25" customFormat="1">
      <c r="A136" s="3" t="str">
        <f>Debt_Qtr!A136</f>
        <v>3.100% Notes due 2021</v>
      </c>
      <c r="B136" s="43"/>
      <c r="C136" s="43"/>
      <c r="D136" s="43"/>
      <c r="E136" s="43"/>
      <c r="F136" s="43"/>
      <c r="G136" s="43"/>
      <c r="H136" s="43"/>
      <c r="I136" s="43"/>
      <c r="J136" s="43"/>
      <c r="K136" s="43"/>
      <c r="L136" s="43"/>
      <c r="M136" s="43"/>
      <c r="N136" s="43"/>
      <c r="O136" s="43"/>
      <c r="P136" s="43"/>
      <c r="Q136" s="43"/>
      <c r="R136" s="43"/>
      <c r="S136" s="38"/>
      <c r="T136" s="38"/>
      <c r="U136" s="38"/>
      <c r="V136" s="38">
        <f>Debt_Qtr!AE136</f>
        <v>5.8125</v>
      </c>
      <c r="W136" s="38">
        <f>Debt_Qtr!AJ136</f>
        <v>6.78125</v>
      </c>
      <c r="X136" s="38">
        <f>Debt_Qtr!AO136</f>
        <v>0</v>
      </c>
      <c r="Y136" s="38">
        <f>Debt_Qtr!AT136</f>
        <v>0</v>
      </c>
      <c r="Z136" s="38">
        <f>Debt_Qtr!AY136</f>
        <v>0</v>
      </c>
      <c r="AA136" s="38">
        <f>Debt_Qtr!BD136</f>
        <v>0</v>
      </c>
      <c r="AB136" s="38">
        <f>Debt_Qtr!BI136</f>
        <v>0</v>
      </c>
      <c r="AC136" s="22">
        <f t="shared" si="62"/>
        <v>0</v>
      </c>
      <c r="AD136" s="22">
        <f t="shared" si="62"/>
        <v>0</v>
      </c>
      <c r="AE136" s="22">
        <f t="shared" si="62"/>
        <v>0</v>
      </c>
      <c r="AF136" s="22">
        <f t="shared" si="62"/>
        <v>0</v>
      </c>
      <c r="AI136" s="25">
        <v>0</v>
      </c>
      <c r="AJ136" s="25" t="b">
        <f t="shared" si="63"/>
        <v>1</v>
      </c>
    </row>
    <row r="137" spans="1:36" s="25" customFormat="1">
      <c r="A137" s="3" t="str">
        <f>Debt_Qtr!A137</f>
        <v>2.800% Notes due 2022</v>
      </c>
      <c r="B137" s="43"/>
      <c r="C137" s="43"/>
      <c r="D137" s="43"/>
      <c r="E137" s="43"/>
      <c r="F137" s="43"/>
      <c r="G137" s="43"/>
      <c r="H137" s="43"/>
      <c r="I137" s="43"/>
      <c r="J137" s="43"/>
      <c r="K137" s="43"/>
      <c r="L137" s="43"/>
      <c r="M137" s="43"/>
      <c r="N137" s="43"/>
      <c r="O137" s="43"/>
      <c r="P137" s="43"/>
      <c r="Q137" s="43"/>
      <c r="R137" s="43"/>
      <c r="S137" s="38"/>
      <c r="T137" s="38"/>
      <c r="U137" s="38"/>
      <c r="V137" s="38">
        <f>Debt_Qtr!AE137</f>
        <v>23.1</v>
      </c>
      <c r="W137" s="38">
        <f>Debt_Qtr!AJ137</f>
        <v>19.25</v>
      </c>
      <c r="X137" s="38">
        <f>Debt_Qtr!AO137</f>
        <v>0</v>
      </c>
      <c r="Y137" s="38">
        <f>Debt_Qtr!AT137</f>
        <v>0</v>
      </c>
      <c r="Z137" s="38">
        <f>Debt_Qtr!AY137</f>
        <v>0</v>
      </c>
      <c r="AA137" s="38">
        <f>Debt_Qtr!BD137</f>
        <v>0</v>
      </c>
      <c r="AB137" s="38">
        <f>Debt_Qtr!BI137</f>
        <v>0</v>
      </c>
      <c r="AC137" s="22">
        <f t="shared" si="62"/>
        <v>0</v>
      </c>
      <c r="AD137" s="22">
        <f t="shared" si="62"/>
        <v>0</v>
      </c>
      <c r="AE137" s="22">
        <f t="shared" si="62"/>
        <v>0</v>
      </c>
      <c r="AF137" s="22">
        <f t="shared" si="62"/>
        <v>0</v>
      </c>
      <c r="AI137" s="25">
        <v>0</v>
      </c>
      <c r="AJ137" s="25" t="b">
        <f t="shared" si="63"/>
        <v>1</v>
      </c>
    </row>
    <row r="138" spans="1:36" s="25" customFormat="1">
      <c r="A138" s="3" t="str">
        <f>Debt_Qtr!A138</f>
        <v>2.500% Notes due 2022</v>
      </c>
      <c r="B138" s="43"/>
      <c r="C138" s="43"/>
      <c r="D138" s="43"/>
      <c r="E138" s="43"/>
      <c r="F138" s="43"/>
      <c r="G138" s="43"/>
      <c r="H138" s="43"/>
      <c r="I138" s="43"/>
      <c r="J138" s="43"/>
      <c r="K138" s="43"/>
      <c r="L138" s="43"/>
      <c r="M138" s="43"/>
      <c r="N138" s="43"/>
      <c r="O138" s="43"/>
      <c r="P138" s="43"/>
      <c r="Q138" s="43"/>
      <c r="R138" s="43"/>
      <c r="S138" s="38"/>
      <c r="T138" s="38"/>
      <c r="U138" s="38"/>
      <c r="V138" s="38">
        <f>Debt_Qtr!AE138</f>
        <v>20.625</v>
      </c>
      <c r="W138" s="38">
        <f>Debt_Qtr!AJ138</f>
        <v>17.1875</v>
      </c>
      <c r="X138" s="38">
        <f>Debt_Qtr!AO138</f>
        <v>0</v>
      </c>
      <c r="Y138" s="38">
        <f>Debt_Qtr!AT138</f>
        <v>0</v>
      </c>
      <c r="Z138" s="38">
        <f>Debt_Qtr!AY138</f>
        <v>0</v>
      </c>
      <c r="AA138" s="38">
        <f>Debt_Qtr!BD138</f>
        <v>0</v>
      </c>
      <c r="AB138" s="38">
        <f>Debt_Qtr!BI138</f>
        <v>0</v>
      </c>
      <c r="AC138" s="22">
        <f t="shared" si="62"/>
        <v>0</v>
      </c>
      <c r="AD138" s="22">
        <f t="shared" si="62"/>
        <v>0</v>
      </c>
      <c r="AE138" s="22">
        <f t="shared" si="62"/>
        <v>0</v>
      </c>
      <c r="AF138" s="22">
        <f t="shared" si="62"/>
        <v>0</v>
      </c>
      <c r="AI138" s="25">
        <v>0</v>
      </c>
      <c r="AJ138" s="25" t="b">
        <f t="shared" si="63"/>
        <v>1</v>
      </c>
    </row>
    <row r="139" spans="1:36" s="25" customFormat="1">
      <c r="A139" s="3" t="str">
        <f>Debt_Qtr!A139</f>
        <v xml:space="preserve">3.650% Notes due 2023 </v>
      </c>
      <c r="B139" s="43"/>
      <c r="C139" s="43"/>
      <c r="D139" s="43"/>
      <c r="E139" s="43"/>
      <c r="F139" s="43"/>
      <c r="G139" s="43"/>
      <c r="H139" s="43"/>
      <c r="I139" s="43"/>
      <c r="J139" s="43"/>
      <c r="K139" s="43"/>
      <c r="L139" s="43"/>
      <c r="M139" s="43"/>
      <c r="N139" s="43"/>
      <c r="O139" s="43"/>
      <c r="P139" s="43"/>
      <c r="Q139" s="43"/>
      <c r="R139" s="43"/>
      <c r="S139" s="38"/>
      <c r="T139" s="38"/>
      <c r="U139" s="38"/>
      <c r="V139" s="38">
        <f>Debt_Qtr!AE139</f>
        <v>4.6811249999999998</v>
      </c>
      <c r="W139" s="38">
        <f>Debt_Qtr!AJ139</f>
        <v>6.2414999999999994</v>
      </c>
      <c r="X139" s="38">
        <f>Debt_Qtr!AO139</f>
        <v>6.2414999999999994</v>
      </c>
      <c r="Y139" s="38">
        <f>Debt_Qtr!AT139</f>
        <v>3.9009374999999995</v>
      </c>
      <c r="Z139" s="38">
        <f>Debt_Qtr!AY139</f>
        <v>0</v>
      </c>
      <c r="AA139" s="38">
        <f>Debt_Qtr!BD139</f>
        <v>0</v>
      </c>
      <c r="AB139" s="38">
        <f>Debt_Qtr!BI139</f>
        <v>0</v>
      </c>
      <c r="AC139" s="22">
        <f t="shared" si="62"/>
        <v>0</v>
      </c>
      <c r="AD139" s="22">
        <f t="shared" si="62"/>
        <v>0</v>
      </c>
      <c r="AE139" s="22">
        <f t="shared" si="62"/>
        <v>0</v>
      </c>
      <c r="AF139" s="22">
        <f t="shared" si="62"/>
        <v>0</v>
      </c>
      <c r="AI139" s="25">
        <v>0</v>
      </c>
      <c r="AJ139" s="25" t="b">
        <f t="shared" si="63"/>
        <v>1</v>
      </c>
    </row>
    <row r="140" spans="1:36" s="25" customFormat="1">
      <c r="A140" s="3" t="str">
        <f>Debt_Qtr!A140</f>
        <v xml:space="preserve">3.700% Notes due 2023 </v>
      </c>
      <c r="B140" s="43"/>
      <c r="C140" s="43"/>
      <c r="D140" s="43"/>
      <c r="E140" s="43"/>
      <c r="F140" s="43"/>
      <c r="G140" s="43"/>
      <c r="H140" s="43"/>
      <c r="I140" s="43"/>
      <c r="J140" s="43"/>
      <c r="K140" s="43"/>
      <c r="L140" s="43"/>
      <c r="M140" s="43"/>
      <c r="N140" s="43"/>
      <c r="O140" s="43"/>
      <c r="P140" s="43"/>
      <c r="Q140" s="43"/>
      <c r="R140" s="43"/>
      <c r="S140" s="38"/>
      <c r="T140" s="38"/>
      <c r="U140" s="38"/>
      <c r="V140" s="38">
        <f>Debt_Qtr!AE140</f>
        <v>11.1</v>
      </c>
      <c r="W140" s="38">
        <f>Debt_Qtr!AJ140</f>
        <v>14.799999999999999</v>
      </c>
      <c r="X140" s="38">
        <f>Debt_Qtr!AO140</f>
        <v>14.799999999999999</v>
      </c>
      <c r="Y140" s="38">
        <f>Debt_Qtr!AT140</f>
        <v>12.95</v>
      </c>
      <c r="Z140" s="38">
        <f>Debt_Qtr!AY140</f>
        <v>0</v>
      </c>
      <c r="AA140" s="38">
        <f>Debt_Qtr!BD140</f>
        <v>0</v>
      </c>
      <c r="AB140" s="38">
        <f>Debt_Qtr!BI140</f>
        <v>0</v>
      </c>
      <c r="AC140" s="22">
        <f t="shared" si="62"/>
        <v>0</v>
      </c>
      <c r="AD140" s="22">
        <f t="shared" si="62"/>
        <v>0</v>
      </c>
      <c r="AE140" s="22">
        <f t="shared" si="62"/>
        <v>0</v>
      </c>
      <c r="AF140" s="22">
        <f t="shared" si="62"/>
        <v>0</v>
      </c>
      <c r="AI140" s="25">
        <v>0</v>
      </c>
      <c r="AJ140" s="25" t="b">
        <f t="shared" si="63"/>
        <v>1</v>
      </c>
    </row>
    <row r="141" spans="1:36" s="25" customFormat="1">
      <c r="A141" s="3" t="str">
        <f>Debt_Qtr!A141</f>
        <v xml:space="preserve">3.200% Notes due 2024 </v>
      </c>
      <c r="B141" s="43"/>
      <c r="C141" s="43"/>
      <c r="D141" s="43"/>
      <c r="E141" s="43"/>
      <c r="F141" s="43"/>
      <c r="G141" s="43"/>
      <c r="H141" s="43"/>
      <c r="I141" s="43"/>
      <c r="J141" s="43"/>
      <c r="K141" s="43"/>
      <c r="L141" s="43"/>
      <c r="M141" s="43"/>
      <c r="N141" s="43"/>
      <c r="O141" s="43"/>
      <c r="P141" s="43"/>
      <c r="Q141" s="43"/>
      <c r="R141" s="43"/>
      <c r="S141" s="38"/>
      <c r="T141" s="38"/>
      <c r="U141" s="38"/>
      <c r="V141" s="38">
        <f>Debt_Qtr!AE141</f>
        <v>22.8</v>
      </c>
      <c r="W141" s="38">
        <f>Debt_Qtr!AJ141</f>
        <v>30.400000000000002</v>
      </c>
      <c r="X141" s="38">
        <f>Debt_Qtr!AO141</f>
        <v>30.400000000000002</v>
      </c>
      <c r="Y141" s="38">
        <f>Debt_Qtr!AT141</f>
        <v>30.400000000000002</v>
      </c>
      <c r="Z141" s="38">
        <f>Debt_Qtr!AY141</f>
        <v>3.8000000000000003</v>
      </c>
      <c r="AA141" s="38">
        <f>Debt_Qtr!BD141</f>
        <v>0</v>
      </c>
      <c r="AB141" s="38">
        <f>Debt_Qtr!BI141</f>
        <v>0</v>
      </c>
      <c r="AC141" s="22">
        <f t="shared" si="62"/>
        <v>0</v>
      </c>
      <c r="AD141" s="22">
        <f t="shared" si="62"/>
        <v>0</v>
      </c>
      <c r="AE141" s="22">
        <f t="shared" si="62"/>
        <v>0</v>
      </c>
      <c r="AF141" s="22">
        <f t="shared" si="62"/>
        <v>0</v>
      </c>
      <c r="AI141" s="25">
        <v>0</v>
      </c>
      <c r="AJ141" s="25" t="b">
        <f t="shared" si="63"/>
        <v>1</v>
      </c>
    </row>
    <row r="142" spans="1:36" s="25" customFormat="1">
      <c r="A142" s="3" t="str">
        <f>Debt_Qtr!A142</f>
        <v>3.150% Notes due 2024</v>
      </c>
      <c r="B142" s="43"/>
      <c r="C142" s="43"/>
      <c r="D142" s="43"/>
      <c r="E142" s="43"/>
      <c r="F142" s="43"/>
      <c r="G142" s="43"/>
      <c r="H142" s="43"/>
      <c r="I142" s="43"/>
      <c r="J142" s="43"/>
      <c r="K142" s="43"/>
      <c r="L142" s="43"/>
      <c r="M142" s="43"/>
      <c r="N142" s="43"/>
      <c r="O142" s="43"/>
      <c r="P142" s="43"/>
      <c r="Q142" s="43"/>
      <c r="R142" s="43"/>
      <c r="S142" s="38"/>
      <c r="T142" s="38"/>
      <c r="U142" s="38"/>
      <c r="V142" s="38">
        <f>Debt_Qtr!AE142</f>
        <v>7.0874999999999995</v>
      </c>
      <c r="W142" s="38">
        <f>Debt_Qtr!AJ142</f>
        <v>9.4499999999999993</v>
      </c>
      <c r="X142" s="38">
        <f>Debt_Qtr!AO142</f>
        <v>9.4499999999999993</v>
      </c>
      <c r="Y142" s="38">
        <f>Debt_Qtr!AT142</f>
        <v>9.4499999999999993</v>
      </c>
      <c r="Z142" s="38">
        <f>Debt_Qtr!AY142</f>
        <v>8.2687499999999989</v>
      </c>
      <c r="AA142" s="38">
        <f>Debt_Qtr!BD142</f>
        <v>0</v>
      </c>
      <c r="AB142" s="38">
        <f>Debt_Qtr!BI142</f>
        <v>0</v>
      </c>
      <c r="AC142" s="22">
        <f t="shared" si="62"/>
        <v>0</v>
      </c>
      <c r="AD142" s="22">
        <f t="shared" si="62"/>
        <v>0</v>
      </c>
      <c r="AE142" s="22">
        <f t="shared" si="62"/>
        <v>0</v>
      </c>
      <c r="AF142" s="22">
        <f t="shared" si="62"/>
        <v>0</v>
      </c>
      <c r="AI142" s="25">
        <v>0</v>
      </c>
      <c r="AJ142" s="25" t="b">
        <f t="shared" si="63"/>
        <v>1</v>
      </c>
    </row>
    <row r="143" spans="1:36" s="25" customFormat="1">
      <c r="A143" s="525" t="s">
        <v>471</v>
      </c>
      <c r="B143" s="43"/>
      <c r="C143" s="43"/>
      <c r="D143" s="43"/>
      <c r="E143" s="43"/>
      <c r="F143" s="43"/>
      <c r="G143" s="43"/>
      <c r="H143" s="43"/>
      <c r="I143" s="43"/>
      <c r="J143" s="43"/>
      <c r="K143" s="43"/>
      <c r="L143" s="43"/>
      <c r="M143" s="43"/>
      <c r="N143" s="43"/>
      <c r="O143" s="43"/>
      <c r="P143" s="43"/>
      <c r="Q143" s="43"/>
      <c r="R143" s="43"/>
      <c r="S143" s="38"/>
      <c r="T143" s="38"/>
      <c r="U143" s="38"/>
      <c r="V143" s="38"/>
      <c r="W143" s="38"/>
      <c r="X143" s="38"/>
      <c r="Y143" s="38">
        <f>Debt_Qtr!AT143</f>
        <v>6.125</v>
      </c>
      <c r="Z143" s="38">
        <f>Debt_Qtr!AY143</f>
        <v>95.8359375</v>
      </c>
      <c r="AA143" s="38">
        <f>Debt_Qtr!BD143</f>
        <v>18.3515625</v>
      </c>
      <c r="AB143" s="38">
        <f>Debt_Qtr!BI143</f>
        <v>0</v>
      </c>
      <c r="AC143" s="22">
        <f t="shared" si="62"/>
        <v>0</v>
      </c>
      <c r="AD143" s="22">
        <f t="shared" si="62"/>
        <v>0</v>
      </c>
      <c r="AE143" s="22">
        <f t="shared" si="62"/>
        <v>0</v>
      </c>
      <c r="AF143" s="22">
        <f t="shared" si="62"/>
        <v>0</v>
      </c>
      <c r="AI143" s="25">
        <v>0</v>
      </c>
      <c r="AJ143" s="25" t="b">
        <f t="shared" si="63"/>
        <v>0</v>
      </c>
    </row>
    <row r="144" spans="1:36" s="25" customFormat="1">
      <c r="A144" s="3" t="str">
        <f>Debt_Qtr!A144</f>
        <v>3.950% Notes due 2025</v>
      </c>
      <c r="B144" s="43"/>
      <c r="C144" s="43"/>
      <c r="D144" s="43"/>
      <c r="E144" s="43"/>
      <c r="F144" s="43"/>
      <c r="G144" s="43"/>
      <c r="H144" s="43"/>
      <c r="I144" s="43"/>
      <c r="J144" s="43"/>
      <c r="K144" s="43"/>
      <c r="L144" s="43"/>
      <c r="M144" s="43"/>
      <c r="N144" s="43"/>
      <c r="O144" s="43"/>
      <c r="P144" s="43"/>
      <c r="Q144" s="43"/>
      <c r="R144" s="43"/>
      <c r="S144" s="38"/>
      <c r="T144" s="38"/>
      <c r="U144" s="38"/>
      <c r="V144" s="38">
        <f>Debt_Qtr!AE144</f>
        <v>44.4375</v>
      </c>
      <c r="W144" s="38">
        <f>Debt_Qtr!AJ144</f>
        <v>59.25</v>
      </c>
      <c r="X144" s="38">
        <f>Debt_Qtr!AO144</f>
        <v>59.25</v>
      </c>
      <c r="Y144" s="38">
        <f>Debt_Qtr!AT144</f>
        <v>59.25</v>
      </c>
      <c r="Z144" s="38">
        <f>Debt_Qtr!AY144</f>
        <v>59.25</v>
      </c>
      <c r="AA144" s="38">
        <f>Debt_Qtr!BD144</f>
        <v>37.03125</v>
      </c>
      <c r="AB144" s="38">
        <f>Debt_Qtr!BI144</f>
        <v>0</v>
      </c>
      <c r="AC144" s="22">
        <f t="shared" si="62"/>
        <v>0</v>
      </c>
      <c r="AD144" s="22">
        <f t="shared" si="62"/>
        <v>0</v>
      </c>
      <c r="AE144" s="22">
        <f t="shared" si="62"/>
        <v>0</v>
      </c>
      <c r="AF144" s="22">
        <f t="shared" si="62"/>
        <v>0</v>
      </c>
      <c r="AI144" s="25">
        <v>29.625</v>
      </c>
      <c r="AJ144" s="25" t="b">
        <f t="shared" si="63"/>
        <v>0</v>
      </c>
    </row>
    <row r="145" spans="1:36" s="25" customFormat="1">
      <c r="A145" s="3" t="str">
        <f>Debt_Qtr!A145</f>
        <v xml:space="preserve">2.650% Notes due 2026 </v>
      </c>
      <c r="B145" s="43"/>
      <c r="C145" s="43"/>
      <c r="D145" s="43"/>
      <c r="E145" s="43"/>
      <c r="F145" s="43"/>
      <c r="G145" s="43"/>
      <c r="H145" s="43"/>
      <c r="I145" s="43"/>
      <c r="J145" s="43"/>
      <c r="K145" s="43"/>
      <c r="L145" s="43"/>
      <c r="M145" s="43"/>
      <c r="N145" s="43"/>
      <c r="O145" s="43"/>
      <c r="P145" s="43"/>
      <c r="Q145" s="43"/>
      <c r="R145" s="43"/>
      <c r="S145" s="38"/>
      <c r="T145" s="38"/>
      <c r="U145" s="38"/>
      <c r="V145" s="38">
        <f>Debt_Qtr!AE145</f>
        <v>14.290125</v>
      </c>
      <c r="W145" s="38">
        <f>Debt_Qtr!AJ145</f>
        <v>19.0535</v>
      </c>
      <c r="X145" s="38">
        <f>Debt_Qtr!AO145</f>
        <v>19.0535</v>
      </c>
      <c r="Y145" s="38">
        <f>Debt_Qtr!AT145</f>
        <v>19.0535</v>
      </c>
      <c r="Z145" s="38">
        <f>Debt_Qtr!AY145</f>
        <v>19.0535</v>
      </c>
      <c r="AA145" s="38">
        <f>Debt_Qtr!BD145</f>
        <v>19.0535</v>
      </c>
      <c r="AB145" s="38">
        <f>Debt_Qtr!BI145</f>
        <v>16.671812500000001</v>
      </c>
      <c r="AC145" s="22">
        <f t="shared" si="62"/>
        <v>0</v>
      </c>
      <c r="AD145" s="22">
        <f t="shared" si="62"/>
        <v>0</v>
      </c>
      <c r="AE145" s="22">
        <f t="shared" si="62"/>
        <v>0</v>
      </c>
      <c r="AF145" s="22">
        <f t="shared" si="62"/>
        <v>0</v>
      </c>
      <c r="AI145" s="25">
        <v>19.0535</v>
      </c>
      <c r="AJ145" s="25" t="b">
        <f t="shared" si="63"/>
        <v>1</v>
      </c>
    </row>
    <row r="146" spans="1:36" s="25" customFormat="1">
      <c r="A146" s="492" t="str">
        <f>Debt_Qtr!A146</f>
        <v>5.000% Notes due 2026</v>
      </c>
      <c r="B146" s="43"/>
      <c r="C146" s="43"/>
      <c r="D146" s="43"/>
      <c r="E146" s="43"/>
      <c r="F146" s="43"/>
      <c r="G146" s="43"/>
      <c r="H146" s="43"/>
      <c r="I146" s="43"/>
      <c r="J146" s="43"/>
      <c r="K146" s="43"/>
      <c r="L146" s="43"/>
      <c r="M146" s="43"/>
      <c r="N146" s="43"/>
      <c r="O146" s="43"/>
      <c r="P146" s="43"/>
      <c r="Q146" s="43"/>
      <c r="R146" s="43"/>
      <c r="S146" s="38"/>
      <c r="T146" s="38"/>
      <c r="U146" s="38"/>
      <c r="V146" s="38">
        <f>Debt_Qtr!AE146</f>
        <v>0</v>
      </c>
      <c r="W146" s="38">
        <f>Debt_Qtr!AJ146</f>
        <v>0</v>
      </c>
      <c r="X146" s="38">
        <f>Debt_Qtr!AO146</f>
        <v>0</v>
      </c>
      <c r="Y146" s="38">
        <f>Debt_Qtr!AT146</f>
        <v>21.875</v>
      </c>
      <c r="Z146" s="38">
        <f>Debt_Qtr!AY146</f>
        <v>25</v>
      </c>
      <c r="AA146" s="38">
        <f>Debt_Qtr!BD146</f>
        <v>25</v>
      </c>
      <c r="AB146" s="38">
        <f>Debt_Qtr!BI146</f>
        <v>3.125</v>
      </c>
      <c r="AC146" s="22">
        <f t="shared" si="62"/>
        <v>0</v>
      </c>
      <c r="AD146" s="22">
        <f t="shared" si="62"/>
        <v>0</v>
      </c>
      <c r="AE146" s="22">
        <f t="shared" si="62"/>
        <v>0</v>
      </c>
      <c r="AF146" s="22">
        <f t="shared" si="62"/>
        <v>0</v>
      </c>
      <c r="AI146" s="25">
        <v>25</v>
      </c>
      <c r="AJ146" s="25" t="b">
        <f t="shared" si="63"/>
        <v>1</v>
      </c>
    </row>
    <row r="147" spans="1:36" s="25" customFormat="1">
      <c r="A147" s="525" t="s">
        <v>473</v>
      </c>
      <c r="B147" s="43"/>
      <c r="C147" s="43"/>
      <c r="D147" s="43"/>
      <c r="E147" s="43"/>
      <c r="F147" s="43"/>
      <c r="G147" s="43"/>
      <c r="H147" s="43"/>
      <c r="I147" s="43"/>
      <c r="J147" s="43"/>
      <c r="K147" s="43"/>
      <c r="L147" s="43"/>
      <c r="M147" s="43"/>
      <c r="N147" s="43"/>
      <c r="O147" s="43"/>
      <c r="P147" s="43"/>
      <c r="Q147" s="43"/>
      <c r="R147" s="43"/>
      <c r="S147" s="38"/>
      <c r="T147" s="38"/>
      <c r="U147" s="38"/>
      <c r="V147" s="38"/>
      <c r="W147" s="38"/>
      <c r="X147" s="38"/>
      <c r="Y147" s="38">
        <f>Debt_Qtr!AT147</f>
        <v>17.96875</v>
      </c>
      <c r="Z147" s="38">
        <f>Debt_Qtr!AY147</f>
        <v>71.875</v>
      </c>
      <c r="AA147" s="38">
        <f>Debt_Qtr!BD147</f>
        <v>71.875</v>
      </c>
      <c r="AB147" s="38">
        <f>Debt_Qtr!BI147</f>
        <v>62.890625</v>
      </c>
      <c r="AC147" s="22">
        <f t="shared" ref="AC147:AF147" si="64">+AVERAGE(AC17,AB17)*AC85</f>
        <v>0</v>
      </c>
      <c r="AD147" s="22">
        <f t="shared" si="64"/>
        <v>0</v>
      </c>
      <c r="AE147" s="22">
        <f t="shared" si="64"/>
        <v>0</v>
      </c>
      <c r="AF147" s="22">
        <f t="shared" si="64"/>
        <v>0</v>
      </c>
      <c r="AI147" s="25">
        <v>43.125</v>
      </c>
      <c r="AJ147" s="25" t="b">
        <f t="shared" si="63"/>
        <v>0</v>
      </c>
    </row>
    <row r="148" spans="1:36" s="25" customFormat="1">
      <c r="A148" s="525" t="s">
        <v>472</v>
      </c>
      <c r="B148" s="43"/>
      <c r="C148" s="43"/>
      <c r="D148" s="43"/>
      <c r="E148" s="43"/>
      <c r="F148" s="43"/>
      <c r="G148" s="43"/>
      <c r="H148" s="43"/>
      <c r="I148" s="43"/>
      <c r="J148" s="43"/>
      <c r="K148" s="43"/>
      <c r="L148" s="43"/>
      <c r="M148" s="43"/>
      <c r="N148" s="43"/>
      <c r="O148" s="43"/>
      <c r="P148" s="43"/>
      <c r="Q148" s="43"/>
      <c r="R148" s="43"/>
      <c r="S148" s="38"/>
      <c r="T148" s="38"/>
      <c r="U148" s="38"/>
      <c r="V148" s="38"/>
      <c r="W148" s="38"/>
      <c r="X148" s="38"/>
      <c r="Y148" s="38">
        <f>Debt_Qtr!AT148</f>
        <v>6.125</v>
      </c>
      <c r="Z148" s="38">
        <f>Debt_Qtr!AY148</f>
        <v>130.5</v>
      </c>
      <c r="AA148" s="38">
        <f>Debt_Qtr!BD148</f>
        <v>121.528125</v>
      </c>
      <c r="AB148" s="38">
        <f>Debt_Qtr!BI148</f>
        <v>51.384375000000006</v>
      </c>
      <c r="AC148" s="22">
        <f t="shared" ref="AC148:AF148" si="65">+AVERAGE(AC18,AB18)*AC86</f>
        <v>0</v>
      </c>
      <c r="AD148" s="22">
        <f t="shared" si="65"/>
        <v>0</v>
      </c>
      <c r="AE148" s="22">
        <f t="shared" si="65"/>
        <v>0</v>
      </c>
      <c r="AF148" s="22">
        <f t="shared" si="65"/>
        <v>0</v>
      </c>
      <c r="AI148" s="25">
        <v>65.25</v>
      </c>
      <c r="AJ148" s="25" t="b">
        <f t="shared" si="63"/>
        <v>0</v>
      </c>
    </row>
    <row r="149" spans="1:36" s="25" customFormat="1">
      <c r="A149" s="3" t="str">
        <f>Debt_Qtr!A149</f>
        <v>3.125% Notes due 2027</v>
      </c>
      <c r="B149" s="43"/>
      <c r="C149" s="43"/>
      <c r="D149" s="43"/>
      <c r="E149" s="43"/>
      <c r="F149" s="43"/>
      <c r="G149" s="43"/>
      <c r="H149" s="43"/>
      <c r="I149" s="43"/>
      <c r="J149" s="43"/>
      <c r="K149" s="43"/>
      <c r="L149" s="43"/>
      <c r="M149" s="43"/>
      <c r="N149" s="43"/>
      <c r="O149" s="43"/>
      <c r="P149" s="43"/>
      <c r="Q149" s="43"/>
      <c r="R149" s="43"/>
      <c r="S149" s="38"/>
      <c r="T149" s="38"/>
      <c r="U149" s="38"/>
      <c r="V149" s="38">
        <f>Debt_Qtr!AE149</f>
        <v>25.78125</v>
      </c>
      <c r="W149" s="38">
        <f>Debt_Qtr!AJ149</f>
        <v>34.375</v>
      </c>
      <c r="X149" s="38">
        <f>Debt_Qtr!AO149</f>
        <v>34.375</v>
      </c>
      <c r="Y149" s="38">
        <f>Debt_Qtr!AT149</f>
        <v>34.375</v>
      </c>
      <c r="Z149" s="38">
        <f>Debt_Qtr!AY149</f>
        <v>34.375</v>
      </c>
      <c r="AA149" s="38">
        <f>Debt_Qtr!BD149</f>
        <v>34.375</v>
      </c>
      <c r="AB149" s="38">
        <f>Debt_Qtr!BI149</f>
        <v>34.375</v>
      </c>
      <c r="AC149" s="22">
        <f t="shared" ref="AC149:AF168" si="66">+AVERAGE(AC19,AB19)*AC87</f>
        <v>25.78125</v>
      </c>
      <c r="AD149" s="22">
        <f t="shared" si="66"/>
        <v>17.1875</v>
      </c>
      <c r="AE149" s="22">
        <f t="shared" si="66"/>
        <v>17.1875</v>
      </c>
      <c r="AF149" s="22">
        <f t="shared" si="66"/>
        <v>17.1875</v>
      </c>
      <c r="AI149" s="25">
        <v>34.375</v>
      </c>
      <c r="AJ149" s="25" t="b">
        <f t="shared" si="63"/>
        <v>1</v>
      </c>
    </row>
    <row r="150" spans="1:36" s="25" customFormat="1">
      <c r="A150" s="3" t="str">
        <f>Debt_Qtr!A150</f>
        <v>3.500% Notes due 2027</v>
      </c>
      <c r="B150" s="43"/>
      <c r="C150" s="43"/>
      <c r="D150" s="43"/>
      <c r="E150" s="43"/>
      <c r="F150" s="43"/>
      <c r="G150" s="43"/>
      <c r="H150" s="43"/>
      <c r="I150" s="43"/>
      <c r="J150" s="43"/>
      <c r="K150" s="43"/>
      <c r="L150" s="43"/>
      <c r="M150" s="43"/>
      <c r="N150" s="43"/>
      <c r="O150" s="43"/>
      <c r="P150" s="43"/>
      <c r="Q150" s="43"/>
      <c r="R150" s="43"/>
      <c r="S150" s="38"/>
      <c r="T150" s="38"/>
      <c r="U150" s="38"/>
      <c r="V150" s="38">
        <f>Debt_Qtr!AE150</f>
        <v>34.125000000000007</v>
      </c>
      <c r="W150" s="38">
        <f>Debt_Qtr!AJ150</f>
        <v>45.500000000000007</v>
      </c>
      <c r="X150" s="38">
        <f>Debt_Qtr!AO150</f>
        <v>45.500000000000007</v>
      </c>
      <c r="Y150" s="38">
        <f>Debt_Qtr!AT150</f>
        <v>45.500000000000007</v>
      </c>
      <c r="Z150" s="38">
        <f>Debt_Qtr!AY150</f>
        <v>45.500000000000007</v>
      </c>
      <c r="AA150" s="38">
        <f>Debt_Qtr!BD150</f>
        <v>45.500000000000007</v>
      </c>
      <c r="AB150" s="38">
        <f>Debt_Qtr!BI150</f>
        <v>45.500000000000007</v>
      </c>
      <c r="AC150" s="22">
        <f t="shared" si="66"/>
        <v>35.875</v>
      </c>
      <c r="AD150" s="22">
        <f t="shared" si="66"/>
        <v>26.250000000000004</v>
      </c>
      <c r="AE150" s="22">
        <f t="shared" si="66"/>
        <v>26.250000000000004</v>
      </c>
      <c r="AF150" s="22">
        <f t="shared" si="66"/>
        <v>26.250000000000004</v>
      </c>
      <c r="AI150" s="25">
        <v>45.500000000000007</v>
      </c>
      <c r="AJ150" s="25" t="b">
        <f t="shared" si="63"/>
        <v>1</v>
      </c>
    </row>
    <row r="151" spans="1:36" s="25" customFormat="1">
      <c r="A151" s="3" t="str">
        <f>Debt_Qtr!A151</f>
        <v>7.200% Notes due 2027</v>
      </c>
      <c r="B151" s="43"/>
      <c r="C151" s="43"/>
      <c r="D151" s="43"/>
      <c r="E151" s="43"/>
      <c r="F151" s="43"/>
      <c r="G151" s="43"/>
      <c r="H151" s="43"/>
      <c r="I151" s="43"/>
      <c r="J151" s="43"/>
      <c r="K151" s="43"/>
      <c r="L151" s="43"/>
      <c r="M151" s="43"/>
      <c r="N151" s="43"/>
      <c r="O151" s="43"/>
      <c r="P151" s="43"/>
      <c r="Q151" s="43"/>
      <c r="R151" s="43"/>
      <c r="S151" s="38"/>
      <c r="T151" s="38"/>
      <c r="U151" s="38"/>
      <c r="V151" s="38">
        <f>Debt_Qtr!AE151</f>
        <v>20.628</v>
      </c>
      <c r="W151" s="38">
        <f>Debt_Qtr!AJ151</f>
        <v>27.503999999999998</v>
      </c>
      <c r="X151" s="38">
        <f>Debt_Qtr!AO151</f>
        <v>27.503999999999998</v>
      </c>
      <c r="Y151" s="38">
        <f>Debt_Qtr!AT151</f>
        <v>27.503999999999998</v>
      </c>
      <c r="Z151" s="38">
        <f>Debt_Qtr!AY151</f>
        <v>27.503999999999998</v>
      </c>
      <c r="AA151" s="38">
        <f>Debt_Qtr!BD151</f>
        <v>27.503999999999998</v>
      </c>
      <c r="AB151" s="38">
        <f>Debt_Qtr!BI151</f>
        <v>27.503999999999998</v>
      </c>
      <c r="AC151" s="22">
        <f t="shared" si="66"/>
        <v>27.503999999999998</v>
      </c>
      <c r="AD151" s="22">
        <f t="shared" si="66"/>
        <v>27.503999999999998</v>
      </c>
      <c r="AE151" s="22">
        <f t="shared" si="66"/>
        <v>27.503999999999998</v>
      </c>
      <c r="AF151" s="22">
        <f t="shared" si="66"/>
        <v>27.503999999999998</v>
      </c>
      <c r="AI151" s="25">
        <v>27.503999999999998</v>
      </c>
      <c r="AJ151" s="25" t="b">
        <f t="shared" si="63"/>
        <v>1</v>
      </c>
    </row>
    <row r="152" spans="1:36" s="25" customFormat="1">
      <c r="A152" s="3" t="str">
        <f>Debt_Qtr!A152</f>
        <v>7.100% Notes due 2027</v>
      </c>
      <c r="B152" s="43"/>
      <c r="C152" s="43"/>
      <c r="D152" s="43"/>
      <c r="E152" s="43"/>
      <c r="F152" s="43"/>
      <c r="G152" s="43"/>
      <c r="H152" s="43"/>
      <c r="I152" s="43"/>
      <c r="J152" s="43"/>
      <c r="K152" s="43"/>
      <c r="L152" s="43"/>
      <c r="M152" s="43"/>
      <c r="N152" s="43"/>
      <c r="O152" s="43"/>
      <c r="P152" s="43"/>
      <c r="Q152" s="43"/>
      <c r="R152" s="43"/>
      <c r="S152" s="38"/>
      <c r="T152" s="38"/>
      <c r="U152" s="38"/>
      <c r="V152" s="38">
        <f>Debt_Qtr!AE152</f>
        <v>7.5614999999999988</v>
      </c>
      <c r="W152" s="38">
        <f>Debt_Qtr!AJ152</f>
        <v>9.9666249999999987</v>
      </c>
      <c r="X152" s="38">
        <f>Debt_Qtr!AO152</f>
        <v>9.5849999999999991</v>
      </c>
      <c r="Y152" s="38">
        <f>Debt_Qtr!AT152</f>
        <v>9.5849999999999991</v>
      </c>
      <c r="Z152" s="38">
        <f>Debt_Qtr!AY152</f>
        <v>9.5849999999999991</v>
      </c>
      <c r="AA152" s="38">
        <f>Debt_Qtr!BD152</f>
        <v>9.5849999999999991</v>
      </c>
      <c r="AB152" s="38">
        <f>Debt_Qtr!BI152</f>
        <v>9.5849999999999991</v>
      </c>
      <c r="AC152" s="22">
        <f t="shared" si="66"/>
        <v>9.5849999999999991</v>
      </c>
      <c r="AD152" s="22">
        <f t="shared" si="66"/>
        <v>9.5849999999999991</v>
      </c>
      <c r="AE152" s="22">
        <f t="shared" si="66"/>
        <v>9.5849999999999991</v>
      </c>
      <c r="AF152" s="22">
        <f t="shared" si="66"/>
        <v>9.5849999999999991</v>
      </c>
      <c r="AI152" s="25">
        <v>9.5849999999999991</v>
      </c>
      <c r="AJ152" s="25" t="b">
        <f t="shared" si="63"/>
        <v>1</v>
      </c>
    </row>
    <row r="153" spans="1:36" s="25" customFormat="1">
      <c r="A153" s="3" t="str">
        <f>Debt_Qtr!A153</f>
        <v>6.700% Notes due 2028</v>
      </c>
      <c r="B153" s="43"/>
      <c r="C153" s="43"/>
      <c r="D153" s="43"/>
      <c r="E153" s="43"/>
      <c r="F153" s="43"/>
      <c r="G153" s="43"/>
      <c r="H153" s="43"/>
      <c r="I153" s="43"/>
      <c r="J153" s="43"/>
      <c r="K153" s="43"/>
      <c r="L153" s="43"/>
      <c r="M153" s="43"/>
      <c r="N153" s="43"/>
      <c r="O153" s="43"/>
      <c r="P153" s="43"/>
      <c r="Q153" s="43"/>
      <c r="R153" s="43"/>
      <c r="S153" s="38"/>
      <c r="T153" s="38"/>
      <c r="U153" s="38"/>
      <c r="V153" s="38">
        <f>Debt_Qtr!AE153</f>
        <v>20.100000000000001</v>
      </c>
      <c r="W153" s="38">
        <f>Debt_Qtr!AJ153</f>
        <v>25.836875000000003</v>
      </c>
      <c r="X153" s="38">
        <f>Debt_Qtr!AO153</f>
        <v>19.095000000000002</v>
      </c>
      <c r="Y153" s="38">
        <f>Debt_Qtr!AT153</f>
        <v>19.095000000000002</v>
      </c>
      <c r="Z153" s="38">
        <f>Debt_Qtr!AY153</f>
        <v>19.095000000000002</v>
      </c>
      <c r="AA153" s="38">
        <f>Debt_Qtr!BD153</f>
        <v>19.095000000000002</v>
      </c>
      <c r="AB153" s="38">
        <f>Debt_Qtr!BI153</f>
        <v>19.095000000000002</v>
      </c>
      <c r="AC153" s="22">
        <f t="shared" si="66"/>
        <v>19.095000000000002</v>
      </c>
      <c r="AD153" s="22">
        <f t="shared" si="66"/>
        <v>19.095000000000002</v>
      </c>
      <c r="AE153" s="22">
        <f t="shared" si="66"/>
        <v>19.095000000000002</v>
      </c>
      <c r="AF153" s="22">
        <f t="shared" si="66"/>
        <v>19.095000000000002</v>
      </c>
      <c r="AI153" s="25">
        <v>19.095000000000002</v>
      </c>
      <c r="AJ153" s="25" t="b">
        <f t="shared" si="63"/>
        <v>1</v>
      </c>
    </row>
    <row r="154" spans="1:36" s="25" customFormat="1">
      <c r="A154" s="3" t="str">
        <f>Debt_Qtr!A154</f>
        <v>7.000% Notes due 2028</v>
      </c>
      <c r="B154" s="43"/>
      <c r="C154" s="43"/>
      <c r="D154" s="43"/>
      <c r="E154" s="43"/>
      <c r="F154" s="43"/>
      <c r="G154" s="43"/>
      <c r="H154" s="43"/>
      <c r="I154" s="43"/>
      <c r="J154" s="43"/>
      <c r="K154" s="43"/>
      <c r="L154" s="43"/>
      <c r="M154" s="43"/>
      <c r="N154" s="43"/>
      <c r="O154" s="43"/>
      <c r="P154" s="43"/>
      <c r="Q154" s="43"/>
      <c r="R154" s="43"/>
      <c r="S154" s="38"/>
      <c r="T154" s="38"/>
      <c r="U154" s="38"/>
      <c r="V154" s="38">
        <f>Debt_Qtr!AE154</f>
        <v>9.7125000000000004</v>
      </c>
      <c r="W154" s="38">
        <f>Debt_Qtr!AJ154</f>
        <v>12.950000000000001</v>
      </c>
      <c r="X154" s="38">
        <f>Debt_Qtr!AO154</f>
        <v>12.950000000000001</v>
      </c>
      <c r="Y154" s="38">
        <f>Debt_Qtr!AT154</f>
        <v>12.950000000000001</v>
      </c>
      <c r="Z154" s="38">
        <f>Debt_Qtr!AY154</f>
        <v>12.950000000000001</v>
      </c>
      <c r="AA154" s="38">
        <f>Debt_Qtr!BD154</f>
        <v>12.950000000000001</v>
      </c>
      <c r="AB154" s="38">
        <f>Debt_Qtr!BI154</f>
        <v>12.950000000000001</v>
      </c>
      <c r="AC154" s="22">
        <f t="shared" si="66"/>
        <v>12.950000000000001</v>
      </c>
      <c r="AD154" s="22">
        <f t="shared" si="66"/>
        <v>12.950000000000001</v>
      </c>
      <c r="AE154" s="22">
        <f t="shared" si="66"/>
        <v>12.950000000000001</v>
      </c>
      <c r="AF154" s="22">
        <f t="shared" si="66"/>
        <v>12.950000000000001</v>
      </c>
      <c r="AI154" s="25">
        <v>12.950000000000001</v>
      </c>
      <c r="AJ154" s="25" t="b">
        <f t="shared" si="63"/>
        <v>1</v>
      </c>
    </row>
    <row r="155" spans="1:36" s="25" customFormat="1">
      <c r="A155" s="3" t="str">
        <f>Debt_Qtr!A155</f>
        <v>4.125% Notes due 2028</v>
      </c>
      <c r="B155" s="43"/>
      <c r="C155" s="43"/>
      <c r="D155" s="43"/>
      <c r="E155" s="43"/>
      <c r="F155" s="43"/>
      <c r="G155" s="43"/>
      <c r="H155" s="43"/>
      <c r="I155" s="43"/>
      <c r="J155" s="43"/>
      <c r="K155" s="43"/>
      <c r="L155" s="43"/>
      <c r="M155" s="43"/>
      <c r="N155" s="43"/>
      <c r="O155" s="43"/>
      <c r="P155" s="43"/>
      <c r="Q155" s="43"/>
      <c r="R155" s="43"/>
      <c r="S155" s="38"/>
      <c r="T155" s="38"/>
      <c r="U155" s="38"/>
      <c r="V155" s="38">
        <f>Debt_Qtr!AE155</f>
        <v>92.8125</v>
      </c>
      <c r="W155" s="38">
        <f>Debt_Qtr!AJ155</f>
        <v>123.75</v>
      </c>
      <c r="X155" s="38">
        <f>Debt_Qtr!AO155</f>
        <v>123.75</v>
      </c>
      <c r="Y155" s="38">
        <f>Debt_Qtr!AT155</f>
        <v>123.75</v>
      </c>
      <c r="Z155" s="38">
        <f>Debt_Qtr!AY155</f>
        <v>123.75</v>
      </c>
      <c r="AA155" s="38">
        <f>Debt_Qtr!BD155</f>
        <v>123.75</v>
      </c>
      <c r="AB155" s="38">
        <f>Debt_Qtr!BI155</f>
        <v>123.75</v>
      </c>
      <c r="AC155" s="22">
        <f t="shared" si="66"/>
        <v>123.75</v>
      </c>
      <c r="AD155" s="22">
        <f t="shared" si="66"/>
        <v>123.75</v>
      </c>
      <c r="AE155" s="22">
        <f t="shared" si="66"/>
        <v>123.75</v>
      </c>
      <c r="AF155" s="22">
        <f t="shared" si="66"/>
        <v>123.75</v>
      </c>
      <c r="AI155" s="25">
        <v>123.75</v>
      </c>
      <c r="AJ155" s="25" t="b">
        <f t="shared" si="63"/>
        <v>1</v>
      </c>
    </row>
    <row r="156" spans="1:36" s="25" customFormat="1">
      <c r="A156" s="525" t="s">
        <v>477</v>
      </c>
      <c r="B156" s="43"/>
      <c r="C156" s="43"/>
      <c r="D156" s="43"/>
      <c r="E156" s="43"/>
      <c r="F156" s="43"/>
      <c r="G156" s="43"/>
      <c r="H156" s="43"/>
      <c r="I156" s="43"/>
      <c r="J156" s="43"/>
      <c r="K156" s="43"/>
      <c r="L156" s="43"/>
      <c r="M156" s="43"/>
      <c r="N156" s="43"/>
      <c r="O156" s="43"/>
      <c r="P156" s="43"/>
      <c r="Q156" s="43"/>
      <c r="R156" s="43"/>
      <c r="S156" s="38"/>
      <c r="T156" s="38"/>
      <c r="U156" s="38"/>
      <c r="V156" s="38"/>
      <c r="W156" s="38"/>
      <c r="X156" s="38"/>
      <c r="Y156" s="38">
        <f>Debt_Qtr!AT156</f>
        <v>7.1875</v>
      </c>
      <c r="Z156" s="38">
        <f>Debt_Qtr!AY156</f>
        <v>28.75</v>
      </c>
      <c r="AA156" s="38">
        <f>Debt_Qtr!BD156</f>
        <v>28.75</v>
      </c>
      <c r="AB156" s="38">
        <f>Debt_Qtr!BI156</f>
        <v>28.75</v>
      </c>
      <c r="AC156" s="22">
        <f t="shared" si="66"/>
        <v>28.75</v>
      </c>
      <c r="AD156" s="22">
        <f t="shared" si="66"/>
        <v>28.75</v>
      </c>
      <c r="AE156" s="22">
        <f t="shared" si="66"/>
        <v>28.75</v>
      </c>
      <c r="AF156" s="22">
        <f t="shared" si="66"/>
        <v>28.75</v>
      </c>
      <c r="AI156" s="25">
        <v>28.75</v>
      </c>
      <c r="AJ156" s="25" t="b">
        <f t="shared" si="63"/>
        <v>1</v>
      </c>
    </row>
    <row r="157" spans="1:36" s="25" customFormat="1">
      <c r="A157" s="3" t="str">
        <f>Debt_Qtr!A157</f>
        <v>7.500% Notes due 2029</v>
      </c>
      <c r="B157" s="43"/>
      <c r="C157" s="43"/>
      <c r="D157" s="43"/>
      <c r="E157" s="43"/>
      <c r="F157" s="43"/>
      <c r="G157" s="43"/>
      <c r="H157" s="43"/>
      <c r="I157" s="43"/>
      <c r="J157" s="43"/>
      <c r="K157" s="43"/>
      <c r="L157" s="43"/>
      <c r="M157" s="43"/>
      <c r="N157" s="43"/>
      <c r="O157" s="43"/>
      <c r="P157" s="43"/>
      <c r="Q157" s="43"/>
      <c r="R157" s="43"/>
      <c r="S157" s="38"/>
      <c r="T157" s="38"/>
      <c r="U157" s="38"/>
      <c r="V157" s="38">
        <f>Debt_Qtr!AE157</f>
        <v>30.9375</v>
      </c>
      <c r="W157" s="38">
        <f>Debt_Qtr!AJ157</f>
        <v>39.975000000000001</v>
      </c>
      <c r="X157" s="38">
        <f>Debt_Qtr!AO157</f>
        <v>31.049999999999997</v>
      </c>
      <c r="Y157" s="38">
        <f>Debt_Qtr!AT157</f>
        <v>31.049999999999997</v>
      </c>
      <c r="Z157" s="38">
        <f>Debt_Qtr!AY157</f>
        <v>31.049999999999997</v>
      </c>
      <c r="AA157" s="38">
        <f>Debt_Qtr!BD157</f>
        <v>31.049999999999997</v>
      </c>
      <c r="AB157" s="38">
        <f>Debt_Qtr!BI157</f>
        <v>31.049999999999997</v>
      </c>
      <c r="AC157" s="22">
        <f t="shared" si="66"/>
        <v>31.049999999999997</v>
      </c>
      <c r="AD157" s="22">
        <f t="shared" si="66"/>
        <v>31.049999999999997</v>
      </c>
      <c r="AE157" s="22">
        <f t="shared" si="66"/>
        <v>31.049999999999997</v>
      </c>
      <c r="AF157" s="22">
        <f t="shared" si="66"/>
        <v>31.049999999999997</v>
      </c>
      <c r="AI157" s="25">
        <v>31.049999999999997</v>
      </c>
      <c r="AJ157" s="25" t="b">
        <f t="shared" si="63"/>
        <v>1</v>
      </c>
    </row>
    <row r="158" spans="1:36" s="25" customFormat="1">
      <c r="A158" s="3" t="str">
        <f>Debt_Qtr!A158</f>
        <v>2.150% Notes due 2030 (€500 million Principal Value)</v>
      </c>
      <c r="B158" s="43"/>
      <c r="C158" s="43"/>
      <c r="D158" s="43"/>
      <c r="E158" s="43"/>
      <c r="F158" s="43"/>
      <c r="G158" s="43"/>
      <c r="H158" s="43"/>
      <c r="I158" s="43"/>
      <c r="J158" s="43"/>
      <c r="K158" s="43"/>
      <c r="L158" s="43"/>
      <c r="M158" s="43"/>
      <c r="N158" s="43"/>
      <c r="O158" s="43"/>
      <c r="P158" s="43"/>
      <c r="Q158" s="43"/>
      <c r="R158" s="43"/>
      <c r="S158" s="38"/>
      <c r="T158" s="38"/>
      <c r="U158" s="38"/>
      <c r="V158" s="38">
        <f>Debt_Qtr!AE158</f>
        <v>9.046125</v>
      </c>
      <c r="W158" s="38">
        <f>Debt_Qtr!AJ158</f>
        <v>12.555999999999999</v>
      </c>
      <c r="X158" s="38">
        <f>Debt_Qtr!AO158</f>
        <v>11.352</v>
      </c>
      <c r="Y158" s="38">
        <f>Debt_Qtr!AT158</f>
        <v>11.5750625</v>
      </c>
      <c r="Z158" s="38">
        <f>Debt_Qtr!AY158</f>
        <v>11.669124999999998</v>
      </c>
      <c r="AA158" s="38">
        <f>Debt_Qtr!BD158</f>
        <v>12.144812499999999</v>
      </c>
      <c r="AB158" s="38">
        <f>Debt_Qtr!BI158</f>
        <v>12.327562499999999</v>
      </c>
      <c r="AC158" s="22">
        <f t="shared" si="66"/>
        <v>12.212</v>
      </c>
      <c r="AD158" s="22">
        <f t="shared" si="66"/>
        <v>12.212</v>
      </c>
      <c r="AE158" s="22">
        <f t="shared" si="66"/>
        <v>12.212</v>
      </c>
      <c r="AF158" s="22">
        <f t="shared" si="66"/>
        <v>12.212</v>
      </c>
      <c r="AI158" s="25">
        <v>12.04</v>
      </c>
      <c r="AJ158" s="25" t="b">
        <f t="shared" si="63"/>
        <v>0</v>
      </c>
    </row>
    <row r="159" spans="1:36" s="25" customFormat="1">
      <c r="A159" s="3" t="str">
        <f>Debt_Qtr!A159</f>
        <v>2.250% Notes due 2030</v>
      </c>
      <c r="B159" s="43"/>
      <c r="C159" s="43"/>
      <c r="D159" s="43"/>
      <c r="E159" s="43"/>
      <c r="F159" s="43"/>
      <c r="G159" s="43"/>
      <c r="H159" s="43"/>
      <c r="I159" s="43"/>
      <c r="J159" s="43"/>
      <c r="K159" s="43"/>
      <c r="L159" s="43"/>
      <c r="M159" s="43"/>
      <c r="N159" s="43"/>
      <c r="O159" s="43"/>
      <c r="P159" s="43"/>
      <c r="Q159" s="43"/>
      <c r="R159" s="43"/>
      <c r="S159" s="38"/>
      <c r="T159" s="38"/>
      <c r="U159" s="38"/>
      <c r="V159" s="38">
        <f>Debt_Qtr!AE159</f>
        <v>16.875</v>
      </c>
      <c r="W159" s="38">
        <f>Debt_Qtr!AJ159</f>
        <v>22.5</v>
      </c>
      <c r="X159" s="38">
        <f>Debt_Qtr!AO159</f>
        <v>22.5</v>
      </c>
      <c r="Y159" s="38">
        <f>Debt_Qtr!AT159</f>
        <v>22.5</v>
      </c>
      <c r="Z159" s="38">
        <f>Debt_Qtr!AY159</f>
        <v>22.5</v>
      </c>
      <c r="AA159" s="38">
        <f>Debt_Qtr!BD159</f>
        <v>22.5</v>
      </c>
      <c r="AB159" s="38">
        <f>Debt_Qtr!BI159</f>
        <v>22.5</v>
      </c>
      <c r="AC159" s="22">
        <f t="shared" si="66"/>
        <v>22.5</v>
      </c>
      <c r="AD159" s="22">
        <f t="shared" si="66"/>
        <v>22.5</v>
      </c>
      <c r="AE159" s="22">
        <f t="shared" si="66"/>
        <v>22.5</v>
      </c>
      <c r="AF159" s="22">
        <f t="shared" si="66"/>
        <v>22.5</v>
      </c>
      <c r="AI159" s="25">
        <v>22.5</v>
      </c>
      <c r="AJ159" s="25" t="b">
        <f t="shared" si="63"/>
        <v>1</v>
      </c>
    </row>
    <row r="160" spans="1:36" s="25" customFormat="1">
      <c r="A160" s="525" t="s">
        <v>476</v>
      </c>
      <c r="B160" s="43"/>
      <c r="C160" s="43"/>
      <c r="D160" s="43"/>
      <c r="E160" s="43"/>
      <c r="F160" s="43"/>
      <c r="G160" s="43"/>
      <c r="H160" s="43"/>
      <c r="I160" s="43"/>
      <c r="J160" s="43"/>
      <c r="K160" s="43"/>
      <c r="L160" s="43"/>
      <c r="M160" s="43"/>
      <c r="N160" s="43"/>
      <c r="O160" s="43"/>
      <c r="P160" s="43"/>
      <c r="Q160" s="43"/>
      <c r="R160" s="43"/>
      <c r="S160" s="38"/>
      <c r="T160" s="38"/>
      <c r="U160" s="38"/>
      <c r="V160" s="38"/>
      <c r="W160" s="38"/>
      <c r="X160" s="38"/>
      <c r="Y160" s="38">
        <f>Debt_Qtr!AT160</f>
        <v>15</v>
      </c>
      <c r="Z160" s="38">
        <f>Debt_Qtr!AY160</f>
        <v>60</v>
      </c>
      <c r="AA160" s="38">
        <f>Debt_Qtr!BD160</f>
        <v>60</v>
      </c>
      <c r="AB160" s="38">
        <f>Debt_Qtr!BI160</f>
        <v>60</v>
      </c>
      <c r="AC160" s="22">
        <f t="shared" si="66"/>
        <v>60</v>
      </c>
      <c r="AD160" s="22">
        <f t="shared" si="66"/>
        <v>60</v>
      </c>
      <c r="AE160" s="22">
        <f t="shared" si="66"/>
        <v>60</v>
      </c>
      <c r="AF160" s="22">
        <f t="shared" si="66"/>
        <v>60</v>
      </c>
      <c r="AI160" s="25">
        <v>60</v>
      </c>
      <c r="AJ160" s="25" t="b">
        <f t="shared" si="63"/>
        <v>1</v>
      </c>
    </row>
    <row r="161" spans="1:36" s="25" customFormat="1">
      <c r="A161" s="3" t="str">
        <f>Debt_Qtr!A161</f>
        <v>1.900% Notes due 2031</v>
      </c>
      <c r="B161" s="43"/>
      <c r="C161" s="43"/>
      <c r="D161" s="43"/>
      <c r="E161" s="43"/>
      <c r="F161" s="43"/>
      <c r="G161" s="43"/>
      <c r="H161" s="43"/>
      <c r="I161" s="43"/>
      <c r="J161" s="43"/>
      <c r="K161" s="43"/>
      <c r="L161" s="43"/>
      <c r="M161" s="43"/>
      <c r="N161" s="43"/>
      <c r="O161" s="43"/>
      <c r="P161" s="43"/>
      <c r="Q161" s="43"/>
      <c r="R161" s="43"/>
      <c r="S161" s="38"/>
      <c r="T161" s="38"/>
      <c r="U161" s="38"/>
      <c r="V161" s="38">
        <f>Debt_Qtr!AE161</f>
        <v>0</v>
      </c>
      <c r="W161" s="38">
        <f>Debt_Qtr!AJ161</f>
        <v>7.125</v>
      </c>
      <c r="X161" s="38">
        <f>Debt_Qtr!AO161</f>
        <v>19</v>
      </c>
      <c r="Y161" s="38">
        <f>Debt_Qtr!AT161</f>
        <v>19</v>
      </c>
      <c r="Z161" s="38">
        <f>Debt_Qtr!AY161</f>
        <v>19</v>
      </c>
      <c r="AA161" s="38">
        <f>Debt_Qtr!BD161</f>
        <v>19</v>
      </c>
      <c r="AB161" s="38">
        <f>Debt_Qtr!BI161</f>
        <v>19</v>
      </c>
      <c r="AC161" s="22">
        <f t="shared" si="66"/>
        <v>19</v>
      </c>
      <c r="AD161" s="22">
        <f t="shared" si="66"/>
        <v>19</v>
      </c>
      <c r="AE161" s="22">
        <f t="shared" si="66"/>
        <v>19</v>
      </c>
      <c r="AF161" s="22">
        <f t="shared" si="66"/>
        <v>19</v>
      </c>
      <c r="AI161" s="25">
        <v>19</v>
      </c>
      <c r="AJ161" s="25" t="b">
        <f t="shared" si="63"/>
        <v>1</v>
      </c>
    </row>
    <row r="162" spans="1:36" s="25" customFormat="1">
      <c r="A162" s="3" t="str">
        <f>Debt_Qtr!A162</f>
        <v>2.375% Notes due 2032</v>
      </c>
      <c r="B162" s="43"/>
      <c r="C162" s="43"/>
      <c r="D162" s="43"/>
      <c r="E162" s="43"/>
      <c r="F162" s="43"/>
      <c r="G162" s="43"/>
      <c r="H162" s="43"/>
      <c r="I162" s="43"/>
      <c r="J162" s="43"/>
      <c r="K162" s="43"/>
      <c r="L162" s="43"/>
      <c r="M162" s="43"/>
      <c r="N162" s="43"/>
      <c r="O162" s="43"/>
      <c r="P162" s="43"/>
      <c r="Q162" s="43"/>
      <c r="R162" s="43"/>
      <c r="S162" s="38"/>
      <c r="T162" s="38"/>
      <c r="U162" s="38"/>
      <c r="V162" s="38">
        <f>Debt_Qtr!AE162</f>
        <v>0</v>
      </c>
      <c r="W162" s="38">
        <f>Debt_Qtr!AJ162</f>
        <v>2.96875</v>
      </c>
      <c r="X162" s="38">
        <f>Debt_Qtr!AO162</f>
        <v>23.75</v>
      </c>
      <c r="Y162" s="38">
        <f>Debt_Qtr!AT162</f>
        <v>23.75</v>
      </c>
      <c r="Z162" s="38">
        <f>Debt_Qtr!AY162</f>
        <v>23.75</v>
      </c>
      <c r="AA162" s="38">
        <f>Debt_Qtr!BD162</f>
        <v>23.75</v>
      </c>
      <c r="AB162" s="38">
        <f>Debt_Qtr!BI162</f>
        <v>23.75</v>
      </c>
      <c r="AC162" s="22">
        <f t="shared" si="66"/>
        <v>23.75</v>
      </c>
      <c r="AD162" s="22">
        <f t="shared" si="66"/>
        <v>23.75</v>
      </c>
      <c r="AE162" s="22">
        <f t="shared" si="66"/>
        <v>23.75</v>
      </c>
      <c r="AF162" s="22">
        <f t="shared" si="66"/>
        <v>23.75</v>
      </c>
      <c r="AI162" s="25">
        <v>23.75</v>
      </c>
      <c r="AJ162" s="25" t="b">
        <f t="shared" si="63"/>
        <v>1</v>
      </c>
    </row>
    <row r="163" spans="1:36" s="25" customFormat="1">
      <c r="A163" s="3" t="str">
        <f>Debt_Qtr!A163</f>
        <v>5.150% Notes due 2033</v>
      </c>
      <c r="B163" s="43"/>
      <c r="C163" s="43"/>
      <c r="D163" s="43"/>
      <c r="E163" s="43"/>
      <c r="F163" s="43"/>
      <c r="G163" s="43"/>
      <c r="H163" s="43"/>
      <c r="I163" s="43"/>
      <c r="J163" s="43"/>
      <c r="K163" s="43"/>
      <c r="L163" s="43"/>
      <c r="M163" s="43"/>
      <c r="N163" s="43"/>
      <c r="O163" s="43"/>
      <c r="P163" s="43"/>
      <c r="Q163" s="43"/>
      <c r="R163" s="43"/>
      <c r="S163" s="38"/>
      <c r="T163" s="38"/>
      <c r="U163" s="38"/>
      <c r="V163" s="38">
        <f>Debt_Qtr!AE163</f>
        <v>0</v>
      </c>
      <c r="W163" s="38">
        <f>Debt_Qtr!AJ163</f>
        <v>0</v>
      </c>
      <c r="X163" s="38">
        <f>Debt_Qtr!AO163</f>
        <v>0</v>
      </c>
      <c r="Y163" s="38">
        <f>Debt_Qtr!AT163</f>
        <v>56.328125</v>
      </c>
      <c r="Z163" s="38">
        <f>Debt_Qtr!AY163</f>
        <v>64.375</v>
      </c>
      <c r="AA163" s="38">
        <f>Debt_Qtr!BD163</f>
        <v>64.375</v>
      </c>
      <c r="AB163" s="38">
        <f>Debt_Qtr!BI163</f>
        <v>64.375</v>
      </c>
      <c r="AC163" s="22">
        <f t="shared" si="66"/>
        <v>64.375</v>
      </c>
      <c r="AD163" s="22">
        <f t="shared" si="66"/>
        <v>64.375</v>
      </c>
      <c r="AE163" s="22">
        <f t="shared" si="66"/>
        <v>64.375</v>
      </c>
      <c r="AF163" s="22">
        <f t="shared" si="66"/>
        <v>64.375</v>
      </c>
      <c r="AI163" s="25">
        <v>64.375</v>
      </c>
      <c r="AJ163" s="25" t="b">
        <f t="shared" si="63"/>
        <v>1</v>
      </c>
    </row>
    <row r="164" spans="1:36" s="25" customFormat="1">
      <c r="A164" s="525" t="s">
        <v>474</v>
      </c>
      <c r="B164" s="43"/>
      <c r="C164" s="43"/>
      <c r="D164" s="43"/>
      <c r="E164" s="43"/>
      <c r="F164" s="43"/>
      <c r="G164" s="43"/>
      <c r="H164" s="43"/>
      <c r="I164" s="43"/>
      <c r="J164" s="43"/>
      <c r="K164" s="43"/>
      <c r="L164" s="43"/>
      <c r="M164" s="43"/>
      <c r="N164" s="43"/>
      <c r="O164" s="43"/>
      <c r="P164" s="43"/>
      <c r="Q164" s="43"/>
      <c r="R164" s="43"/>
      <c r="S164" s="38"/>
      <c r="T164" s="38"/>
      <c r="U164" s="38"/>
      <c r="V164" s="38"/>
      <c r="W164" s="38"/>
      <c r="X164" s="38"/>
      <c r="Y164" s="38">
        <f>Debt_Qtr!AT164</f>
        <v>22.875</v>
      </c>
      <c r="Z164" s="38">
        <f>Debt_Qtr!AY164</f>
        <v>91.5</v>
      </c>
      <c r="AA164" s="38">
        <f>Debt_Qtr!BD164</f>
        <v>91.5</v>
      </c>
      <c r="AB164" s="38">
        <f>Debt_Qtr!BI164</f>
        <v>91.5</v>
      </c>
      <c r="AC164" s="22">
        <f t="shared" si="66"/>
        <v>91.5</v>
      </c>
      <c r="AD164" s="22">
        <f t="shared" si="66"/>
        <v>91.5</v>
      </c>
      <c r="AE164" s="22">
        <f t="shared" si="66"/>
        <v>91.5</v>
      </c>
      <c r="AF164" s="22">
        <f t="shared" si="66"/>
        <v>91.5</v>
      </c>
      <c r="AI164" s="25">
        <v>91.5</v>
      </c>
      <c r="AJ164" s="25" t="b">
        <f t="shared" si="63"/>
        <v>1</v>
      </c>
    </row>
    <row r="165" spans="1:36" s="25" customFormat="1">
      <c r="A165" s="3" t="str">
        <f>Debt_Qtr!A165</f>
        <v>5.400% Notes due 2035</v>
      </c>
      <c r="B165" s="43"/>
      <c r="C165" s="43"/>
      <c r="D165" s="43"/>
      <c r="E165" s="43"/>
      <c r="F165" s="43"/>
      <c r="G165" s="43"/>
      <c r="H165" s="43"/>
      <c r="I165" s="43"/>
      <c r="J165" s="43"/>
      <c r="K165" s="43"/>
      <c r="L165" s="43"/>
      <c r="M165" s="43"/>
      <c r="N165" s="43"/>
      <c r="O165" s="43"/>
      <c r="P165" s="43"/>
      <c r="Q165" s="43"/>
      <c r="R165" s="43"/>
      <c r="S165" s="38"/>
      <c r="T165" s="38"/>
      <c r="U165" s="38"/>
      <c r="V165" s="38">
        <f>Debt_Qtr!AE165</f>
        <v>24.299999999999997</v>
      </c>
      <c r="W165" s="38">
        <f>Debt_Qtr!AJ165</f>
        <v>31.360499999999998</v>
      </c>
      <c r="X165" s="38">
        <f>Debt_Qtr!AO165</f>
        <v>24.084</v>
      </c>
      <c r="Y165" s="38">
        <f>Debt_Qtr!AT165</f>
        <v>24.084</v>
      </c>
      <c r="Z165" s="38">
        <f>Debt_Qtr!AY165</f>
        <v>24.084</v>
      </c>
      <c r="AA165" s="38">
        <f>Debt_Qtr!BD165</f>
        <v>24.084</v>
      </c>
      <c r="AB165" s="38">
        <f>Debt_Qtr!BI165</f>
        <v>24.084</v>
      </c>
      <c r="AC165" s="22">
        <f t="shared" si="66"/>
        <v>24.084</v>
      </c>
      <c r="AD165" s="22">
        <f t="shared" si="66"/>
        <v>24.084</v>
      </c>
      <c r="AE165" s="22">
        <f t="shared" si="66"/>
        <v>24.084</v>
      </c>
      <c r="AF165" s="22">
        <f t="shared" si="66"/>
        <v>24.084</v>
      </c>
      <c r="AI165" s="25">
        <v>24.084</v>
      </c>
      <c r="AJ165" s="25" t="b">
        <f t="shared" si="63"/>
        <v>1</v>
      </c>
    </row>
    <row r="166" spans="1:36" s="25" customFormat="1">
      <c r="A166" s="3" t="str">
        <f>Debt_Qtr!A166</f>
        <v>6.050% Notes due 2036</v>
      </c>
      <c r="B166" s="43"/>
      <c r="C166" s="43"/>
      <c r="D166" s="43"/>
      <c r="E166" s="43"/>
      <c r="F166" s="43"/>
      <c r="G166" s="43"/>
      <c r="H166" s="43"/>
      <c r="I166" s="43"/>
      <c r="J166" s="43"/>
      <c r="K166" s="43"/>
      <c r="L166" s="43"/>
      <c r="M166" s="43"/>
      <c r="N166" s="43"/>
      <c r="O166" s="43"/>
      <c r="P166" s="43"/>
      <c r="Q166" s="43"/>
      <c r="R166" s="43"/>
      <c r="S166" s="38"/>
      <c r="T166" s="38"/>
      <c r="U166" s="38"/>
      <c r="V166" s="38">
        <f>Debt_Qtr!AE166</f>
        <v>27.224999999999998</v>
      </c>
      <c r="W166" s="38">
        <f>Debt_Qtr!AJ166</f>
        <v>34.863124999999997</v>
      </c>
      <c r="X166" s="38">
        <f>Debt_Qtr!AO166</f>
        <v>24.805</v>
      </c>
      <c r="Y166" s="38">
        <f>Debt_Qtr!AT166</f>
        <v>24.805</v>
      </c>
      <c r="Z166" s="38">
        <f>Debt_Qtr!AY166</f>
        <v>24.805</v>
      </c>
      <c r="AA166" s="38">
        <f>Debt_Qtr!BD166</f>
        <v>24.805</v>
      </c>
      <c r="AB166" s="38">
        <f>Debt_Qtr!BI166</f>
        <v>24.805</v>
      </c>
      <c r="AC166" s="22">
        <f t="shared" si="66"/>
        <v>24.805</v>
      </c>
      <c r="AD166" s="22">
        <f t="shared" si="66"/>
        <v>24.805</v>
      </c>
      <c r="AE166" s="22">
        <f t="shared" si="66"/>
        <v>24.805</v>
      </c>
      <c r="AF166" s="22">
        <f t="shared" si="66"/>
        <v>24.805</v>
      </c>
      <c r="AI166" s="25">
        <v>24.805</v>
      </c>
      <c r="AJ166" s="25" t="b">
        <f t="shared" si="63"/>
        <v>1</v>
      </c>
    </row>
    <row r="167" spans="1:36" s="25" customFormat="1">
      <c r="A167" s="3" t="str">
        <f>Debt_Qtr!A167</f>
        <v>6.800% Notes due 2036</v>
      </c>
      <c r="B167" s="43"/>
      <c r="C167" s="43"/>
      <c r="D167" s="43"/>
      <c r="E167" s="43"/>
      <c r="F167" s="43"/>
      <c r="G167" s="43"/>
      <c r="H167" s="43"/>
      <c r="I167" s="43"/>
      <c r="J167" s="43"/>
      <c r="K167" s="43"/>
      <c r="L167" s="43"/>
      <c r="M167" s="43"/>
      <c r="N167" s="43"/>
      <c r="O167" s="43"/>
      <c r="P167" s="43"/>
      <c r="Q167" s="43"/>
      <c r="R167" s="43"/>
      <c r="S167" s="38"/>
      <c r="T167" s="38"/>
      <c r="U167" s="38"/>
      <c r="V167" s="38">
        <f>Debt_Qtr!AE167</f>
        <v>6.8339999999999996</v>
      </c>
      <c r="W167" s="38">
        <f>Debt_Qtr!AJ167</f>
        <v>8.9674999999999994</v>
      </c>
      <c r="X167" s="38">
        <f>Debt_Qtr!AO167</f>
        <v>7.9560000000000004</v>
      </c>
      <c r="Y167" s="38">
        <f>Debt_Qtr!AT167</f>
        <v>7.9560000000000004</v>
      </c>
      <c r="Z167" s="38">
        <f>Debt_Qtr!AY167</f>
        <v>7.9560000000000004</v>
      </c>
      <c r="AA167" s="38">
        <f>Debt_Qtr!BD167</f>
        <v>7.9560000000000004</v>
      </c>
      <c r="AB167" s="38">
        <f>Debt_Qtr!BI167</f>
        <v>7.9560000000000004</v>
      </c>
      <c r="AC167" s="22">
        <f t="shared" si="66"/>
        <v>7.9560000000000004</v>
      </c>
      <c r="AD167" s="22">
        <f t="shared" si="66"/>
        <v>7.9560000000000004</v>
      </c>
      <c r="AE167" s="22">
        <f t="shared" si="66"/>
        <v>7.9560000000000004</v>
      </c>
      <c r="AF167" s="22">
        <f t="shared" si="66"/>
        <v>7.9560000000000004</v>
      </c>
      <c r="AI167" s="25">
        <v>7.9560000000000004</v>
      </c>
      <c r="AJ167" s="25" t="b">
        <f t="shared" si="63"/>
        <v>1</v>
      </c>
    </row>
    <row r="168" spans="1:36" s="25" customFormat="1">
      <c r="A168" s="3" t="str">
        <f>Debt_Qtr!A168</f>
        <v>7.000% Notes due 2038</v>
      </c>
      <c r="B168" s="43"/>
      <c r="C168" s="43"/>
      <c r="D168" s="43"/>
      <c r="E168" s="43"/>
      <c r="F168" s="43"/>
      <c r="G168" s="43"/>
      <c r="H168" s="43"/>
      <c r="I168" s="43"/>
      <c r="J168" s="43"/>
      <c r="K168" s="43"/>
      <c r="L168" s="43"/>
      <c r="M168" s="43"/>
      <c r="N168" s="43"/>
      <c r="O168" s="43"/>
      <c r="P168" s="43"/>
      <c r="Q168" s="43"/>
      <c r="R168" s="43"/>
      <c r="S168" s="38"/>
      <c r="T168" s="38"/>
      <c r="U168" s="38"/>
      <c r="V168" s="38">
        <f>Debt_Qtr!AE168</f>
        <v>8.3475000000000001</v>
      </c>
      <c r="W168" s="38">
        <f>Debt_Qtr!AJ168</f>
        <v>11.033750000000001</v>
      </c>
      <c r="X168" s="38">
        <f>Debt_Qtr!AO168</f>
        <v>10.360000000000001</v>
      </c>
      <c r="Y168" s="38">
        <f>Debt_Qtr!AT168</f>
        <v>10.360000000000001</v>
      </c>
      <c r="Z168" s="38">
        <f>Debt_Qtr!AY168</f>
        <v>10.360000000000001</v>
      </c>
      <c r="AA168" s="38">
        <f>Debt_Qtr!BD168</f>
        <v>10.360000000000001</v>
      </c>
      <c r="AB168" s="38">
        <f>Debt_Qtr!BI168</f>
        <v>10.360000000000001</v>
      </c>
      <c r="AC168" s="22">
        <f t="shared" si="66"/>
        <v>10.360000000000001</v>
      </c>
      <c r="AD168" s="22">
        <f t="shared" si="66"/>
        <v>10.360000000000001</v>
      </c>
      <c r="AE168" s="22">
        <f t="shared" si="66"/>
        <v>10.360000000000001</v>
      </c>
      <c r="AF168" s="22">
        <f t="shared" si="66"/>
        <v>10.360000000000001</v>
      </c>
      <c r="AI168" s="25">
        <v>10.360000000000001</v>
      </c>
      <c r="AJ168" s="25" t="b">
        <f t="shared" si="63"/>
        <v>1</v>
      </c>
    </row>
    <row r="169" spans="1:36" s="25" customFormat="1">
      <c r="A169" s="3" t="str">
        <f>Debt_Qtr!A169</f>
        <v>6.125% Notes due 2038</v>
      </c>
      <c r="B169" s="43"/>
      <c r="C169" s="43"/>
      <c r="D169" s="43"/>
      <c r="E169" s="43"/>
      <c r="F169" s="43"/>
      <c r="G169" s="43"/>
      <c r="H169" s="43"/>
      <c r="I169" s="43"/>
      <c r="J169" s="43"/>
      <c r="K169" s="43"/>
      <c r="L169" s="43"/>
      <c r="M169" s="43"/>
      <c r="N169" s="43"/>
      <c r="O169" s="43"/>
      <c r="P169" s="43"/>
      <c r="Q169" s="43"/>
      <c r="R169" s="43"/>
      <c r="S169" s="38"/>
      <c r="T169" s="38"/>
      <c r="U169" s="38"/>
      <c r="V169" s="38">
        <f>Debt_Qtr!AE169</f>
        <v>45.9375</v>
      </c>
      <c r="W169" s="38">
        <f>Debt_Qtr!AJ169</f>
        <v>57.99609375</v>
      </c>
      <c r="X169" s="38">
        <f>Debt_Qtr!AO169</f>
        <v>35.21875</v>
      </c>
      <c r="Y169" s="38">
        <f>Debt_Qtr!AT169</f>
        <v>35.21875</v>
      </c>
      <c r="Z169" s="38">
        <f>Debt_Qtr!AY169</f>
        <v>35.21875</v>
      </c>
      <c r="AA169" s="38">
        <f>Debt_Qtr!BD169</f>
        <v>35.21875</v>
      </c>
      <c r="AB169" s="38">
        <f>Debt_Qtr!BI169</f>
        <v>35.21875</v>
      </c>
      <c r="AC169" s="22">
        <f t="shared" ref="AC169:AF188" si="67">+AVERAGE(AC39,AB39)*AC107</f>
        <v>35.21875</v>
      </c>
      <c r="AD169" s="22">
        <f t="shared" si="67"/>
        <v>35.21875</v>
      </c>
      <c r="AE169" s="22">
        <f t="shared" si="67"/>
        <v>35.21875</v>
      </c>
      <c r="AF169" s="22">
        <f t="shared" si="67"/>
        <v>35.21875</v>
      </c>
      <c r="AI169" s="25">
        <v>35.21875</v>
      </c>
      <c r="AJ169" s="25" t="b">
        <f t="shared" si="63"/>
        <v>1</v>
      </c>
    </row>
    <row r="170" spans="1:36" s="25" customFormat="1">
      <c r="A170" s="3" t="str">
        <f>Debt_Qtr!A170</f>
        <v>4.450% Notes due 2038</v>
      </c>
      <c r="B170" s="43"/>
      <c r="C170" s="43"/>
      <c r="D170" s="43"/>
      <c r="E170" s="43"/>
      <c r="F170" s="43"/>
      <c r="G170" s="43"/>
      <c r="H170" s="43"/>
      <c r="I170" s="43"/>
      <c r="J170" s="43"/>
      <c r="K170" s="43"/>
      <c r="L170" s="43"/>
      <c r="M170" s="43"/>
      <c r="N170" s="43"/>
      <c r="O170" s="43"/>
      <c r="P170" s="43"/>
      <c r="Q170" s="43"/>
      <c r="R170" s="43"/>
      <c r="S170" s="38"/>
      <c r="T170" s="38"/>
      <c r="U170" s="38"/>
      <c r="V170" s="38">
        <f>Debt_Qtr!AE170</f>
        <v>25.03125</v>
      </c>
      <c r="W170" s="38">
        <f>Debt_Qtr!AJ170</f>
        <v>33.375</v>
      </c>
      <c r="X170" s="38">
        <f>Debt_Qtr!AO170</f>
        <v>33.375</v>
      </c>
      <c r="Y170" s="38">
        <f>Debt_Qtr!AT170</f>
        <v>33.375</v>
      </c>
      <c r="Z170" s="38">
        <f>Debt_Qtr!AY170</f>
        <v>33.375</v>
      </c>
      <c r="AA170" s="38">
        <f>Debt_Qtr!BD170</f>
        <v>33.375</v>
      </c>
      <c r="AB170" s="38">
        <f>Debt_Qtr!BI170</f>
        <v>33.375</v>
      </c>
      <c r="AC170" s="22">
        <f t="shared" si="67"/>
        <v>33.375</v>
      </c>
      <c r="AD170" s="22">
        <f t="shared" si="67"/>
        <v>33.375</v>
      </c>
      <c r="AE170" s="22">
        <f t="shared" si="67"/>
        <v>33.375</v>
      </c>
      <c r="AF170" s="22">
        <f t="shared" si="67"/>
        <v>33.375</v>
      </c>
      <c r="AI170" s="25">
        <v>33.375</v>
      </c>
      <c r="AJ170" s="25" t="b">
        <f t="shared" si="63"/>
        <v>1</v>
      </c>
    </row>
    <row r="171" spans="1:36" s="25" customFormat="1">
      <c r="A171" s="3" t="str">
        <f>Debt_Qtr!A171</f>
        <v>5.700% Notes due 2040</v>
      </c>
      <c r="B171" s="43"/>
      <c r="C171" s="43"/>
      <c r="D171" s="43"/>
      <c r="E171" s="43"/>
      <c r="F171" s="43"/>
      <c r="G171" s="43"/>
      <c r="H171" s="43"/>
      <c r="I171" s="43"/>
      <c r="J171" s="43"/>
      <c r="K171" s="43"/>
      <c r="L171" s="43"/>
      <c r="M171" s="43"/>
      <c r="N171" s="43"/>
      <c r="O171" s="43"/>
      <c r="P171" s="43"/>
      <c r="Q171" s="43"/>
      <c r="R171" s="43"/>
      <c r="S171" s="38"/>
      <c r="T171" s="38"/>
      <c r="U171" s="38"/>
      <c r="V171" s="38">
        <f>Debt_Qtr!AE171</f>
        <v>42.75</v>
      </c>
      <c r="W171" s="38">
        <f>Debt_Qtr!AJ171</f>
        <v>53.815125000000002</v>
      </c>
      <c r="X171" s="38">
        <f>Debt_Qtr!AO171</f>
        <v>31.521000000000001</v>
      </c>
      <c r="Y171" s="38">
        <f>Debt_Qtr!AT171</f>
        <v>31.521000000000001</v>
      </c>
      <c r="Z171" s="38">
        <f>Debt_Qtr!AY171</f>
        <v>31.521000000000001</v>
      </c>
      <c r="AA171" s="38">
        <f>Debt_Qtr!BD171</f>
        <v>31.521000000000001</v>
      </c>
      <c r="AB171" s="38">
        <f>Debt_Qtr!BI171</f>
        <v>31.521000000000001</v>
      </c>
      <c r="AC171" s="22">
        <f t="shared" si="67"/>
        <v>31.521000000000001</v>
      </c>
      <c r="AD171" s="22">
        <f t="shared" si="67"/>
        <v>31.521000000000001</v>
      </c>
      <c r="AE171" s="22">
        <f t="shared" si="67"/>
        <v>31.521000000000001</v>
      </c>
      <c r="AF171" s="22">
        <f t="shared" si="67"/>
        <v>31.521000000000001</v>
      </c>
      <c r="AI171" s="25">
        <v>31.521000000000001</v>
      </c>
      <c r="AJ171" s="25" t="b">
        <f t="shared" si="63"/>
        <v>1</v>
      </c>
    </row>
    <row r="172" spans="1:36" s="25" customFormat="1">
      <c r="A172" s="3" t="str">
        <f>Debt_Qtr!A172</f>
        <v>4.875% Notes due 2040</v>
      </c>
      <c r="B172" s="43"/>
      <c r="C172" s="43"/>
      <c r="D172" s="43"/>
      <c r="E172" s="43"/>
      <c r="F172" s="43"/>
      <c r="G172" s="43"/>
      <c r="H172" s="43"/>
      <c r="I172" s="43"/>
      <c r="J172" s="43"/>
      <c r="K172" s="43"/>
      <c r="L172" s="43"/>
      <c r="M172" s="43"/>
      <c r="N172" s="43"/>
      <c r="O172" s="43"/>
      <c r="P172" s="43"/>
      <c r="Q172" s="43"/>
      <c r="R172" s="43"/>
      <c r="S172" s="38"/>
      <c r="T172" s="38"/>
      <c r="U172" s="38"/>
      <c r="V172" s="38">
        <f>Debt_Qtr!AE172</f>
        <v>21.9375</v>
      </c>
      <c r="W172" s="38">
        <f>Debt_Qtr!AJ172</f>
        <v>29.25</v>
      </c>
      <c r="X172" s="38">
        <f>Debt_Qtr!AO172</f>
        <v>29.25</v>
      </c>
      <c r="Y172" s="38">
        <f>Debt_Qtr!AT172</f>
        <v>29.25</v>
      </c>
      <c r="Z172" s="38">
        <f>Debt_Qtr!AY172</f>
        <v>29.25</v>
      </c>
      <c r="AA172" s="38">
        <f>Debt_Qtr!BD172</f>
        <v>29.25</v>
      </c>
      <c r="AB172" s="38">
        <f>Debt_Qtr!BI172</f>
        <v>29.25</v>
      </c>
      <c r="AC172" s="22">
        <f t="shared" si="67"/>
        <v>29.25</v>
      </c>
      <c r="AD172" s="22">
        <f t="shared" si="67"/>
        <v>29.25</v>
      </c>
      <c r="AE172" s="22">
        <f t="shared" si="67"/>
        <v>29.25</v>
      </c>
      <c r="AF172" s="22">
        <f t="shared" si="67"/>
        <v>29.25</v>
      </c>
      <c r="AI172" s="25">
        <v>29.25</v>
      </c>
      <c r="AJ172" s="25" t="b">
        <f t="shared" si="63"/>
        <v>1</v>
      </c>
    </row>
    <row r="173" spans="1:36" s="25" customFormat="1">
      <c r="A173" s="3" t="str">
        <f>Debt_Qtr!A173</f>
        <v>4.700% Notes due 2041</v>
      </c>
      <c r="B173" s="43"/>
      <c r="C173" s="43"/>
      <c r="D173" s="43"/>
      <c r="E173" s="43"/>
      <c r="F173" s="43"/>
      <c r="G173" s="43"/>
      <c r="H173" s="43"/>
      <c r="I173" s="43"/>
      <c r="J173" s="43"/>
      <c r="K173" s="43"/>
      <c r="L173" s="43"/>
      <c r="M173" s="43"/>
      <c r="N173" s="43"/>
      <c r="O173" s="43"/>
      <c r="P173" s="43"/>
      <c r="Q173" s="43"/>
      <c r="R173" s="43"/>
      <c r="S173" s="38"/>
      <c r="T173" s="38"/>
      <c r="U173" s="38"/>
      <c r="V173" s="38">
        <f>Debt_Qtr!AE173</f>
        <v>14.981250000000001</v>
      </c>
      <c r="W173" s="38">
        <f>Debt_Qtr!AJ173</f>
        <v>19.975000000000001</v>
      </c>
      <c r="X173" s="38">
        <f>Debt_Qtr!AO173</f>
        <v>19.975000000000001</v>
      </c>
      <c r="Y173" s="38">
        <f>Debt_Qtr!AT173</f>
        <v>19.975000000000001</v>
      </c>
      <c r="Z173" s="38">
        <f>Debt_Qtr!AY173</f>
        <v>19.975000000000001</v>
      </c>
      <c r="AA173" s="38">
        <f>Debt_Qtr!BD173</f>
        <v>19.975000000000001</v>
      </c>
      <c r="AB173" s="38">
        <f>Debt_Qtr!BI173</f>
        <v>19.975000000000001</v>
      </c>
      <c r="AC173" s="22">
        <f t="shared" si="67"/>
        <v>19.975000000000001</v>
      </c>
      <c r="AD173" s="22">
        <f t="shared" si="67"/>
        <v>19.975000000000001</v>
      </c>
      <c r="AE173" s="22">
        <f t="shared" si="67"/>
        <v>19.975000000000001</v>
      </c>
      <c r="AF173" s="22">
        <f t="shared" si="67"/>
        <v>19.975000000000001</v>
      </c>
      <c r="AI173" s="25">
        <v>19.975000000000001</v>
      </c>
      <c r="AJ173" s="25" t="b">
        <f t="shared" si="63"/>
        <v>1</v>
      </c>
    </row>
    <row r="174" spans="1:36" s="25" customFormat="1">
      <c r="A174" s="3" t="str">
        <f>Debt_Qtr!A174</f>
        <v>4.500% Notes due 2042</v>
      </c>
      <c r="B174" s="43"/>
      <c r="C174" s="43"/>
      <c r="D174" s="43"/>
      <c r="E174" s="43"/>
      <c r="F174" s="43"/>
      <c r="G174" s="43"/>
      <c r="H174" s="43"/>
      <c r="I174" s="43"/>
      <c r="J174" s="43"/>
      <c r="K174" s="43"/>
      <c r="L174" s="43"/>
      <c r="M174" s="43"/>
      <c r="N174" s="43"/>
      <c r="O174" s="43"/>
      <c r="P174" s="43"/>
      <c r="Q174" s="43"/>
      <c r="R174" s="43"/>
      <c r="S174" s="38"/>
      <c r="T174" s="38"/>
      <c r="U174" s="38"/>
      <c r="V174" s="38">
        <f>Debt_Qtr!AE174</f>
        <v>118.125</v>
      </c>
      <c r="W174" s="38">
        <f>Debt_Qtr!AJ174</f>
        <v>157.5</v>
      </c>
      <c r="X174" s="38">
        <f>Debt_Qtr!AO174</f>
        <v>157.5</v>
      </c>
      <c r="Y174" s="38">
        <f>Debt_Qtr!AT174</f>
        <v>157.5</v>
      </c>
      <c r="Z174" s="38">
        <f>Debt_Qtr!AY174</f>
        <v>157.5</v>
      </c>
      <c r="AA174" s="38">
        <f>Debt_Qtr!BD174</f>
        <v>157.5</v>
      </c>
      <c r="AB174" s="38">
        <f>Debt_Qtr!BI174</f>
        <v>157.5</v>
      </c>
      <c r="AC174" s="22">
        <f t="shared" si="67"/>
        <v>157.5</v>
      </c>
      <c r="AD174" s="22">
        <f t="shared" si="67"/>
        <v>157.5</v>
      </c>
      <c r="AE174" s="22">
        <f t="shared" si="67"/>
        <v>157.5</v>
      </c>
      <c r="AF174" s="22">
        <f t="shared" si="67"/>
        <v>157.5</v>
      </c>
      <c r="AI174" s="25">
        <v>157.5</v>
      </c>
      <c r="AJ174" s="25" t="b">
        <f t="shared" si="63"/>
        <v>1</v>
      </c>
    </row>
    <row r="175" spans="1:36" s="25" customFormat="1">
      <c r="A175" s="3" t="str">
        <f>Debt_Qtr!A175</f>
        <v>4.800% Notes due 2043</v>
      </c>
      <c r="B175" s="43"/>
      <c r="C175" s="43"/>
      <c r="D175" s="43"/>
      <c r="E175" s="43"/>
      <c r="F175" s="43"/>
      <c r="G175" s="43"/>
      <c r="H175" s="43"/>
      <c r="I175" s="43"/>
      <c r="J175" s="43"/>
      <c r="K175" s="43"/>
      <c r="L175" s="43"/>
      <c r="M175" s="43"/>
      <c r="N175" s="43"/>
      <c r="O175" s="43"/>
      <c r="P175" s="43"/>
      <c r="Q175" s="43"/>
      <c r="R175" s="43"/>
      <c r="S175" s="38"/>
      <c r="T175" s="38"/>
      <c r="U175" s="38"/>
      <c r="V175" s="38">
        <f>Debt_Qtr!AE175</f>
        <v>14.399999999999999</v>
      </c>
      <c r="W175" s="38">
        <f>Debt_Qtr!AJ175</f>
        <v>19.2</v>
      </c>
      <c r="X175" s="38">
        <f>Debt_Qtr!AO175</f>
        <v>19.2</v>
      </c>
      <c r="Y175" s="38">
        <f>Debt_Qtr!AT175</f>
        <v>19.2</v>
      </c>
      <c r="Z175" s="38">
        <f>Debt_Qtr!AY175</f>
        <v>19.2</v>
      </c>
      <c r="AA175" s="38">
        <f>Debt_Qtr!BD175</f>
        <v>19.2</v>
      </c>
      <c r="AB175" s="38">
        <f>Debt_Qtr!BI175</f>
        <v>19.2</v>
      </c>
      <c r="AC175" s="22">
        <f t="shared" si="67"/>
        <v>19.2</v>
      </c>
      <c r="AD175" s="22">
        <f t="shared" si="67"/>
        <v>19.2</v>
      </c>
      <c r="AE175" s="22">
        <f t="shared" si="67"/>
        <v>19.2</v>
      </c>
      <c r="AF175" s="22">
        <f t="shared" si="67"/>
        <v>19.2</v>
      </c>
      <c r="AI175" s="25">
        <v>19.2</v>
      </c>
      <c r="AJ175" s="25" t="b">
        <f t="shared" si="63"/>
        <v>1</v>
      </c>
    </row>
    <row r="176" spans="1:36" s="25" customFormat="1">
      <c r="A176" s="3" t="str">
        <f>Debt_Qtr!A176</f>
        <v>4.200% Notes due 2044</v>
      </c>
      <c r="B176" s="43"/>
      <c r="C176" s="43"/>
      <c r="D176" s="43"/>
      <c r="E176" s="43"/>
      <c r="F176" s="43"/>
      <c r="G176" s="43"/>
      <c r="H176" s="43"/>
      <c r="I176" s="43"/>
      <c r="J176" s="43"/>
      <c r="K176" s="43"/>
      <c r="L176" s="43"/>
      <c r="M176" s="43"/>
      <c r="N176" s="43"/>
      <c r="O176" s="43"/>
      <c r="P176" s="43"/>
      <c r="Q176" s="43"/>
      <c r="R176" s="43"/>
      <c r="S176" s="38"/>
      <c r="T176" s="38"/>
      <c r="U176" s="38"/>
      <c r="V176" s="38">
        <f>Debt_Qtr!AE176</f>
        <v>9.4500000000000011</v>
      </c>
      <c r="W176" s="38">
        <f>Debt_Qtr!AJ176</f>
        <v>12.600000000000001</v>
      </c>
      <c r="X176" s="38">
        <f>Debt_Qtr!AO176</f>
        <v>12.600000000000001</v>
      </c>
      <c r="Y176" s="38">
        <f>Debt_Qtr!AT176</f>
        <v>12.600000000000001</v>
      </c>
      <c r="Z176" s="38">
        <f>Debt_Qtr!AY176</f>
        <v>12.600000000000001</v>
      </c>
      <c r="AA176" s="38">
        <f>Debt_Qtr!BD176</f>
        <v>12.600000000000001</v>
      </c>
      <c r="AB176" s="38">
        <f>Debt_Qtr!BI176</f>
        <v>12.600000000000001</v>
      </c>
      <c r="AC176" s="22">
        <f t="shared" si="67"/>
        <v>12.600000000000001</v>
      </c>
      <c r="AD176" s="22">
        <f t="shared" si="67"/>
        <v>12.600000000000001</v>
      </c>
      <c r="AE176" s="22">
        <f t="shared" si="67"/>
        <v>12.600000000000001</v>
      </c>
      <c r="AF176" s="22">
        <f t="shared" si="67"/>
        <v>12.600000000000001</v>
      </c>
      <c r="AI176" s="25">
        <v>12.600000000000001</v>
      </c>
      <c r="AJ176" s="25" t="b">
        <f t="shared" si="63"/>
        <v>1</v>
      </c>
    </row>
    <row r="177" spans="1:36" s="25" customFormat="1">
      <c r="A177" s="3" t="str">
        <f>Debt_Qtr!A177</f>
        <v>4.150% Notes due 2045</v>
      </c>
      <c r="B177" s="43"/>
      <c r="C177" s="43"/>
      <c r="D177" s="43"/>
      <c r="E177" s="43"/>
      <c r="F177" s="43"/>
      <c r="G177" s="43"/>
      <c r="H177" s="43"/>
      <c r="I177" s="43"/>
      <c r="J177" s="43"/>
      <c r="K177" s="43"/>
      <c r="L177" s="43"/>
      <c r="M177" s="43"/>
      <c r="N177" s="43"/>
      <c r="O177" s="43"/>
      <c r="P177" s="43"/>
      <c r="Q177" s="43"/>
      <c r="R177" s="43"/>
      <c r="S177" s="38"/>
      <c r="T177" s="38"/>
      <c r="U177" s="38"/>
      <c r="V177" s="38">
        <f>Debt_Qtr!AE177</f>
        <v>26.456249999999997</v>
      </c>
      <c r="W177" s="38">
        <f>Debt_Qtr!AJ177</f>
        <v>35.274999999999999</v>
      </c>
      <c r="X177" s="38">
        <f>Debt_Qtr!AO177</f>
        <v>35.274999999999999</v>
      </c>
      <c r="Y177" s="38">
        <f>Debt_Qtr!AT177</f>
        <v>35.274999999999999</v>
      </c>
      <c r="Z177" s="38">
        <f>Debt_Qtr!AY177</f>
        <v>35.274999999999999</v>
      </c>
      <c r="AA177" s="38">
        <f>Debt_Qtr!BD177</f>
        <v>35.274999999999999</v>
      </c>
      <c r="AB177" s="38">
        <f>Debt_Qtr!BI177</f>
        <v>35.274999999999999</v>
      </c>
      <c r="AC177" s="22">
        <f t="shared" si="67"/>
        <v>35.274999999999999</v>
      </c>
      <c r="AD177" s="22">
        <f t="shared" si="67"/>
        <v>35.274999999999999</v>
      </c>
      <c r="AE177" s="22">
        <f t="shared" si="67"/>
        <v>35.274999999999999</v>
      </c>
      <c r="AF177" s="22">
        <f t="shared" si="67"/>
        <v>35.274999999999999</v>
      </c>
      <c r="AI177" s="25">
        <v>35.274999999999999</v>
      </c>
      <c r="AJ177" s="25" t="b">
        <f t="shared" si="63"/>
        <v>1</v>
      </c>
    </row>
    <row r="178" spans="1:36" s="25" customFormat="1">
      <c r="A178" s="3" t="str">
        <f>Debt_Qtr!A178</f>
        <v>3.750% Notes due 2046</v>
      </c>
      <c r="B178" s="43"/>
      <c r="C178" s="43"/>
      <c r="D178" s="43"/>
      <c r="E178" s="43"/>
      <c r="F178" s="43"/>
      <c r="G178" s="43"/>
      <c r="H178" s="43"/>
      <c r="I178" s="43"/>
      <c r="J178" s="43"/>
      <c r="K178" s="43"/>
      <c r="L178" s="43"/>
      <c r="M178" s="43"/>
      <c r="N178" s="43"/>
      <c r="O178" s="43"/>
      <c r="P178" s="43"/>
      <c r="Q178" s="43"/>
      <c r="R178" s="43"/>
      <c r="S178" s="38"/>
      <c r="T178" s="38"/>
      <c r="U178" s="38"/>
      <c r="V178" s="38">
        <f>Debt_Qtr!AE178</f>
        <v>30.9375</v>
      </c>
      <c r="W178" s="38">
        <f>Debt_Qtr!AJ178</f>
        <v>41.25</v>
      </c>
      <c r="X178" s="38">
        <f>Debt_Qtr!AO178</f>
        <v>41.25</v>
      </c>
      <c r="Y178" s="38">
        <f>Debt_Qtr!AT178</f>
        <v>41.25</v>
      </c>
      <c r="Z178" s="38">
        <f>Debt_Qtr!AY178</f>
        <v>41.25</v>
      </c>
      <c r="AA178" s="38">
        <f>Debt_Qtr!BD178</f>
        <v>41.25</v>
      </c>
      <c r="AB178" s="38">
        <f>Debt_Qtr!BI178</f>
        <v>41.25</v>
      </c>
      <c r="AC178" s="22">
        <f t="shared" si="67"/>
        <v>41.25</v>
      </c>
      <c r="AD178" s="22">
        <f t="shared" si="67"/>
        <v>41.25</v>
      </c>
      <c r="AE178" s="22">
        <f t="shared" si="67"/>
        <v>41.25</v>
      </c>
      <c r="AF178" s="22">
        <f t="shared" si="67"/>
        <v>41.25</v>
      </c>
      <c r="AI178" s="25">
        <v>41.25</v>
      </c>
      <c r="AJ178" s="25" t="b">
        <f t="shared" si="63"/>
        <v>1</v>
      </c>
    </row>
    <row r="179" spans="1:36" s="25" customFormat="1">
      <c r="A179" s="3" t="str">
        <f>Debt_Qtr!A179</f>
        <v>4.050% Notes due 2047</v>
      </c>
      <c r="B179" s="43"/>
      <c r="C179" s="43"/>
      <c r="D179" s="43"/>
      <c r="E179" s="43"/>
      <c r="F179" s="43"/>
      <c r="G179" s="43"/>
      <c r="H179" s="43"/>
      <c r="I179" s="43"/>
      <c r="J179" s="43"/>
      <c r="K179" s="43"/>
      <c r="L179" s="43"/>
      <c r="M179" s="43"/>
      <c r="N179" s="43"/>
      <c r="O179" s="43"/>
      <c r="P179" s="43"/>
      <c r="Q179" s="43"/>
      <c r="R179" s="43"/>
      <c r="S179" s="38"/>
      <c r="T179" s="38"/>
      <c r="U179" s="38"/>
      <c r="V179" s="38">
        <f>Debt_Qtr!AE179</f>
        <v>18.225000000000001</v>
      </c>
      <c r="W179" s="38">
        <f>Debt_Qtr!AJ179</f>
        <v>24.3</v>
      </c>
      <c r="X179" s="38">
        <f>Debt_Qtr!AO179</f>
        <v>24.3</v>
      </c>
      <c r="Y179" s="38">
        <f>Debt_Qtr!AT179</f>
        <v>24.3</v>
      </c>
      <c r="Z179" s="38">
        <f>Debt_Qtr!AY179</f>
        <v>24.3</v>
      </c>
      <c r="AA179" s="38">
        <f>Debt_Qtr!BD179</f>
        <v>24.3</v>
      </c>
      <c r="AB179" s="38">
        <f>Debt_Qtr!BI179</f>
        <v>24.3</v>
      </c>
      <c r="AC179" s="22">
        <f t="shared" si="67"/>
        <v>24.3</v>
      </c>
      <c r="AD179" s="22">
        <f t="shared" si="67"/>
        <v>24.3</v>
      </c>
      <c r="AE179" s="22">
        <f t="shared" si="67"/>
        <v>24.3</v>
      </c>
      <c r="AF179" s="22">
        <f t="shared" si="67"/>
        <v>24.3</v>
      </c>
      <c r="AI179" s="25">
        <v>24.3</v>
      </c>
      <c r="AJ179" s="25" t="b">
        <f t="shared" si="63"/>
        <v>1</v>
      </c>
    </row>
    <row r="180" spans="1:36" s="25" customFormat="1">
      <c r="A180" s="3" t="str">
        <f>Debt_Qtr!A180</f>
        <v>4.350% Notes due 2047</v>
      </c>
      <c r="B180" s="43"/>
      <c r="C180" s="43"/>
      <c r="D180" s="43"/>
      <c r="E180" s="43"/>
      <c r="F180" s="43"/>
      <c r="G180" s="43"/>
      <c r="H180" s="43"/>
      <c r="I180" s="43"/>
      <c r="J180" s="43"/>
      <c r="K180" s="43"/>
      <c r="L180" s="43"/>
      <c r="M180" s="43"/>
      <c r="N180" s="43"/>
      <c r="O180" s="43"/>
      <c r="P180" s="43"/>
      <c r="Q180" s="43"/>
      <c r="R180" s="43"/>
      <c r="S180" s="38"/>
      <c r="T180" s="38"/>
      <c r="U180" s="38"/>
      <c r="V180" s="38">
        <f>Debt_Qtr!AE180</f>
        <v>32.625</v>
      </c>
      <c r="W180" s="38">
        <f>Debt_Qtr!AJ180</f>
        <v>43.5</v>
      </c>
      <c r="X180" s="38">
        <f>Debt_Qtr!AO180</f>
        <v>43.5</v>
      </c>
      <c r="Y180" s="38">
        <f>Debt_Qtr!AT180</f>
        <v>43.5</v>
      </c>
      <c r="Z180" s="38">
        <f>Debt_Qtr!AY180</f>
        <v>43.5</v>
      </c>
      <c r="AA180" s="38">
        <f>Debt_Qtr!BD180</f>
        <v>43.5</v>
      </c>
      <c r="AB180" s="38">
        <f>Debt_Qtr!BI180</f>
        <v>43.5</v>
      </c>
      <c r="AC180" s="22">
        <f t="shared" si="67"/>
        <v>43.5</v>
      </c>
      <c r="AD180" s="22">
        <f t="shared" si="67"/>
        <v>43.5</v>
      </c>
      <c r="AE180" s="22">
        <f t="shared" si="67"/>
        <v>43.5</v>
      </c>
      <c r="AF180" s="22">
        <f t="shared" si="67"/>
        <v>43.5</v>
      </c>
      <c r="AI180" s="25">
        <v>43.5</v>
      </c>
      <c r="AJ180" s="25" t="b">
        <f t="shared" si="63"/>
        <v>1</v>
      </c>
    </row>
    <row r="181" spans="1:36" s="25" customFormat="1">
      <c r="A181" s="3" t="str">
        <f>Debt_Qtr!A181</f>
        <v>4.625% Notes due 2048</v>
      </c>
      <c r="B181" s="43"/>
      <c r="C181" s="43"/>
      <c r="D181" s="43"/>
      <c r="E181" s="43"/>
      <c r="F181" s="43"/>
      <c r="G181" s="43"/>
      <c r="H181" s="43"/>
      <c r="I181" s="43"/>
      <c r="J181" s="43"/>
      <c r="K181" s="43"/>
      <c r="L181" s="43"/>
      <c r="M181" s="43"/>
      <c r="N181" s="43"/>
      <c r="O181" s="43"/>
      <c r="P181" s="43"/>
      <c r="Q181" s="43"/>
      <c r="R181" s="43"/>
      <c r="S181" s="38"/>
      <c r="T181" s="38"/>
      <c r="U181" s="38"/>
      <c r="V181" s="38">
        <f>Debt_Qtr!AE181</f>
        <v>60.703125</v>
      </c>
      <c r="W181" s="38">
        <f>Debt_Qtr!AJ181</f>
        <v>80.9375</v>
      </c>
      <c r="X181" s="38">
        <f>Debt_Qtr!AO181</f>
        <v>80.9375</v>
      </c>
      <c r="Y181" s="38">
        <f>Debt_Qtr!AT181</f>
        <v>80.9375</v>
      </c>
      <c r="Z181" s="38">
        <f>Debt_Qtr!AY181</f>
        <v>80.9375</v>
      </c>
      <c r="AA181" s="38">
        <f>Debt_Qtr!BD181</f>
        <v>80.9375</v>
      </c>
      <c r="AB181" s="38">
        <f>Debt_Qtr!BI181</f>
        <v>80.9375</v>
      </c>
      <c r="AC181" s="22">
        <f t="shared" si="67"/>
        <v>80.9375</v>
      </c>
      <c r="AD181" s="22">
        <f t="shared" si="67"/>
        <v>80.9375</v>
      </c>
      <c r="AE181" s="22">
        <f t="shared" si="67"/>
        <v>80.9375</v>
      </c>
      <c r="AF181" s="22">
        <f t="shared" si="67"/>
        <v>80.9375</v>
      </c>
      <c r="AI181" s="25">
        <v>80.9375</v>
      </c>
      <c r="AJ181" s="25" t="b">
        <f t="shared" si="63"/>
        <v>1</v>
      </c>
    </row>
    <row r="182" spans="1:36" s="25" customFormat="1">
      <c r="A182" s="3" t="str">
        <f>Debt_Qtr!A182</f>
        <v>3.125% Notes due 2050</v>
      </c>
      <c r="B182" s="43"/>
      <c r="C182" s="43"/>
      <c r="D182" s="43"/>
      <c r="E182" s="43"/>
      <c r="F182" s="43"/>
      <c r="G182" s="43"/>
      <c r="H182" s="43"/>
      <c r="I182" s="43"/>
      <c r="J182" s="43"/>
      <c r="K182" s="43"/>
      <c r="L182" s="43"/>
      <c r="M182" s="43"/>
      <c r="N182" s="43"/>
      <c r="O182" s="43"/>
      <c r="P182" s="43"/>
      <c r="Q182" s="43"/>
      <c r="R182" s="43"/>
      <c r="S182" s="38"/>
      <c r="T182" s="38"/>
      <c r="U182" s="38"/>
      <c r="V182" s="38">
        <f>Debt_Qtr!AE182</f>
        <v>23.4375</v>
      </c>
      <c r="W182" s="38">
        <f>Debt_Qtr!AJ182</f>
        <v>31.25</v>
      </c>
      <c r="X182" s="38">
        <f>Debt_Qtr!AO182</f>
        <v>31.25</v>
      </c>
      <c r="Y182" s="38">
        <f>Debt_Qtr!AT182</f>
        <v>31.25</v>
      </c>
      <c r="Z182" s="38">
        <f>Debt_Qtr!AY182</f>
        <v>31.25</v>
      </c>
      <c r="AA182" s="38">
        <f>Debt_Qtr!BD182</f>
        <v>31.25</v>
      </c>
      <c r="AB182" s="38">
        <f>Debt_Qtr!BI182</f>
        <v>31.25</v>
      </c>
      <c r="AC182" s="22">
        <f t="shared" si="67"/>
        <v>31.25</v>
      </c>
      <c r="AD182" s="22">
        <f t="shared" si="67"/>
        <v>31.25</v>
      </c>
      <c r="AE182" s="22">
        <f t="shared" si="67"/>
        <v>31.25</v>
      </c>
      <c r="AF182" s="22">
        <f t="shared" si="67"/>
        <v>31.25</v>
      </c>
      <c r="AI182" s="25">
        <v>31.25</v>
      </c>
      <c r="AJ182" s="25" t="b">
        <f t="shared" si="63"/>
        <v>1</v>
      </c>
    </row>
    <row r="183" spans="1:36" s="25" customFormat="1">
      <c r="A183" s="3" t="str">
        <f>Debt_Qtr!A183</f>
        <v>2.820% Notes due 2051</v>
      </c>
      <c r="B183" s="43"/>
      <c r="C183" s="43"/>
      <c r="D183" s="43"/>
      <c r="E183" s="43"/>
      <c r="F183" s="43"/>
      <c r="G183" s="43"/>
      <c r="H183" s="43"/>
      <c r="I183" s="43"/>
      <c r="J183" s="43"/>
      <c r="K183" s="43"/>
      <c r="L183" s="43"/>
      <c r="M183" s="43"/>
      <c r="N183" s="43"/>
      <c r="O183" s="43"/>
      <c r="P183" s="43"/>
      <c r="Q183" s="43"/>
      <c r="R183" s="43"/>
      <c r="S183" s="38"/>
      <c r="T183" s="38"/>
      <c r="U183" s="38"/>
      <c r="V183" s="38">
        <f>Debt_Qtr!AE183</f>
        <v>0</v>
      </c>
      <c r="W183" s="38">
        <f>Debt_Qtr!AJ183</f>
        <v>10.574999999999999</v>
      </c>
      <c r="X183" s="38">
        <f>Debt_Qtr!AO183</f>
        <v>28.2</v>
      </c>
      <c r="Y183" s="38">
        <f>Debt_Qtr!AT183</f>
        <v>28.2</v>
      </c>
      <c r="Z183" s="38">
        <f>Debt_Qtr!AY183</f>
        <v>28.2</v>
      </c>
      <c r="AA183" s="38">
        <f>Debt_Qtr!BD183</f>
        <v>28.2</v>
      </c>
      <c r="AB183" s="38">
        <f>Debt_Qtr!BI183</f>
        <v>28.2</v>
      </c>
      <c r="AC183" s="22">
        <f t="shared" si="67"/>
        <v>28.2</v>
      </c>
      <c r="AD183" s="22">
        <f t="shared" si="67"/>
        <v>28.2</v>
      </c>
      <c r="AE183" s="22">
        <f t="shared" si="67"/>
        <v>28.2</v>
      </c>
      <c r="AF183" s="22">
        <f t="shared" si="67"/>
        <v>28.2</v>
      </c>
      <c r="AI183" s="25">
        <v>28.2</v>
      </c>
      <c r="AJ183" s="25" t="b">
        <f t="shared" si="63"/>
        <v>1</v>
      </c>
    </row>
    <row r="184" spans="1:36" s="25" customFormat="1">
      <c r="A184" s="3" t="str">
        <f>Debt_Qtr!A184</f>
        <v>3.030% Notes due 2052</v>
      </c>
      <c r="B184" s="43"/>
      <c r="C184" s="43"/>
      <c r="D184" s="43"/>
      <c r="E184" s="43"/>
      <c r="F184" s="43"/>
      <c r="G184" s="43"/>
      <c r="H184" s="43"/>
      <c r="I184" s="43"/>
      <c r="J184" s="43"/>
      <c r="K184" s="43"/>
      <c r="L184" s="43"/>
      <c r="M184" s="43"/>
      <c r="N184" s="43"/>
      <c r="O184" s="43"/>
      <c r="P184" s="43"/>
      <c r="Q184" s="43"/>
      <c r="R184" s="43"/>
      <c r="S184" s="38"/>
      <c r="T184" s="38"/>
      <c r="U184" s="38"/>
      <c r="V184" s="38">
        <f>Debt_Qtr!AE184</f>
        <v>0</v>
      </c>
      <c r="W184" s="38">
        <f>Debt_Qtr!AJ184</f>
        <v>4.1662499999999998</v>
      </c>
      <c r="X184" s="38">
        <f>Debt_Qtr!AO184</f>
        <v>33.33</v>
      </c>
      <c r="Y184" s="38">
        <f>Debt_Qtr!AT184</f>
        <v>33.33</v>
      </c>
      <c r="Z184" s="38">
        <f>Debt_Qtr!AY184</f>
        <v>33.33</v>
      </c>
      <c r="AA184" s="38">
        <f>Debt_Qtr!BD184</f>
        <v>33.33</v>
      </c>
      <c r="AB184" s="38">
        <f>Debt_Qtr!BI184</f>
        <v>33.33</v>
      </c>
      <c r="AC184" s="22">
        <f t="shared" si="67"/>
        <v>33.33</v>
      </c>
      <c r="AD184" s="22">
        <f t="shared" si="67"/>
        <v>33.33</v>
      </c>
      <c r="AE184" s="22">
        <f t="shared" si="67"/>
        <v>33.33</v>
      </c>
      <c r="AF184" s="22">
        <f t="shared" si="67"/>
        <v>33.33</v>
      </c>
      <c r="AI184" s="25">
        <v>33.33</v>
      </c>
      <c r="AJ184" s="25" t="b">
        <f t="shared" si="63"/>
        <v>1</v>
      </c>
    </row>
    <row r="185" spans="1:36" s="25" customFormat="1">
      <c r="A185" s="3" t="str">
        <f>Debt_Qtr!A185</f>
        <v>3.030% Notes due 2053</v>
      </c>
      <c r="B185" s="43"/>
      <c r="C185" s="43"/>
      <c r="D185" s="43"/>
      <c r="E185" s="43"/>
      <c r="F185" s="43"/>
      <c r="G185" s="43"/>
      <c r="H185" s="43"/>
      <c r="I185" s="43"/>
      <c r="J185" s="43"/>
      <c r="K185" s="43"/>
      <c r="L185" s="43"/>
      <c r="M185" s="43"/>
      <c r="N185" s="43"/>
      <c r="O185" s="43"/>
      <c r="P185" s="43"/>
      <c r="Q185" s="43"/>
      <c r="R185" s="43"/>
      <c r="S185" s="38"/>
      <c r="T185" s="38"/>
      <c r="U185" s="38"/>
      <c r="V185" s="38">
        <f>Debt_Qtr!AE185</f>
        <v>0</v>
      </c>
      <c r="W185" s="38">
        <f>Debt_Qtr!AJ185</f>
        <v>0</v>
      </c>
      <c r="X185" s="38">
        <f>Debt_Qtr!AO185</f>
        <v>0</v>
      </c>
      <c r="Y185" s="38">
        <f>Debt_Qtr!AT185</f>
        <v>58.7890625</v>
      </c>
      <c r="Z185" s="38">
        <f>Debt_Qtr!AY185</f>
        <v>67.1875</v>
      </c>
      <c r="AA185" s="38">
        <f>Debt_Qtr!BD185</f>
        <v>67.1875</v>
      </c>
      <c r="AB185" s="38">
        <f>Debt_Qtr!BI185</f>
        <v>67.1875</v>
      </c>
      <c r="AC185" s="22">
        <f t="shared" si="67"/>
        <v>67.1875</v>
      </c>
      <c r="AD185" s="22">
        <f t="shared" si="67"/>
        <v>67.1875</v>
      </c>
      <c r="AE185" s="22">
        <f t="shared" si="67"/>
        <v>67.1875</v>
      </c>
      <c r="AF185" s="22">
        <f t="shared" si="67"/>
        <v>67.1875</v>
      </c>
      <c r="AI185" s="25">
        <v>67.1875</v>
      </c>
      <c r="AJ185" s="25" t="b">
        <f t="shared" si="63"/>
        <v>1</v>
      </c>
    </row>
    <row r="186" spans="1:36" s="25" customFormat="1">
      <c r="A186" s="525" t="s">
        <v>475</v>
      </c>
      <c r="B186" s="43"/>
      <c r="C186" s="43"/>
      <c r="D186" s="43"/>
      <c r="E186" s="43"/>
      <c r="F186" s="43"/>
      <c r="G186" s="43"/>
      <c r="H186" s="43"/>
      <c r="I186" s="43"/>
      <c r="J186" s="43"/>
      <c r="K186" s="43"/>
      <c r="L186" s="43"/>
      <c r="M186" s="43"/>
      <c r="N186" s="43"/>
      <c r="O186" s="43"/>
      <c r="P186" s="43"/>
      <c r="Q186" s="43"/>
      <c r="R186" s="43"/>
      <c r="S186" s="38"/>
      <c r="T186" s="38"/>
      <c r="U186" s="38"/>
      <c r="V186" s="38"/>
      <c r="W186" s="38"/>
      <c r="X186" s="38"/>
      <c r="Y186" s="38">
        <f>Debt_Qtr!AT186</f>
        <v>28</v>
      </c>
      <c r="Z186" s="38">
        <f>Debt_Qtr!AY186</f>
        <v>112</v>
      </c>
      <c r="AA186" s="38">
        <f>Debt_Qtr!BD186</f>
        <v>112</v>
      </c>
      <c r="AB186" s="38">
        <f>Debt_Qtr!BI186</f>
        <v>112</v>
      </c>
      <c r="AC186" s="22">
        <f t="shared" si="67"/>
        <v>112</v>
      </c>
      <c r="AD186" s="22">
        <f t="shared" si="67"/>
        <v>112</v>
      </c>
      <c r="AE186" s="22">
        <f t="shared" si="67"/>
        <v>112</v>
      </c>
      <c r="AF186" s="22">
        <f t="shared" si="67"/>
        <v>112</v>
      </c>
      <c r="AI186" s="25">
        <v>112</v>
      </c>
      <c r="AJ186" s="25" t="b">
        <f t="shared" si="63"/>
        <v>1</v>
      </c>
    </row>
    <row r="187" spans="1:36" s="25" customFormat="1">
      <c r="A187" s="3" t="str">
        <f>Debt_Qtr!A187</f>
        <v>Other (Including Finance Leases)</v>
      </c>
      <c r="B187" s="43"/>
      <c r="C187" s="43"/>
      <c r="D187" s="43"/>
      <c r="E187" s="43"/>
      <c r="F187" s="43"/>
      <c r="G187" s="43"/>
      <c r="H187" s="43"/>
      <c r="I187" s="43"/>
      <c r="J187" s="43"/>
      <c r="K187" s="43"/>
      <c r="L187" s="43"/>
      <c r="M187" s="43"/>
      <c r="N187" s="43"/>
      <c r="O187" s="43"/>
      <c r="P187" s="43"/>
      <c r="Q187" s="43"/>
      <c r="R187" s="43"/>
      <c r="S187" s="38"/>
      <c r="T187" s="38"/>
      <c r="U187" s="38"/>
      <c r="V187" s="38">
        <f>Debt_Qtr!AE187</f>
        <v>9.2624999999999993</v>
      </c>
      <c r="W187" s="38">
        <f>Debt_Qtr!AJ187</f>
        <v>10.815750000000001</v>
      </c>
      <c r="X187" s="38">
        <f>Debt_Qtr!AO187</f>
        <v>9.9797499999999992</v>
      </c>
      <c r="Y187" s="38">
        <f>Debt_Qtr!AT187</f>
        <v>9.766</v>
      </c>
      <c r="Z187" s="38">
        <f>Debt_Qtr!AY187</f>
        <v>9.4762500000000003</v>
      </c>
      <c r="AA187" s="38">
        <f>Debt_Qtr!BD187</f>
        <v>7.5430000000000001</v>
      </c>
      <c r="AB187" s="38">
        <f>Debt_Qtr!BI187</f>
        <v>4.9969999999999999</v>
      </c>
      <c r="AC187" s="22">
        <f t="shared" si="67"/>
        <v>4.7119999999999997</v>
      </c>
      <c r="AD187" s="22">
        <f t="shared" si="67"/>
        <v>4.7119999999999997</v>
      </c>
      <c r="AE187" s="22">
        <f t="shared" si="67"/>
        <v>4.7119999999999997</v>
      </c>
      <c r="AF187" s="22">
        <f t="shared" si="67"/>
        <v>4.7119999999999997</v>
      </c>
      <c r="AI187" s="25">
        <v>9.4239999999999995</v>
      </c>
      <c r="AJ187" s="25" t="b">
        <f t="shared" si="63"/>
        <v>0</v>
      </c>
    </row>
    <row r="188" spans="1:36" s="25" customFormat="1">
      <c r="A188" s="3" t="str">
        <f>Debt_Qtr!A188</f>
        <v>Commercial Paper</v>
      </c>
      <c r="B188" s="43"/>
      <c r="C188" s="43"/>
      <c r="D188" s="43"/>
      <c r="E188" s="43"/>
      <c r="F188" s="43"/>
      <c r="G188" s="43"/>
      <c r="H188" s="43"/>
      <c r="I188" s="43"/>
      <c r="J188" s="43"/>
      <c r="K188" s="43"/>
      <c r="L188" s="43"/>
      <c r="M188" s="43"/>
      <c r="N188" s="43"/>
      <c r="O188" s="43"/>
      <c r="P188" s="43"/>
      <c r="Q188" s="43"/>
      <c r="R188" s="43"/>
      <c r="S188" s="38"/>
      <c r="T188" s="38"/>
      <c r="U188" s="38"/>
      <c r="V188" s="38">
        <f>Debt_Qtr!AE188</f>
        <v>4.5600000000000005</v>
      </c>
      <c r="W188" s="38">
        <f>Debt_Qtr!AJ188</f>
        <v>2.2800000000000002</v>
      </c>
      <c r="X188" s="38">
        <f>Debt_Qtr!AO188</f>
        <v>0</v>
      </c>
      <c r="Y188" s="38">
        <f>Debt_Qtr!AT188</f>
        <v>0</v>
      </c>
      <c r="Z188" s="38">
        <f>Debt_Qtr!AY188</f>
        <v>0</v>
      </c>
      <c r="AA188" s="38">
        <f>Debt_Qtr!BD188</f>
        <v>16.826000000000001</v>
      </c>
      <c r="AB188" s="38">
        <f>Debt_Qtr!BI188</f>
        <v>0</v>
      </c>
      <c r="AC188" s="22">
        <f t="shared" si="67"/>
        <v>0</v>
      </c>
      <c r="AD188" s="22">
        <f t="shared" si="67"/>
        <v>0</v>
      </c>
      <c r="AE188" s="22">
        <f t="shared" si="67"/>
        <v>0</v>
      </c>
      <c r="AF188" s="22">
        <f t="shared" si="67"/>
        <v>0</v>
      </c>
      <c r="AI188" s="25">
        <v>0</v>
      </c>
      <c r="AJ188" s="25" t="b">
        <f t="shared" si="63"/>
        <v>0</v>
      </c>
    </row>
    <row r="189" spans="1:36" s="25" customFormat="1">
      <c r="A189" s="3" t="str">
        <f>Debt_Qtr!A189</f>
        <v>Other Debts</v>
      </c>
      <c r="B189" s="43"/>
      <c r="C189" s="43"/>
      <c r="D189" s="43"/>
      <c r="E189" s="43"/>
      <c r="F189" s="43"/>
      <c r="G189" s="43"/>
      <c r="H189" s="43"/>
      <c r="I189" s="43"/>
      <c r="J189" s="43"/>
      <c r="K189" s="43"/>
      <c r="L189" s="43"/>
      <c r="M189" s="43"/>
      <c r="N189" s="43"/>
      <c r="O189" s="43"/>
      <c r="P189" s="43"/>
      <c r="Q189" s="43"/>
      <c r="R189" s="43"/>
      <c r="S189" s="38"/>
      <c r="T189" s="38"/>
      <c r="U189" s="38"/>
      <c r="V189" s="38">
        <f>Debt_Qtr!AE189</f>
        <v>2.3654999999999999</v>
      </c>
      <c r="W189" s="38">
        <f>Debt_Qtr!AJ189</f>
        <v>1.0972500000000001</v>
      </c>
      <c r="X189" s="38">
        <f>Debt_Qtr!AO189</f>
        <v>0</v>
      </c>
      <c r="Y189" s="38">
        <f>Debt_Qtr!AT189</f>
        <v>0</v>
      </c>
      <c r="Z189" s="38">
        <f>Debt_Qtr!AY189</f>
        <v>0</v>
      </c>
      <c r="AA189" s="38">
        <f>Debt_Qtr!BD189</f>
        <v>0</v>
      </c>
      <c r="AB189" s="38">
        <f>Debt_Qtr!BI189</f>
        <v>0</v>
      </c>
      <c r="AC189" s="22">
        <f t="shared" ref="AC189:AF190" si="68">+AVERAGE(AC59,AB59)*AC127</f>
        <v>0</v>
      </c>
      <c r="AD189" s="22">
        <f t="shared" si="68"/>
        <v>0</v>
      </c>
      <c r="AE189" s="22">
        <f t="shared" si="68"/>
        <v>0</v>
      </c>
      <c r="AF189" s="22">
        <f t="shared" si="68"/>
        <v>0</v>
      </c>
      <c r="AI189" s="25">
        <v>0</v>
      </c>
      <c r="AJ189" s="25" t="b">
        <f t="shared" si="63"/>
        <v>1</v>
      </c>
    </row>
    <row r="190" spans="1:36" s="25" customFormat="1">
      <c r="A190" s="3" t="str">
        <f>Debt_Qtr!A190</f>
        <v>Additional Debt</v>
      </c>
      <c r="B190" s="43"/>
      <c r="C190" s="43"/>
      <c r="D190" s="43"/>
      <c r="E190" s="43"/>
      <c r="F190" s="43"/>
      <c r="G190" s="43"/>
      <c r="H190" s="43"/>
      <c r="I190" s="43"/>
      <c r="J190" s="43"/>
      <c r="K190" s="43"/>
      <c r="L190" s="43"/>
      <c r="M190" s="43"/>
      <c r="N190" s="43"/>
      <c r="O190" s="43"/>
      <c r="P190" s="43"/>
      <c r="Q190" s="43"/>
      <c r="R190" s="43"/>
      <c r="S190" s="38"/>
      <c r="T190" s="38"/>
      <c r="U190" s="38"/>
      <c r="V190" s="38">
        <f>Debt_Qtr!AE190</f>
        <v>0</v>
      </c>
      <c r="W190" s="38">
        <f>Debt_Qtr!AJ190</f>
        <v>0</v>
      </c>
      <c r="X190" s="38">
        <f>Debt_Qtr!AO190</f>
        <v>0</v>
      </c>
      <c r="Y190" s="38">
        <f>Debt_Qtr!AT190</f>
        <v>0</v>
      </c>
      <c r="Z190" s="38">
        <f>Debt_Qtr!AY190</f>
        <v>0</v>
      </c>
      <c r="AA190" s="38">
        <f>Debt_Qtr!BD190</f>
        <v>0</v>
      </c>
      <c r="AB190" s="38">
        <f>Debt_Qtr!BI190</f>
        <v>0</v>
      </c>
      <c r="AC190" s="22">
        <f t="shared" si="68"/>
        <v>0</v>
      </c>
      <c r="AD190" s="22">
        <f t="shared" si="68"/>
        <v>0</v>
      </c>
      <c r="AE190" s="22">
        <f t="shared" si="68"/>
        <v>0</v>
      </c>
      <c r="AF190" s="22">
        <f t="shared" si="68"/>
        <v>0</v>
      </c>
      <c r="AI190" s="25">
        <v>0</v>
      </c>
      <c r="AJ190" s="25" t="b">
        <f t="shared" si="63"/>
        <v>1</v>
      </c>
    </row>
    <row r="191" spans="1:36" s="25" customFormat="1">
      <c r="A191" s="3" t="str">
        <f>Debt_Qtr!A191</f>
        <v>Others</v>
      </c>
      <c r="B191" s="43"/>
      <c r="C191" s="43"/>
      <c r="D191" s="43"/>
      <c r="E191" s="43"/>
      <c r="F191" s="43"/>
      <c r="G191" s="43"/>
      <c r="H191" s="43"/>
      <c r="I191" s="43"/>
      <c r="J191" s="43"/>
      <c r="K191" s="43"/>
      <c r="L191" s="43"/>
      <c r="M191" s="43"/>
      <c r="N191" s="43"/>
      <c r="O191" s="43"/>
      <c r="P191" s="43"/>
      <c r="Q191" s="43"/>
      <c r="R191" s="43"/>
      <c r="S191" s="38"/>
      <c r="T191" s="38"/>
      <c r="U191" s="38"/>
      <c r="V191" s="38">
        <f>Debt_Qtr!AE191</f>
        <v>40.261010752688435</v>
      </c>
      <c r="W191" s="38">
        <f>Debt_Qtr!AJ191</f>
        <v>50.461781250000229</v>
      </c>
      <c r="X191" s="38">
        <f>Debt_Qtr!AO191</f>
        <v>128.52699999999999</v>
      </c>
      <c r="Y191" s="38">
        <f ca="1">Debt_Qtr!AT191</f>
        <v>50.539812500000039</v>
      </c>
      <c r="Z191" s="38">
        <f ca="1">Debt_Qtr!AY191</f>
        <v>15.194114715190096</v>
      </c>
      <c r="AA191" s="38">
        <f ca="1">Debt_Qtr!BD191</f>
        <v>-58.665117088607246</v>
      </c>
      <c r="AB191" s="38">
        <f>Debt_Qtr!BI191</f>
        <v>-15.377437499999985</v>
      </c>
      <c r="AC191" s="370">
        <v>94</v>
      </c>
      <c r="AD191" s="370">
        <v>75</v>
      </c>
      <c r="AE191" s="370">
        <v>38</v>
      </c>
      <c r="AF191" s="370">
        <v>38</v>
      </c>
      <c r="AI191" s="25">
        <v>28</v>
      </c>
      <c r="AJ191" s="25" t="b">
        <f t="shared" ca="1" si="63"/>
        <v>0</v>
      </c>
    </row>
    <row r="192" spans="1:36" s="25" customFormat="1">
      <c r="A192" s="11" t="str">
        <f>Debt_Qtr!A192</f>
        <v>Total Interest</v>
      </c>
      <c r="B192" s="97"/>
      <c r="C192" s="97"/>
      <c r="D192" s="97"/>
      <c r="E192" s="97"/>
      <c r="F192" s="97"/>
      <c r="G192" s="97"/>
      <c r="H192" s="97"/>
      <c r="I192" s="97"/>
      <c r="J192" s="97"/>
      <c r="K192" s="97"/>
      <c r="L192" s="97"/>
      <c r="M192" s="97"/>
      <c r="N192" s="97"/>
      <c r="O192" s="97"/>
      <c r="P192" s="97"/>
      <c r="Q192" s="97"/>
      <c r="R192" s="97"/>
      <c r="S192" s="188"/>
      <c r="T192" s="188"/>
      <c r="U192" s="188"/>
      <c r="V192" s="188">
        <f>Debt_Qtr!AE192</f>
        <v>1065.6030107526885</v>
      </c>
      <c r="W192" s="188">
        <f>Debt_Qtr!AJ192</f>
        <v>1356.0000000000005</v>
      </c>
      <c r="X192" s="81">
        <f t="shared" ref="X192:AC192" si="69">SUM(X134:X191)</f>
        <v>1382</v>
      </c>
      <c r="Y192" s="81">
        <f t="shared" ca="1" si="69"/>
        <v>1540.105</v>
      </c>
      <c r="Z192" s="81">
        <f t="shared" ref="Z192:AA192" ca="1" si="70">SUM(Z134:Z191)</f>
        <v>1966.6814272151898</v>
      </c>
      <c r="AA192" s="81">
        <f t="shared" ca="1" si="70"/>
        <v>1787.4468829113923</v>
      </c>
      <c r="AB192" s="81">
        <f t="shared" ref="AB192" si="71">SUM(AB134:AB191)</f>
        <v>1652.7776875</v>
      </c>
      <c r="AC192" s="81">
        <f t="shared" si="69"/>
        <v>1609.4639999999999</v>
      </c>
      <c r="AD192" s="81">
        <f t="shared" ref="AD192:AE192" si="72">SUM(AD134:AD191)</f>
        <v>1572.2452499999999</v>
      </c>
      <c r="AE192" s="81">
        <f t="shared" si="72"/>
        <v>1535.2452499999999</v>
      </c>
      <c r="AF192" s="81">
        <f t="shared" ref="AF192" si="73">SUM(AF134:AF191)</f>
        <v>1535.2452499999999</v>
      </c>
      <c r="AI192" s="25">
        <v>1748.2762499999997</v>
      </c>
      <c r="AJ192" s="25" t="b">
        <f t="shared" ca="1" si="63"/>
        <v>0</v>
      </c>
    </row>
    <row r="193" spans="1:32" s="25" customFormat="1">
      <c r="A193" s="11"/>
      <c r="B193" s="97"/>
      <c r="C193" s="97"/>
      <c r="D193" s="97"/>
      <c r="E193" s="97"/>
      <c r="F193" s="97"/>
      <c r="G193" s="97"/>
      <c r="H193" s="97"/>
      <c r="I193" s="97"/>
      <c r="J193" s="97"/>
      <c r="K193" s="97"/>
      <c r="L193" s="97"/>
      <c r="M193" s="97"/>
      <c r="N193" s="97"/>
      <c r="O193" s="97"/>
      <c r="P193" s="97"/>
      <c r="Q193" s="97"/>
      <c r="R193" s="97"/>
      <c r="S193" s="188"/>
      <c r="T193" s="188"/>
      <c r="U193" s="188"/>
      <c r="V193" s="188"/>
      <c r="W193" s="188"/>
      <c r="X193" s="81"/>
      <c r="Y193" s="81"/>
      <c r="Z193" s="81"/>
      <c r="AA193" s="81"/>
      <c r="AB193" s="81"/>
      <c r="AC193" s="81"/>
      <c r="AD193" s="81"/>
      <c r="AE193" s="81"/>
      <c r="AF193" s="81"/>
    </row>
    <row r="194" spans="1:32">
      <c r="A194" s="11" t="str">
        <f>Debt_Qtr!A194</f>
        <v>Cash and Cash Equivalents</v>
      </c>
      <c r="B194" s="97"/>
      <c r="C194" s="97"/>
      <c r="D194" s="97"/>
      <c r="E194" s="97"/>
      <c r="F194" s="97"/>
      <c r="G194" s="97"/>
      <c r="H194" s="97"/>
      <c r="I194" s="97"/>
      <c r="J194" s="97"/>
      <c r="K194" s="97"/>
      <c r="L194" s="97"/>
      <c r="M194" s="97"/>
      <c r="N194" s="97"/>
      <c r="O194" s="97"/>
      <c r="P194" s="97"/>
      <c r="Q194" s="97"/>
      <c r="R194" s="97"/>
      <c r="S194" s="188"/>
      <c r="T194" s="188"/>
      <c r="U194" s="188"/>
      <c r="V194" s="188">
        <f>Debt_Qtr!AE194</f>
        <v>8802</v>
      </c>
      <c r="W194" s="188">
        <f>Debt_Qtr!AJ194</f>
        <v>7832</v>
      </c>
      <c r="X194" s="188">
        <f>Balance_Sheet_Annual!X5</f>
        <v>6220</v>
      </c>
      <c r="Y194" s="188">
        <f>Balance_Sheet_Annual!Y5</f>
        <v>6587</v>
      </c>
      <c r="Z194" s="188">
        <f>Balance_Sheet_Annual!Z5</f>
        <v>5578</v>
      </c>
      <c r="AA194" s="188">
        <f>Balance_Sheet_Annual!AA5</f>
        <v>7435</v>
      </c>
      <c r="AB194" s="188">
        <f>Balance_Sheet_Annual!AB5</f>
        <v>8604.2143587620139</v>
      </c>
      <c r="AC194" s="188">
        <f>Balance_Sheet_Annual!AC5</f>
        <v>9439.8404685194837</v>
      </c>
      <c r="AD194" s="188">
        <f>Balance_Sheet_Annual!AD5</f>
        <v>12183.072621087589</v>
      </c>
      <c r="AE194" s="188">
        <f>Balance_Sheet_Annual!AE5</f>
        <v>15154.271582754918</v>
      </c>
      <c r="AF194" s="188">
        <f>Balance_Sheet_Annual!AG5</f>
        <v>0</v>
      </c>
    </row>
    <row r="195" spans="1:32">
      <c r="A195" s="11"/>
      <c r="B195" s="97"/>
      <c r="C195" s="97"/>
      <c r="D195" s="97"/>
      <c r="E195" s="97"/>
      <c r="F195" s="97"/>
      <c r="G195" s="97"/>
      <c r="H195" s="97"/>
      <c r="I195" s="97"/>
      <c r="J195" s="97"/>
      <c r="K195" s="97"/>
      <c r="L195" s="97"/>
      <c r="M195" s="97"/>
      <c r="N195" s="97"/>
      <c r="O195" s="97"/>
      <c r="P195" s="97"/>
      <c r="Q195" s="97"/>
      <c r="R195" s="97"/>
      <c r="S195" s="188"/>
      <c r="T195" s="188"/>
      <c r="U195" s="188"/>
      <c r="V195" s="188"/>
      <c r="W195" s="188"/>
      <c r="X195" s="81"/>
      <c r="Y195" s="81"/>
      <c r="Z195" s="81"/>
      <c r="AA195" s="81"/>
      <c r="AB195" s="81"/>
      <c r="AC195" s="81"/>
      <c r="AD195" s="81"/>
      <c r="AE195" s="81"/>
      <c r="AF195" s="81"/>
    </row>
    <row r="196" spans="1:32">
      <c r="A196" s="11" t="str">
        <f>Debt_Qtr!A196</f>
        <v>Interest Income</v>
      </c>
      <c r="B196" s="97"/>
      <c r="C196" s="97"/>
      <c r="D196" s="97"/>
      <c r="E196" s="97"/>
      <c r="F196" s="97"/>
      <c r="G196" s="97"/>
      <c r="H196" s="97"/>
      <c r="I196" s="97"/>
      <c r="J196" s="97"/>
      <c r="K196" s="97"/>
      <c r="L196" s="97"/>
      <c r="M196" s="97"/>
      <c r="N196" s="97"/>
      <c r="O196" s="97"/>
      <c r="P196" s="97"/>
      <c r="Q196" s="97"/>
      <c r="R196" s="97"/>
      <c r="S196" s="188"/>
      <c r="T196" s="188"/>
      <c r="U196" s="188"/>
      <c r="V196" s="188">
        <f>Debt_Qtr!AE196</f>
        <v>25.603010752688171</v>
      </c>
      <c r="W196" s="188">
        <f>Debt_Qtr!AJ196</f>
        <v>34</v>
      </c>
      <c r="X196" s="188">
        <f>Debt_Qtr!AO196</f>
        <v>106</v>
      </c>
      <c r="Y196" s="188">
        <f ca="1">Debt_Qtr!AT196</f>
        <v>24.105</v>
      </c>
      <c r="Z196" s="188">
        <f ca="1">Debt_Qtr!AY196</f>
        <v>16.94725</v>
      </c>
      <c r="AA196" s="188">
        <f ca="1">Debt_Qtr!BD196</f>
        <v>19.396249999999998</v>
      </c>
      <c r="AB196" s="188">
        <f>Debt_Qtr!BI196</f>
        <v>28.197500000000005</v>
      </c>
      <c r="AC196" s="81">
        <f t="shared" ref="AC196:AF196" si="74">AC197*AB194</f>
        <v>0</v>
      </c>
      <c r="AD196" s="81">
        <f t="shared" si="74"/>
        <v>0</v>
      </c>
      <c r="AE196" s="81">
        <f t="shared" si="74"/>
        <v>0</v>
      </c>
      <c r="AF196" s="81">
        <f t="shared" si="74"/>
        <v>0</v>
      </c>
    </row>
    <row r="197" spans="1:32">
      <c r="A197" s="278" t="str">
        <f>Debt_Qtr!A197</f>
        <v>% of Beginning Cash</v>
      </c>
      <c r="B197" s="220"/>
      <c r="C197" s="220"/>
      <c r="D197" s="220"/>
      <c r="E197" s="220"/>
      <c r="F197" s="220"/>
      <c r="G197" s="220"/>
      <c r="H197" s="220"/>
      <c r="I197" s="220"/>
      <c r="J197" s="220"/>
      <c r="K197" s="220"/>
      <c r="L197" s="220"/>
      <c r="M197" s="220"/>
      <c r="N197" s="220"/>
      <c r="O197" s="220"/>
      <c r="P197" s="220"/>
      <c r="Q197" s="220"/>
      <c r="R197" s="220"/>
      <c r="S197" s="226"/>
      <c r="T197" s="220"/>
      <c r="U197" s="220"/>
      <c r="V197" s="220"/>
      <c r="W197" s="220">
        <f>Debt_Qtr!AJ197</f>
        <v>4.1327336817795065E-3</v>
      </c>
      <c r="X197" s="220">
        <f>Debt_Qtr!AO197</f>
        <v>1.7651956702747711E-2</v>
      </c>
      <c r="Y197" s="220">
        <f ca="1">Debt_Qtr!AT197</f>
        <v>4.1994773519163763E-3</v>
      </c>
      <c r="Z197" s="220">
        <f ca="1">Debt_Qtr!AY197</f>
        <v>2.723871900992486E-3</v>
      </c>
      <c r="AA197" s="220">
        <f ca="1">Debt_Qtr!BD197</f>
        <v>3.6114602243634501E-3</v>
      </c>
      <c r="AB197" s="220">
        <f>Debt_Qtr!BI197</f>
        <v>3.5365009331786781E-3</v>
      </c>
      <c r="AC197" s="218">
        <v>0</v>
      </c>
      <c r="AD197" s="218">
        <v>0</v>
      </c>
      <c r="AE197" s="218">
        <v>0</v>
      </c>
      <c r="AF197" s="218">
        <v>0</v>
      </c>
    </row>
    <row r="198" spans="1:32">
      <c r="A198" s="11"/>
      <c r="B198" s="97"/>
      <c r="C198" s="97"/>
      <c r="D198" s="97"/>
      <c r="E198" s="97"/>
      <c r="F198" s="97"/>
      <c r="G198" s="97"/>
      <c r="H198" s="97"/>
      <c r="I198" s="97"/>
      <c r="J198" s="97"/>
      <c r="K198" s="97"/>
      <c r="L198" s="97"/>
      <c r="M198" s="97"/>
      <c r="N198" s="97"/>
      <c r="O198" s="97"/>
      <c r="P198" s="97"/>
      <c r="Q198" s="97"/>
      <c r="R198" s="97"/>
      <c r="S198" s="188"/>
      <c r="T198" s="188"/>
      <c r="U198" s="188"/>
      <c r="V198" s="188"/>
      <c r="W198" s="188"/>
      <c r="X198" s="188"/>
      <c r="Y198" s="188"/>
      <c r="Z198" s="188"/>
      <c r="AA198" s="188"/>
      <c r="AB198" s="188"/>
      <c r="AC198" s="81"/>
      <c r="AD198" s="81"/>
      <c r="AE198" s="81"/>
      <c r="AF198" s="81"/>
    </row>
    <row r="199" spans="1:32">
      <c r="A199" s="11" t="str">
        <f>Debt_Qtr!A199</f>
        <v>Interest Expense, net</v>
      </c>
      <c r="B199" s="97"/>
      <c r="C199" s="97"/>
      <c r="D199" s="97"/>
      <c r="E199" s="97"/>
      <c r="F199" s="97"/>
      <c r="G199" s="97"/>
      <c r="H199" s="97"/>
      <c r="I199" s="97"/>
      <c r="J199" s="97"/>
      <c r="K199" s="97"/>
      <c r="L199" s="97"/>
      <c r="M199" s="97"/>
      <c r="N199" s="97"/>
      <c r="O199" s="97"/>
      <c r="P199" s="97"/>
      <c r="Q199" s="97"/>
      <c r="R199" s="97"/>
      <c r="S199" s="188"/>
      <c r="T199" s="188"/>
      <c r="U199" s="188"/>
      <c r="V199" s="188">
        <f>Debt_Qtr!AE199</f>
        <v>1040.0000000000005</v>
      </c>
      <c r="W199" s="188">
        <f>Debt_Qtr!AJ199</f>
        <v>1322.0000000000005</v>
      </c>
      <c r="X199" s="188">
        <f>Debt_Qtr!AO199</f>
        <v>1276</v>
      </c>
      <c r="Y199" s="188">
        <f ca="1">Debt_Qtr!AT199</f>
        <v>1516</v>
      </c>
      <c r="Z199" s="188">
        <f ca="1">Debt_Qtr!AY199</f>
        <v>1949.7341772151899</v>
      </c>
      <c r="AA199" s="188">
        <f ca="1">Debt_Qtr!BD199</f>
        <v>1768.0506329113923</v>
      </c>
      <c r="AB199" s="188">
        <f>Debt_Qtr!BI199</f>
        <v>1624.5801875</v>
      </c>
      <c r="AC199" s="81">
        <f t="shared" ref="AC199" si="75">AC192-AC196</f>
        <v>1609.4639999999999</v>
      </c>
      <c r="AD199" s="81">
        <f t="shared" ref="AD199:AE199" si="76">AD192-AD196</f>
        <v>1572.2452499999999</v>
      </c>
      <c r="AE199" s="81">
        <f t="shared" si="76"/>
        <v>1535.2452499999999</v>
      </c>
      <c r="AF199" s="81">
        <f t="shared" ref="AF199" si="77">AF192-AF196</f>
        <v>1535.2452499999999</v>
      </c>
    </row>
    <row r="200" spans="1:32">
      <c r="A200" s="279"/>
      <c r="B200" s="280"/>
      <c r="C200" s="280"/>
      <c r="D200" s="280"/>
      <c r="E200" s="280"/>
      <c r="F200" s="280"/>
      <c r="G200" s="280"/>
      <c r="H200" s="280"/>
      <c r="I200" s="280"/>
      <c r="J200" s="280"/>
      <c r="K200" s="280"/>
      <c r="L200" s="280"/>
      <c r="M200" s="280"/>
      <c r="N200" s="280"/>
      <c r="O200" s="280"/>
      <c r="P200" s="280"/>
      <c r="Q200" s="280"/>
      <c r="R200" s="280"/>
      <c r="S200" s="280"/>
      <c r="T200" s="280"/>
      <c r="U200" s="280"/>
      <c r="V200" s="280"/>
      <c r="W200" s="280"/>
      <c r="X200" s="280"/>
      <c r="Y200" s="280"/>
      <c r="Z200" s="280"/>
      <c r="AA200" s="280"/>
      <c r="AB200" s="280"/>
      <c r="AC200" s="280"/>
      <c r="AD200" s="280"/>
      <c r="AE200" s="280"/>
      <c r="AF200" s="280"/>
    </row>
    <row r="201" spans="1:32">
      <c r="AB201" s="77">
        <v>-1648.858059140857</v>
      </c>
      <c r="AC201" s="25">
        <v>1562</v>
      </c>
      <c r="AD201" s="25">
        <v>1509</v>
      </c>
      <c r="AE201" s="25">
        <v>1499</v>
      </c>
      <c r="AF201" s="25">
        <v>1499</v>
      </c>
    </row>
    <row r="203" spans="1:32">
      <c r="AA203" s="25" t="s">
        <v>503</v>
      </c>
      <c r="AB203" s="273">
        <f ca="1">AB199/AA199-1</f>
        <v>-8.1146118069675532E-2</v>
      </c>
      <c r="AC203" s="273">
        <f t="shared" ref="AC203:AF203" si="78">AC199/AB199-1</f>
        <v>-9.3046730572663439E-3</v>
      </c>
      <c r="AD203" s="273">
        <f t="shared" si="78"/>
        <v>-2.3124934760889393E-2</v>
      </c>
      <c r="AE203" s="273">
        <f t="shared" si="78"/>
        <v>-2.3533224221857219E-2</v>
      </c>
      <c r="AF203" s="273">
        <f t="shared" si="78"/>
        <v>0</v>
      </c>
    </row>
    <row r="205" spans="1:32">
      <c r="AA205" s="25" t="s">
        <v>428</v>
      </c>
      <c r="AB205" s="273">
        <f>Balance_Sheet_Annual!AB80/Balance_Sheet_Annual!AA80-1</f>
        <v>-8.9075077203462749E-2</v>
      </c>
      <c r="AC205" s="273">
        <f>Balance_Sheet_Annual!AC80/Balance_Sheet_Annual!AB80-1</f>
        <v>-3.0566593492094341E-2</v>
      </c>
      <c r="AD205" s="273">
        <f>Balance_Sheet_Annual!AD80/Balance_Sheet_Annual!AC80-1</f>
        <v>0</v>
      </c>
      <c r="AE205" s="273">
        <f>Balance_Sheet_Annual!AE80/Balance_Sheet_Annual!AD80-1</f>
        <v>0</v>
      </c>
      <c r="AF205" s="273">
        <f>Balance_Sheet_Annual!AG80/Balance_Sheet_Annual!AE80-1</f>
        <v>-1</v>
      </c>
    </row>
  </sheetData>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BM202"/>
  <sheetViews>
    <sheetView showGridLines="0" zoomScale="90" zoomScaleNormal="90" workbookViewId="0">
      <pane xSplit="1" ySplit="2" topLeftCell="AK152" activePane="bottomRight" state="frozen"/>
      <selection activeCell="AC29" sqref="AC29"/>
      <selection pane="topRight" activeCell="AC29" sqref="AC29"/>
      <selection pane="bottomLeft" activeCell="AC29" sqref="AC29"/>
      <selection pane="bottomRight" activeCell="BK191" sqref="BK191"/>
    </sheetView>
  </sheetViews>
  <sheetFormatPr defaultRowHeight="15" outlineLevelCol="3"/>
  <cols>
    <col min="1" max="1" width="48" customWidth="1"/>
    <col min="2" max="4" width="12.140625" style="25" hidden="1" customWidth="1" outlineLevel="3"/>
    <col min="5" max="5" width="12.140625" style="98" hidden="1" customWidth="1" outlineLevel="3"/>
    <col min="6" max="6" width="12.140625" style="25" hidden="1" customWidth="1" outlineLevel="3" collapsed="1"/>
    <col min="7" max="9" width="12.140625" style="25" hidden="1" customWidth="1" outlineLevel="2"/>
    <col min="10" max="10" width="12.140625" style="98" hidden="1" customWidth="1" outlineLevel="2"/>
    <col min="11" max="11" width="12.140625" style="25" hidden="1" customWidth="1" outlineLevel="1" collapsed="1"/>
    <col min="12" max="14" width="12.140625" style="25" hidden="1" customWidth="1" outlineLevel="2"/>
    <col min="15" max="15" width="12.140625" style="98" hidden="1" customWidth="1" outlineLevel="2"/>
    <col min="16" max="16" width="12.140625" style="25" hidden="1" customWidth="1" outlineLevel="1" collapsed="1"/>
    <col min="17" max="19" width="12.140625" style="25" hidden="1" customWidth="1" outlineLevel="2"/>
    <col min="20" max="20" width="12.140625" style="98" hidden="1" customWidth="1" outlineLevel="2"/>
    <col min="21" max="21" width="12.140625" style="25" hidden="1" customWidth="1" outlineLevel="1" collapsed="1"/>
    <col min="22" max="24" width="12.140625" style="25" hidden="1" customWidth="1" outlineLevel="2"/>
    <col min="25" max="25" width="12.140625" style="98" hidden="1" customWidth="1" outlineLevel="2"/>
    <col min="26" max="26" width="12.140625" style="25" hidden="1" customWidth="1" outlineLevel="1" collapsed="1"/>
    <col min="27" max="27" width="12.140625" style="25" customWidth="1" collapsed="1"/>
    <col min="28" max="29" width="12.140625" style="25" customWidth="1"/>
    <col min="30" max="30" width="12.140625" style="98" customWidth="1"/>
    <col min="31" max="34" width="12.140625" style="25" customWidth="1"/>
    <col min="35" max="35" width="12.140625" style="98" customWidth="1"/>
    <col min="36" max="36" width="12.140625" style="25" customWidth="1" collapsed="1"/>
    <col min="37" max="41" width="12.140625" style="25" customWidth="1"/>
    <col min="42" max="45" width="12.140625" style="25" customWidth="1" outlineLevel="1"/>
    <col min="46" max="46" width="12.140625" style="25" customWidth="1"/>
    <col min="47" max="50" width="12.140625" style="25" customWidth="1" outlineLevel="1"/>
    <col min="51" max="51" width="12.140625" style="25" customWidth="1"/>
    <col min="52" max="55" width="12.140625" style="25" customWidth="1" outlineLevel="1"/>
    <col min="56" max="56" width="12.140625" style="25" customWidth="1"/>
    <col min="57" max="60" width="12.140625" style="25" customWidth="1" outlineLevel="1"/>
    <col min="61" max="61" width="12.140625" style="25" customWidth="1"/>
  </cols>
  <sheetData>
    <row r="1" spans="1:64">
      <c r="A1" s="14" t="s">
        <v>208</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row>
    <row r="2" spans="1:64">
      <c r="B2" s="105" t="str">
        <f>ProForma_IS_Qtr!B2</f>
        <v>1Q15A</v>
      </c>
      <c r="C2" s="105" t="str">
        <f>ProForma_IS_Qtr!C2</f>
        <v>2Q15A</v>
      </c>
      <c r="D2" s="105" t="str">
        <f>ProForma_IS_Qtr!D2</f>
        <v>3Q15A</v>
      </c>
      <c r="E2" s="105" t="str">
        <f>ProForma_IS_Qtr!E2</f>
        <v>4Q15A</v>
      </c>
      <c r="F2" s="106" t="str">
        <f>ProForma_IS_Qtr!F2</f>
        <v>CY2015A</v>
      </c>
      <c r="G2" s="105" t="str">
        <f>ProForma_IS_Qtr!G2</f>
        <v>1Q16A</v>
      </c>
      <c r="H2" s="105" t="str">
        <f>ProForma_IS_Qtr!H2</f>
        <v>2Q16A</v>
      </c>
      <c r="I2" s="105" t="str">
        <f>ProForma_IS_Qtr!I2</f>
        <v>3Q16A</v>
      </c>
      <c r="J2" s="105" t="str">
        <f>ProForma_IS_Qtr!J2</f>
        <v>4Q16A</v>
      </c>
      <c r="K2" s="106" t="str">
        <f>ProForma_IS_Qtr!K2</f>
        <v>CY2016A</v>
      </c>
      <c r="L2" s="105" t="str">
        <f>ProForma_IS_Qtr!L2</f>
        <v>1Q17A</v>
      </c>
      <c r="M2" s="105" t="str">
        <f>ProForma_IS_Qtr!M2</f>
        <v>2Q17A</v>
      </c>
      <c r="N2" s="105" t="str">
        <f>ProForma_IS_Qtr!N2</f>
        <v>3Q17A</v>
      </c>
      <c r="O2" s="105" t="str">
        <f>ProForma_IS_Qtr!O2</f>
        <v>4Q17A</v>
      </c>
      <c r="P2" s="106" t="str">
        <f>ProForma_IS_Qtr!P2</f>
        <v>CY2017A</v>
      </c>
      <c r="Q2" s="105" t="str">
        <f>ProForma_IS_Qtr!Q2</f>
        <v>1Q18A</v>
      </c>
      <c r="R2" s="105" t="str">
        <f>ProForma_IS_Qtr!R2</f>
        <v>2Q18A</v>
      </c>
      <c r="S2" s="105" t="str">
        <f>ProForma_IS_Qtr!S2</f>
        <v>3Q18A</v>
      </c>
      <c r="T2" s="105" t="str">
        <f>ProForma_IS_Qtr!T2</f>
        <v>4Q18A</v>
      </c>
      <c r="U2" s="106" t="str">
        <f>ProForma_IS_Qtr!U2</f>
        <v>CY2018A</v>
      </c>
      <c r="V2" s="105" t="str">
        <f>ProForma_IS_Qtr!V2</f>
        <v>1Q19A</v>
      </c>
      <c r="W2" s="105" t="str">
        <f>ProForma_IS_Qtr!W2</f>
        <v>2Q19A</v>
      </c>
      <c r="X2" s="105" t="str">
        <f>ProForma_IS_Qtr!X2</f>
        <v>3Q19A</v>
      </c>
      <c r="Y2" s="105" t="str">
        <f>ProForma_IS_Qtr!Y2</f>
        <v>4Q19A</v>
      </c>
      <c r="Z2" s="106" t="str">
        <f>ProForma_IS_Qtr!Z2</f>
        <v>CY2019A</v>
      </c>
      <c r="AA2" s="105" t="str">
        <f>ProForma_IS_Qtr!AA2</f>
        <v>1Q20A</v>
      </c>
      <c r="AB2" s="105" t="str">
        <f>ProForma_IS_Qtr!AB2</f>
        <v>2Q20A</v>
      </c>
      <c r="AC2" s="105" t="str">
        <f>ProForma_IS_Qtr!AC2</f>
        <v>3Q20A</v>
      </c>
      <c r="AD2" s="105" t="str">
        <f>ProForma_IS_Qtr!AD2</f>
        <v>4Q20A</v>
      </c>
      <c r="AE2" s="106" t="str">
        <f>ProForma_IS_Qtr!AE2</f>
        <v>CY2020A</v>
      </c>
      <c r="AF2" s="105" t="str">
        <f>ProForma_IS_Qtr!AF2</f>
        <v>1Q21A</v>
      </c>
      <c r="AG2" s="105" t="str">
        <f>ProForma_IS_Qtr!AG2</f>
        <v>2Q21A</v>
      </c>
      <c r="AH2" s="105" t="str">
        <f>ProForma_IS_Qtr!AH2</f>
        <v>3Q21A</v>
      </c>
      <c r="AI2" s="105" t="str">
        <f>ProForma_IS_Qtr!AI2</f>
        <v>4Q21A</v>
      </c>
      <c r="AJ2" s="106" t="str">
        <f>ProForma_IS_Qtr!AJ2</f>
        <v>CY2021A</v>
      </c>
      <c r="AK2" s="105" t="str">
        <f>ProForma_IS_Qtr!AK2</f>
        <v>1Q22A</v>
      </c>
      <c r="AL2" s="105" t="str">
        <f>ProForma_IS_Qtr!AL2</f>
        <v>2Q22A</v>
      </c>
      <c r="AM2" s="105" t="str">
        <f>ProForma_IS_Qtr!AM2</f>
        <v>3Q22A</v>
      </c>
      <c r="AN2" s="105" t="str">
        <f>ProForma_IS_Qtr!AN2</f>
        <v>4Q22A</v>
      </c>
      <c r="AO2" s="106" t="str">
        <f>ProForma_IS_Qtr!AO2</f>
        <v>CY2022A</v>
      </c>
      <c r="AP2" s="105" t="str">
        <f>ProForma_IS_Qtr!AP2</f>
        <v>1Q23A</v>
      </c>
      <c r="AQ2" s="105" t="str">
        <f>ProForma_IS_Qtr!AQ2</f>
        <v>2Q23A</v>
      </c>
      <c r="AR2" s="105" t="str">
        <f>ProForma_IS_Qtr!AR2</f>
        <v>3Q23A</v>
      </c>
      <c r="AS2" s="105" t="str">
        <f>ProForma_IS_Qtr!AS2</f>
        <v>4Q23A</v>
      </c>
      <c r="AT2" s="106" t="str">
        <f>ProForma_IS_Qtr!AT2</f>
        <v>CY2023A</v>
      </c>
      <c r="AU2" s="105" t="str">
        <f>ProForma_IS_Qtr!AU2</f>
        <v>1Q24A</v>
      </c>
      <c r="AV2" s="105" t="str">
        <f>ProForma_IS_Qtr!AV2</f>
        <v>2Q24A</v>
      </c>
      <c r="AW2" s="105" t="str">
        <f>ProForma_IS_Qtr!AW2</f>
        <v>3Q24A</v>
      </c>
      <c r="AX2" s="105" t="str">
        <f>ProForma_IS_Qtr!AX2</f>
        <v>4Q24A</v>
      </c>
      <c r="AY2" s="106" t="str">
        <f>ProForma_IS_Qtr!AY2</f>
        <v>CY2024A</v>
      </c>
      <c r="AZ2" s="105" t="str">
        <f>ProForma_IS_Qtr!AZ2</f>
        <v>1Q25A</v>
      </c>
      <c r="BA2" s="105" t="str">
        <f>ProForma_IS_Qtr!BA2</f>
        <v>2Q25A</v>
      </c>
      <c r="BB2" s="105" t="str">
        <f>ProForma_IS_Qtr!BB2</f>
        <v>3Q25A</v>
      </c>
      <c r="BC2" s="105" t="str">
        <f>ProForma_IS_Qtr!BC2</f>
        <v>4Q25A</v>
      </c>
      <c r="BD2" s="106" t="str">
        <f>ProForma_IS_Qtr!BD2</f>
        <v>CY2025A</v>
      </c>
      <c r="BE2" s="105" t="str">
        <f>ProForma_IS_Qtr!BE2</f>
        <v>1Q26A</v>
      </c>
      <c r="BF2" s="105" t="str">
        <f>ProForma_IS_Qtr!BF2</f>
        <v>2Q26A</v>
      </c>
      <c r="BG2" s="105" t="str">
        <f>ProForma_IS_Qtr!BG2</f>
        <v>3Q26E</v>
      </c>
      <c r="BH2" s="105" t="str">
        <f>ProForma_IS_Qtr!BH2</f>
        <v>4Q26E</v>
      </c>
      <c r="BI2" s="106" t="str">
        <f>ProForma_IS_Qtr!BI2</f>
        <v>CY2026E</v>
      </c>
      <c r="BJ2" s="314"/>
      <c r="BK2" s="314"/>
    </row>
    <row r="3" spans="1:64">
      <c r="A3" s="8" t="s">
        <v>209</v>
      </c>
      <c r="B3" s="124"/>
      <c r="C3" s="124"/>
      <c r="D3" s="124"/>
      <c r="E3" s="124"/>
      <c r="F3" s="125"/>
      <c r="G3" s="124"/>
      <c r="H3" s="124"/>
      <c r="I3" s="124"/>
      <c r="J3" s="124"/>
      <c r="K3" s="125"/>
      <c r="L3" s="124"/>
      <c r="M3" s="124"/>
      <c r="N3" s="124"/>
      <c r="O3" s="124"/>
      <c r="P3" s="125"/>
      <c r="Q3" s="124"/>
      <c r="R3" s="124"/>
      <c r="S3" s="124"/>
      <c r="T3" s="124"/>
      <c r="U3" s="125"/>
      <c r="V3" s="124"/>
      <c r="W3" s="124"/>
      <c r="X3" s="124"/>
      <c r="Y3" s="124"/>
      <c r="Z3" s="125"/>
      <c r="AA3" s="124"/>
      <c r="AB3" s="124"/>
      <c r="AC3" s="124"/>
      <c r="AD3" s="124"/>
      <c r="AE3" s="125"/>
      <c r="AF3" s="124"/>
      <c r="AG3" s="124"/>
      <c r="AH3" s="124"/>
      <c r="AI3" s="124"/>
      <c r="AJ3" s="125"/>
      <c r="AK3" s="124"/>
      <c r="AL3" s="124"/>
      <c r="AM3" s="124"/>
      <c r="AN3" s="124"/>
      <c r="AO3" s="124"/>
      <c r="AP3" s="124"/>
      <c r="AQ3" s="124"/>
      <c r="AR3" s="124"/>
      <c r="AS3" s="526"/>
      <c r="AT3" s="526"/>
      <c r="AU3" s="124"/>
      <c r="AV3" s="124"/>
      <c r="AW3" s="124"/>
      <c r="AX3" s="124"/>
      <c r="AY3" s="124"/>
      <c r="AZ3" s="124"/>
      <c r="BA3" s="124"/>
      <c r="BB3" s="124"/>
      <c r="BC3" s="124"/>
      <c r="BD3" s="124"/>
      <c r="BE3" s="124"/>
      <c r="BF3" s="124"/>
      <c r="BG3" s="124"/>
      <c r="BH3" s="124"/>
      <c r="BI3" s="124"/>
    </row>
    <row r="4" spans="1:64" s="25" customFormat="1">
      <c r="A4" s="3" t="s">
        <v>367</v>
      </c>
      <c r="B4" s="41"/>
      <c r="C4" s="41"/>
      <c r="D4" s="41"/>
      <c r="E4" s="42"/>
      <c r="F4" s="43"/>
      <c r="G4" s="41"/>
      <c r="H4" s="41"/>
      <c r="I4" s="41"/>
      <c r="J4" s="42"/>
      <c r="K4" s="43"/>
      <c r="L4" s="41"/>
      <c r="M4" s="41"/>
      <c r="N4" s="41"/>
      <c r="O4" s="42"/>
      <c r="P4" s="43"/>
      <c r="Q4" s="41"/>
      <c r="R4" s="41"/>
      <c r="S4" s="41"/>
      <c r="T4" s="42"/>
      <c r="U4" s="43"/>
      <c r="V4" s="41"/>
      <c r="W4" s="41"/>
      <c r="X4" s="41"/>
      <c r="Y4" s="42"/>
      <c r="Z4" s="43"/>
      <c r="AA4" s="41"/>
      <c r="AB4" s="41">
        <v>1000</v>
      </c>
      <c r="AC4" s="41">
        <f t="shared" ref="AC4:AJ8" si="0">AB4</f>
        <v>1000</v>
      </c>
      <c r="AD4" s="41">
        <f>AC4-1000</f>
        <v>0</v>
      </c>
      <c r="AE4" s="75">
        <f t="shared" si="0"/>
        <v>0</v>
      </c>
      <c r="AF4" s="41">
        <f t="shared" si="0"/>
        <v>0</v>
      </c>
      <c r="AG4" s="41">
        <f t="shared" si="0"/>
        <v>0</v>
      </c>
      <c r="AH4" s="41">
        <f t="shared" si="0"/>
        <v>0</v>
      </c>
      <c r="AI4" s="41">
        <f t="shared" si="0"/>
        <v>0</v>
      </c>
      <c r="AJ4" s="75">
        <f t="shared" si="0"/>
        <v>0</v>
      </c>
      <c r="AK4" s="41">
        <f t="shared" ref="AK4:AK9" si="1">AJ4</f>
        <v>0</v>
      </c>
      <c r="AL4" s="41">
        <f t="shared" ref="AL4:AN4" si="2">AK4</f>
        <v>0</v>
      </c>
      <c r="AM4" s="41">
        <f t="shared" si="2"/>
        <v>0</v>
      </c>
      <c r="AN4" s="41">
        <f t="shared" si="2"/>
        <v>0</v>
      </c>
      <c r="AO4" s="75">
        <f t="shared" ref="AO4:AO23" si="3">AN4</f>
        <v>0</v>
      </c>
      <c r="AP4" s="41">
        <f t="shared" ref="AP4:AP27" si="4">AO4</f>
        <v>0</v>
      </c>
      <c r="AQ4" s="41">
        <f t="shared" ref="AQ4:AQ27" si="5">AP4</f>
        <v>0</v>
      </c>
      <c r="AR4" s="41">
        <f t="shared" ref="AR4:AR27" si="6">AQ4</f>
        <v>0</v>
      </c>
      <c r="AS4" s="99">
        <f t="shared" ref="AS4:AS59" si="7">AR4</f>
        <v>0</v>
      </c>
      <c r="AT4" s="527">
        <f>AS4</f>
        <v>0</v>
      </c>
      <c r="AU4" s="41">
        <f t="shared" ref="AU4:AU60" si="8">AT4</f>
        <v>0</v>
      </c>
      <c r="AV4" s="41">
        <f t="shared" ref="AV4:AV59" si="9">AU4</f>
        <v>0</v>
      </c>
      <c r="AW4" s="41">
        <f t="shared" ref="AW4:AW59" si="10">AV4</f>
        <v>0</v>
      </c>
      <c r="AX4" s="41">
        <f t="shared" ref="AX4:AX59" si="11">AW4</f>
        <v>0</v>
      </c>
      <c r="AY4" s="75">
        <f t="shared" ref="AY4:AY61" si="12">AX4</f>
        <v>0</v>
      </c>
      <c r="AZ4" s="41">
        <f t="shared" ref="AZ4:AZ11" si="13">AY4</f>
        <v>0</v>
      </c>
      <c r="BA4" s="41">
        <f t="shared" ref="BA4:BA11" si="14">AZ4</f>
        <v>0</v>
      </c>
      <c r="BB4" s="41">
        <f t="shared" ref="BB4:BB11" si="15">BA4</f>
        <v>0</v>
      </c>
      <c r="BC4" s="41">
        <f t="shared" ref="BC4:BC11" si="16">BB4</f>
        <v>0</v>
      </c>
      <c r="BD4" s="75">
        <f t="shared" ref="BD4:BD61" si="17">BC4</f>
        <v>0</v>
      </c>
      <c r="BE4" s="450">
        <f t="shared" ref="BE4:BE11" si="18">BD4</f>
        <v>0</v>
      </c>
      <c r="BF4" s="41">
        <f t="shared" ref="BF4:BF11" si="19">BE4</f>
        <v>0</v>
      </c>
      <c r="BG4" s="41">
        <f t="shared" ref="BG4:BG11" si="20">BF4</f>
        <v>0</v>
      </c>
      <c r="BH4" s="41">
        <f t="shared" ref="BH4:BH11" si="21">BG4</f>
        <v>0</v>
      </c>
      <c r="BI4" s="75">
        <f t="shared" ref="BI4:BI61" si="22">BH4</f>
        <v>0</v>
      </c>
      <c r="BJ4" s="21"/>
      <c r="BK4" s="21"/>
      <c r="BL4" s="21"/>
    </row>
    <row r="5" spans="1:64" s="25" customFormat="1">
      <c r="A5" s="3" t="s">
        <v>330</v>
      </c>
      <c r="B5" s="41"/>
      <c r="C5" s="41"/>
      <c r="D5" s="41"/>
      <c r="E5" s="42"/>
      <c r="F5" s="43"/>
      <c r="G5" s="41"/>
      <c r="H5" s="41"/>
      <c r="I5" s="41"/>
      <c r="J5" s="42"/>
      <c r="K5" s="43"/>
      <c r="L5" s="41"/>
      <c r="M5" s="41"/>
      <c r="N5" s="41"/>
      <c r="O5" s="42"/>
      <c r="P5" s="43"/>
      <c r="Q5" s="41"/>
      <c r="R5" s="41"/>
      <c r="S5" s="41"/>
      <c r="T5" s="42"/>
      <c r="U5" s="43"/>
      <c r="V5" s="41"/>
      <c r="W5" s="41"/>
      <c r="X5" s="41"/>
      <c r="Y5" s="42"/>
      <c r="Z5" s="43"/>
      <c r="AA5" s="41"/>
      <c r="AB5" s="41">
        <v>250</v>
      </c>
      <c r="AC5" s="41">
        <f t="shared" si="0"/>
        <v>250</v>
      </c>
      <c r="AD5" s="41">
        <f t="shared" si="0"/>
        <v>250</v>
      </c>
      <c r="AE5" s="75">
        <f t="shared" si="0"/>
        <v>250</v>
      </c>
      <c r="AF5" s="41">
        <v>0</v>
      </c>
      <c r="AG5" s="41">
        <f t="shared" si="0"/>
        <v>0</v>
      </c>
      <c r="AH5" s="41">
        <f t="shared" si="0"/>
        <v>0</v>
      </c>
      <c r="AI5" s="41">
        <v>0</v>
      </c>
      <c r="AJ5" s="75">
        <f t="shared" si="0"/>
        <v>0</v>
      </c>
      <c r="AK5" s="41">
        <f t="shared" si="1"/>
        <v>0</v>
      </c>
      <c r="AL5" s="41">
        <f t="shared" ref="AL5:AN5" si="23">AK5</f>
        <v>0</v>
      </c>
      <c r="AM5" s="41">
        <f t="shared" si="23"/>
        <v>0</v>
      </c>
      <c r="AN5" s="41">
        <f t="shared" si="23"/>
        <v>0</v>
      </c>
      <c r="AO5" s="75">
        <f t="shared" si="3"/>
        <v>0</v>
      </c>
      <c r="AP5" s="41">
        <f t="shared" si="4"/>
        <v>0</v>
      </c>
      <c r="AQ5" s="41">
        <f t="shared" si="5"/>
        <v>0</v>
      </c>
      <c r="AR5" s="41">
        <f t="shared" si="6"/>
        <v>0</v>
      </c>
      <c r="AS5" s="99">
        <f t="shared" si="7"/>
        <v>0</v>
      </c>
      <c r="AT5" s="527">
        <f t="shared" ref="AT5:AT61" si="24">AS5</f>
        <v>0</v>
      </c>
      <c r="AU5" s="41">
        <f t="shared" si="8"/>
        <v>0</v>
      </c>
      <c r="AV5" s="41">
        <f t="shared" si="9"/>
        <v>0</v>
      </c>
      <c r="AW5" s="41">
        <f t="shared" si="10"/>
        <v>0</v>
      </c>
      <c r="AX5" s="41">
        <f t="shared" si="11"/>
        <v>0</v>
      </c>
      <c r="AY5" s="75">
        <f t="shared" si="12"/>
        <v>0</v>
      </c>
      <c r="AZ5" s="41">
        <f t="shared" si="13"/>
        <v>0</v>
      </c>
      <c r="BA5" s="41">
        <f t="shared" si="14"/>
        <v>0</v>
      </c>
      <c r="BB5" s="41">
        <f t="shared" si="15"/>
        <v>0</v>
      </c>
      <c r="BC5" s="41">
        <f t="shared" si="16"/>
        <v>0</v>
      </c>
      <c r="BD5" s="75">
        <f t="shared" si="17"/>
        <v>0</v>
      </c>
      <c r="BE5" s="450">
        <f t="shared" si="18"/>
        <v>0</v>
      </c>
      <c r="BF5" s="41">
        <f t="shared" si="19"/>
        <v>0</v>
      </c>
      <c r="BG5" s="41">
        <f t="shared" si="20"/>
        <v>0</v>
      </c>
      <c r="BH5" s="41">
        <f t="shared" si="21"/>
        <v>0</v>
      </c>
      <c r="BI5" s="75">
        <f t="shared" si="22"/>
        <v>0</v>
      </c>
      <c r="BJ5" s="21"/>
      <c r="BK5" s="21"/>
      <c r="BL5" s="21"/>
    </row>
    <row r="6" spans="1:64" s="25" customFormat="1">
      <c r="A6" s="3" t="s">
        <v>331</v>
      </c>
      <c r="B6" s="41"/>
      <c r="C6" s="41"/>
      <c r="D6" s="41"/>
      <c r="E6" s="42"/>
      <c r="F6" s="43"/>
      <c r="G6" s="41"/>
      <c r="H6" s="41"/>
      <c r="I6" s="41"/>
      <c r="J6" s="42"/>
      <c r="K6" s="43"/>
      <c r="L6" s="41"/>
      <c r="M6" s="41"/>
      <c r="N6" s="41"/>
      <c r="O6" s="42"/>
      <c r="P6" s="43"/>
      <c r="Q6" s="41"/>
      <c r="R6" s="41"/>
      <c r="S6" s="41"/>
      <c r="T6" s="42"/>
      <c r="U6" s="43"/>
      <c r="V6" s="41"/>
      <c r="W6" s="41"/>
      <c r="X6" s="41"/>
      <c r="Y6" s="42"/>
      <c r="Z6" s="43"/>
      <c r="AA6" s="41"/>
      <c r="AB6" s="41">
        <v>250</v>
      </c>
      <c r="AC6" s="41">
        <f t="shared" si="0"/>
        <v>250</v>
      </c>
      <c r="AD6" s="41">
        <f t="shared" si="0"/>
        <v>250</v>
      </c>
      <c r="AE6" s="75">
        <f t="shared" si="0"/>
        <v>250</v>
      </c>
      <c r="AF6" s="41">
        <f t="shared" si="0"/>
        <v>250</v>
      </c>
      <c r="AG6" s="41">
        <v>250</v>
      </c>
      <c r="AH6" s="41">
        <v>250</v>
      </c>
      <c r="AI6" s="41">
        <f>AH6-250</f>
        <v>0</v>
      </c>
      <c r="AJ6" s="75">
        <f t="shared" si="0"/>
        <v>0</v>
      </c>
      <c r="AK6" s="41">
        <f t="shared" si="1"/>
        <v>0</v>
      </c>
      <c r="AL6" s="41">
        <f t="shared" ref="AL6:AN6" si="25">AK6</f>
        <v>0</v>
      </c>
      <c r="AM6" s="41">
        <f t="shared" si="25"/>
        <v>0</v>
      </c>
      <c r="AN6" s="41">
        <f t="shared" si="25"/>
        <v>0</v>
      </c>
      <c r="AO6" s="75">
        <f t="shared" si="3"/>
        <v>0</v>
      </c>
      <c r="AP6" s="41">
        <f t="shared" si="4"/>
        <v>0</v>
      </c>
      <c r="AQ6" s="41">
        <f t="shared" si="5"/>
        <v>0</v>
      </c>
      <c r="AR6" s="41">
        <f t="shared" si="6"/>
        <v>0</v>
      </c>
      <c r="AS6" s="99">
        <f t="shared" si="7"/>
        <v>0</v>
      </c>
      <c r="AT6" s="527">
        <f t="shared" si="24"/>
        <v>0</v>
      </c>
      <c r="AU6" s="41">
        <f t="shared" si="8"/>
        <v>0</v>
      </c>
      <c r="AV6" s="41">
        <f t="shared" si="9"/>
        <v>0</v>
      </c>
      <c r="AW6" s="41">
        <f t="shared" si="10"/>
        <v>0</v>
      </c>
      <c r="AX6" s="41">
        <f t="shared" si="11"/>
        <v>0</v>
      </c>
      <c r="AY6" s="75">
        <f t="shared" si="12"/>
        <v>0</v>
      </c>
      <c r="AZ6" s="41">
        <f t="shared" si="13"/>
        <v>0</v>
      </c>
      <c r="BA6" s="41">
        <f t="shared" si="14"/>
        <v>0</v>
      </c>
      <c r="BB6" s="41">
        <f t="shared" si="15"/>
        <v>0</v>
      </c>
      <c r="BC6" s="41">
        <f t="shared" si="16"/>
        <v>0</v>
      </c>
      <c r="BD6" s="75">
        <f t="shared" si="17"/>
        <v>0</v>
      </c>
      <c r="BE6" s="450">
        <f t="shared" si="18"/>
        <v>0</v>
      </c>
      <c r="BF6" s="41">
        <f t="shared" si="19"/>
        <v>0</v>
      </c>
      <c r="BG6" s="41">
        <f t="shared" si="20"/>
        <v>0</v>
      </c>
      <c r="BH6" s="41">
        <f t="shared" si="21"/>
        <v>0</v>
      </c>
      <c r="BI6" s="75">
        <f t="shared" si="22"/>
        <v>0</v>
      </c>
      <c r="BJ6" s="21"/>
      <c r="BK6" s="21"/>
      <c r="BL6" s="21"/>
    </row>
    <row r="7" spans="1:64" s="25" customFormat="1">
      <c r="A7" s="3" t="s">
        <v>332</v>
      </c>
      <c r="B7" s="41"/>
      <c r="C7" s="41"/>
      <c r="D7" s="41"/>
      <c r="E7" s="42"/>
      <c r="F7" s="43"/>
      <c r="G7" s="41"/>
      <c r="H7" s="41"/>
      <c r="I7" s="41"/>
      <c r="J7" s="42"/>
      <c r="K7" s="43"/>
      <c r="L7" s="41"/>
      <c r="M7" s="41"/>
      <c r="N7" s="41"/>
      <c r="O7" s="42"/>
      <c r="P7" s="43"/>
      <c r="Q7" s="41"/>
      <c r="R7" s="41"/>
      <c r="S7" s="41"/>
      <c r="T7" s="42"/>
      <c r="U7" s="43"/>
      <c r="V7" s="41"/>
      <c r="W7" s="41"/>
      <c r="X7" s="41"/>
      <c r="Y7" s="42"/>
      <c r="Z7" s="43"/>
      <c r="AA7" s="41"/>
      <c r="AB7" s="41">
        <v>1100</v>
      </c>
      <c r="AC7" s="41">
        <f t="shared" si="0"/>
        <v>1100</v>
      </c>
      <c r="AD7" s="41">
        <f t="shared" si="0"/>
        <v>1100</v>
      </c>
      <c r="AE7" s="75">
        <f t="shared" si="0"/>
        <v>1100</v>
      </c>
      <c r="AF7" s="41">
        <f t="shared" si="0"/>
        <v>1100</v>
      </c>
      <c r="AG7" s="41">
        <v>1100</v>
      </c>
      <c r="AH7" s="41">
        <v>0</v>
      </c>
      <c r="AI7" s="41">
        <f t="shared" si="0"/>
        <v>0</v>
      </c>
      <c r="AJ7" s="75">
        <f t="shared" si="0"/>
        <v>0</v>
      </c>
      <c r="AK7" s="41">
        <f t="shared" si="1"/>
        <v>0</v>
      </c>
      <c r="AL7" s="41">
        <f t="shared" ref="AL7:AN7" si="26">AK7</f>
        <v>0</v>
      </c>
      <c r="AM7" s="41">
        <f t="shared" si="26"/>
        <v>0</v>
      </c>
      <c r="AN7" s="41">
        <f t="shared" si="26"/>
        <v>0</v>
      </c>
      <c r="AO7" s="75">
        <f t="shared" si="3"/>
        <v>0</v>
      </c>
      <c r="AP7" s="41">
        <f t="shared" si="4"/>
        <v>0</v>
      </c>
      <c r="AQ7" s="41">
        <f t="shared" si="5"/>
        <v>0</v>
      </c>
      <c r="AR7" s="41">
        <f t="shared" si="6"/>
        <v>0</v>
      </c>
      <c r="AS7" s="99">
        <f t="shared" si="7"/>
        <v>0</v>
      </c>
      <c r="AT7" s="527">
        <f t="shared" si="24"/>
        <v>0</v>
      </c>
      <c r="AU7" s="41">
        <f t="shared" si="8"/>
        <v>0</v>
      </c>
      <c r="AV7" s="41">
        <f t="shared" si="9"/>
        <v>0</v>
      </c>
      <c r="AW7" s="41">
        <f t="shared" si="10"/>
        <v>0</v>
      </c>
      <c r="AX7" s="41">
        <f t="shared" si="11"/>
        <v>0</v>
      </c>
      <c r="AY7" s="75">
        <f t="shared" si="12"/>
        <v>0</v>
      </c>
      <c r="AZ7" s="41">
        <f t="shared" si="13"/>
        <v>0</v>
      </c>
      <c r="BA7" s="41">
        <f t="shared" si="14"/>
        <v>0</v>
      </c>
      <c r="BB7" s="41">
        <f t="shared" si="15"/>
        <v>0</v>
      </c>
      <c r="BC7" s="41">
        <f t="shared" si="16"/>
        <v>0</v>
      </c>
      <c r="BD7" s="75">
        <f t="shared" si="17"/>
        <v>0</v>
      </c>
      <c r="BE7" s="450">
        <f t="shared" si="18"/>
        <v>0</v>
      </c>
      <c r="BF7" s="41">
        <f t="shared" si="19"/>
        <v>0</v>
      </c>
      <c r="BG7" s="41">
        <f t="shared" si="20"/>
        <v>0</v>
      </c>
      <c r="BH7" s="41">
        <f t="shared" si="21"/>
        <v>0</v>
      </c>
      <c r="BI7" s="75">
        <f t="shared" si="22"/>
        <v>0</v>
      </c>
      <c r="BJ7" s="21"/>
      <c r="BK7" s="21"/>
      <c r="BL7" s="21"/>
    </row>
    <row r="8" spans="1:64" s="25" customFormat="1">
      <c r="A8" s="3" t="s">
        <v>333</v>
      </c>
      <c r="B8" s="41"/>
      <c r="C8" s="41"/>
      <c r="D8" s="41"/>
      <c r="E8" s="42"/>
      <c r="F8" s="43"/>
      <c r="G8" s="41"/>
      <c r="H8" s="41"/>
      <c r="I8" s="41"/>
      <c r="J8" s="42"/>
      <c r="K8" s="43"/>
      <c r="L8" s="41"/>
      <c r="M8" s="41"/>
      <c r="N8" s="41"/>
      <c r="O8" s="42"/>
      <c r="P8" s="43"/>
      <c r="Q8" s="41"/>
      <c r="R8" s="41"/>
      <c r="S8" s="41"/>
      <c r="T8" s="42"/>
      <c r="U8" s="43"/>
      <c r="V8" s="41"/>
      <c r="W8" s="41"/>
      <c r="X8" s="41"/>
      <c r="Y8" s="42"/>
      <c r="Z8" s="43"/>
      <c r="AA8" s="41"/>
      <c r="AB8" s="41">
        <v>1100</v>
      </c>
      <c r="AC8" s="41">
        <f t="shared" si="0"/>
        <v>1100</v>
      </c>
      <c r="AD8" s="41">
        <f t="shared" si="0"/>
        <v>1100</v>
      </c>
      <c r="AE8" s="75">
        <f t="shared" si="0"/>
        <v>1100</v>
      </c>
      <c r="AF8" s="41">
        <f t="shared" si="0"/>
        <v>1100</v>
      </c>
      <c r="AG8" s="41">
        <v>1100</v>
      </c>
      <c r="AH8" s="41">
        <v>0</v>
      </c>
      <c r="AI8" s="41">
        <f t="shared" si="0"/>
        <v>0</v>
      </c>
      <c r="AJ8" s="75">
        <f t="shared" si="0"/>
        <v>0</v>
      </c>
      <c r="AK8" s="41">
        <f t="shared" si="1"/>
        <v>0</v>
      </c>
      <c r="AL8" s="41">
        <f t="shared" ref="AL8:AN8" si="27">AK8</f>
        <v>0</v>
      </c>
      <c r="AM8" s="41">
        <f t="shared" si="27"/>
        <v>0</v>
      </c>
      <c r="AN8" s="41">
        <f t="shared" si="27"/>
        <v>0</v>
      </c>
      <c r="AO8" s="75">
        <f t="shared" si="3"/>
        <v>0</v>
      </c>
      <c r="AP8" s="41">
        <f t="shared" si="4"/>
        <v>0</v>
      </c>
      <c r="AQ8" s="41">
        <f t="shared" si="5"/>
        <v>0</v>
      </c>
      <c r="AR8" s="41">
        <f t="shared" si="6"/>
        <v>0</v>
      </c>
      <c r="AS8" s="99">
        <f t="shared" si="7"/>
        <v>0</v>
      </c>
      <c r="AT8" s="527">
        <f t="shared" si="24"/>
        <v>0</v>
      </c>
      <c r="AU8" s="41">
        <f t="shared" si="8"/>
        <v>0</v>
      </c>
      <c r="AV8" s="41">
        <f t="shared" si="9"/>
        <v>0</v>
      </c>
      <c r="AW8" s="41">
        <f t="shared" si="10"/>
        <v>0</v>
      </c>
      <c r="AX8" s="41">
        <f t="shared" si="11"/>
        <v>0</v>
      </c>
      <c r="AY8" s="75">
        <f t="shared" si="12"/>
        <v>0</v>
      </c>
      <c r="AZ8" s="41">
        <f t="shared" si="13"/>
        <v>0</v>
      </c>
      <c r="BA8" s="41">
        <f t="shared" si="14"/>
        <v>0</v>
      </c>
      <c r="BB8" s="41">
        <f t="shared" si="15"/>
        <v>0</v>
      </c>
      <c r="BC8" s="41">
        <f t="shared" si="16"/>
        <v>0</v>
      </c>
      <c r="BD8" s="75">
        <f t="shared" si="17"/>
        <v>0</v>
      </c>
      <c r="BE8" s="450">
        <f t="shared" si="18"/>
        <v>0</v>
      </c>
      <c r="BF8" s="41">
        <f t="shared" si="19"/>
        <v>0</v>
      </c>
      <c r="BG8" s="41">
        <f t="shared" si="20"/>
        <v>0</v>
      </c>
      <c r="BH8" s="41">
        <f t="shared" si="21"/>
        <v>0</v>
      </c>
      <c r="BI8" s="75">
        <f t="shared" si="22"/>
        <v>0</v>
      </c>
      <c r="BJ8" s="21"/>
      <c r="BK8" s="21"/>
      <c r="BL8" s="21"/>
    </row>
    <row r="9" spans="1:64" s="25" customFormat="1">
      <c r="A9" s="3" t="s">
        <v>334</v>
      </c>
      <c r="B9" s="41"/>
      <c r="C9" s="41"/>
      <c r="D9" s="41"/>
      <c r="E9" s="42"/>
      <c r="F9" s="43"/>
      <c r="G9" s="41"/>
      <c r="H9" s="41"/>
      <c r="I9" s="41"/>
      <c r="J9" s="42"/>
      <c r="K9" s="43"/>
      <c r="L9" s="41"/>
      <c r="M9" s="41"/>
      <c r="N9" s="41"/>
      <c r="O9" s="42"/>
      <c r="P9" s="43"/>
      <c r="Q9" s="41"/>
      <c r="R9" s="41"/>
      <c r="S9" s="41"/>
      <c r="T9" s="42"/>
      <c r="U9" s="43"/>
      <c r="V9" s="41"/>
      <c r="W9" s="41"/>
      <c r="X9" s="41"/>
      <c r="Y9" s="42"/>
      <c r="Z9" s="43"/>
      <c r="AA9" s="41"/>
      <c r="AB9" s="41">
        <v>171</v>
      </c>
      <c r="AC9" s="41">
        <f t="shared" ref="AC9:AJ25" si="28">AB9</f>
        <v>171</v>
      </c>
      <c r="AD9" s="41">
        <f>AC9</f>
        <v>171</v>
      </c>
      <c r="AE9" s="75">
        <f t="shared" si="28"/>
        <v>171</v>
      </c>
      <c r="AF9" s="41">
        <f t="shared" si="28"/>
        <v>171</v>
      </c>
      <c r="AG9" s="41">
        <v>171</v>
      </c>
      <c r="AH9" s="41">
        <v>171</v>
      </c>
      <c r="AI9" s="41">
        <f t="shared" si="28"/>
        <v>171</v>
      </c>
      <c r="AJ9" s="75">
        <f t="shared" si="28"/>
        <v>171</v>
      </c>
      <c r="AK9" s="41">
        <f t="shared" si="1"/>
        <v>171</v>
      </c>
      <c r="AL9" s="41">
        <f t="shared" ref="AL9:AN9" si="29">AK9</f>
        <v>171</v>
      </c>
      <c r="AM9" s="41">
        <f t="shared" si="29"/>
        <v>171</v>
      </c>
      <c r="AN9" s="41">
        <f t="shared" si="29"/>
        <v>171</v>
      </c>
      <c r="AO9" s="75">
        <f t="shared" si="3"/>
        <v>171</v>
      </c>
      <c r="AP9" s="41">
        <f t="shared" si="4"/>
        <v>171</v>
      </c>
      <c r="AQ9" s="41">
        <f t="shared" si="5"/>
        <v>171</v>
      </c>
      <c r="AR9" s="41">
        <v>0</v>
      </c>
      <c r="AS9" s="99">
        <f t="shared" si="7"/>
        <v>0</v>
      </c>
      <c r="AT9" s="527">
        <f t="shared" si="24"/>
        <v>0</v>
      </c>
      <c r="AU9" s="41">
        <f t="shared" si="8"/>
        <v>0</v>
      </c>
      <c r="AV9" s="41">
        <f t="shared" si="9"/>
        <v>0</v>
      </c>
      <c r="AW9" s="41">
        <f t="shared" si="10"/>
        <v>0</v>
      </c>
      <c r="AX9" s="41">
        <f t="shared" si="11"/>
        <v>0</v>
      </c>
      <c r="AY9" s="75">
        <f t="shared" si="12"/>
        <v>0</v>
      </c>
      <c r="AZ9" s="41">
        <f t="shared" si="13"/>
        <v>0</v>
      </c>
      <c r="BA9" s="41">
        <f t="shared" si="14"/>
        <v>0</v>
      </c>
      <c r="BB9" s="41">
        <f t="shared" si="15"/>
        <v>0</v>
      </c>
      <c r="BC9" s="41">
        <f t="shared" si="16"/>
        <v>0</v>
      </c>
      <c r="BD9" s="75">
        <f t="shared" si="17"/>
        <v>0</v>
      </c>
      <c r="BE9" s="450">
        <f t="shared" si="18"/>
        <v>0</v>
      </c>
      <c r="BF9" s="41">
        <f t="shared" si="19"/>
        <v>0</v>
      </c>
      <c r="BG9" s="41">
        <f t="shared" si="20"/>
        <v>0</v>
      </c>
      <c r="BH9" s="41">
        <f t="shared" si="21"/>
        <v>0</v>
      </c>
      <c r="BI9" s="75">
        <f t="shared" si="22"/>
        <v>0</v>
      </c>
      <c r="BJ9" s="21"/>
      <c r="BK9" s="21"/>
      <c r="BL9" s="21"/>
    </row>
    <row r="10" spans="1:64" s="25" customFormat="1">
      <c r="A10" s="3" t="s">
        <v>335</v>
      </c>
      <c r="B10" s="41"/>
      <c r="C10" s="41"/>
      <c r="D10" s="41"/>
      <c r="E10" s="42"/>
      <c r="F10" s="43"/>
      <c r="G10" s="41"/>
      <c r="H10" s="41"/>
      <c r="I10" s="41"/>
      <c r="J10" s="42"/>
      <c r="K10" s="43"/>
      <c r="L10" s="41"/>
      <c r="M10" s="41"/>
      <c r="N10" s="41"/>
      <c r="O10" s="42"/>
      <c r="P10" s="43"/>
      <c r="Q10" s="41"/>
      <c r="R10" s="41"/>
      <c r="S10" s="41"/>
      <c r="T10" s="42"/>
      <c r="U10" s="43"/>
      <c r="V10" s="41"/>
      <c r="W10" s="41"/>
      <c r="X10" s="41"/>
      <c r="Y10" s="42"/>
      <c r="Z10" s="43"/>
      <c r="AA10" s="41"/>
      <c r="AB10" s="41">
        <v>400</v>
      </c>
      <c r="AC10" s="41">
        <f t="shared" si="28"/>
        <v>400</v>
      </c>
      <c r="AD10" s="41">
        <f>AC10</f>
        <v>400</v>
      </c>
      <c r="AE10" s="75">
        <f t="shared" si="28"/>
        <v>400</v>
      </c>
      <c r="AF10" s="41">
        <f t="shared" si="28"/>
        <v>400</v>
      </c>
      <c r="AG10" s="41">
        <v>400</v>
      </c>
      <c r="AH10" s="41">
        <v>400</v>
      </c>
      <c r="AI10" s="41">
        <f t="shared" si="28"/>
        <v>400</v>
      </c>
      <c r="AJ10" s="75">
        <f t="shared" si="28"/>
        <v>400</v>
      </c>
      <c r="AK10" s="41">
        <f t="shared" ref="AK10:AN60" si="30">AJ10</f>
        <v>400</v>
      </c>
      <c r="AL10" s="41">
        <f t="shared" si="30"/>
        <v>400</v>
      </c>
      <c r="AM10" s="41">
        <f t="shared" si="30"/>
        <v>400</v>
      </c>
      <c r="AN10" s="41">
        <f t="shared" si="30"/>
        <v>400</v>
      </c>
      <c r="AO10" s="75">
        <f t="shared" si="3"/>
        <v>400</v>
      </c>
      <c r="AP10" s="41">
        <f t="shared" si="4"/>
        <v>400</v>
      </c>
      <c r="AQ10" s="41">
        <f t="shared" si="5"/>
        <v>400</v>
      </c>
      <c r="AR10" s="41">
        <f t="shared" si="6"/>
        <v>400</v>
      </c>
      <c r="AS10" s="99">
        <v>0</v>
      </c>
      <c r="AT10" s="527">
        <f t="shared" si="24"/>
        <v>0</v>
      </c>
      <c r="AU10" s="41">
        <v>0</v>
      </c>
      <c r="AV10" s="41">
        <f t="shared" si="9"/>
        <v>0</v>
      </c>
      <c r="AW10" s="41">
        <f t="shared" si="10"/>
        <v>0</v>
      </c>
      <c r="AX10" s="41">
        <f t="shared" si="11"/>
        <v>0</v>
      </c>
      <c r="AY10" s="75">
        <f t="shared" si="12"/>
        <v>0</v>
      </c>
      <c r="AZ10" s="41">
        <f t="shared" si="13"/>
        <v>0</v>
      </c>
      <c r="BA10" s="41">
        <f t="shared" si="14"/>
        <v>0</v>
      </c>
      <c r="BB10" s="41">
        <f t="shared" si="15"/>
        <v>0</v>
      </c>
      <c r="BC10" s="41">
        <f t="shared" si="16"/>
        <v>0</v>
      </c>
      <c r="BD10" s="75">
        <f t="shared" si="17"/>
        <v>0</v>
      </c>
      <c r="BE10" s="450">
        <f t="shared" si="18"/>
        <v>0</v>
      </c>
      <c r="BF10" s="41">
        <f t="shared" si="19"/>
        <v>0</v>
      </c>
      <c r="BG10" s="41">
        <f t="shared" si="20"/>
        <v>0</v>
      </c>
      <c r="BH10" s="41">
        <f t="shared" si="21"/>
        <v>0</v>
      </c>
      <c r="BI10" s="75">
        <f t="shared" si="22"/>
        <v>0</v>
      </c>
      <c r="BJ10" s="21"/>
      <c r="BK10" s="21"/>
      <c r="BL10" s="21"/>
    </row>
    <row r="11" spans="1:64" s="25" customFormat="1">
      <c r="A11" s="3" t="s">
        <v>336</v>
      </c>
      <c r="B11" s="41"/>
      <c r="C11" s="41"/>
      <c r="D11" s="41"/>
      <c r="E11" s="42"/>
      <c r="F11" s="43"/>
      <c r="G11" s="41"/>
      <c r="H11" s="41"/>
      <c r="I11" s="41"/>
      <c r="J11" s="42"/>
      <c r="K11" s="43"/>
      <c r="L11" s="41"/>
      <c r="M11" s="41"/>
      <c r="N11" s="41"/>
      <c r="O11" s="42"/>
      <c r="P11" s="43"/>
      <c r="Q11" s="41"/>
      <c r="R11" s="41"/>
      <c r="S11" s="41"/>
      <c r="T11" s="42"/>
      <c r="U11" s="43"/>
      <c r="V11" s="41"/>
      <c r="W11" s="41"/>
      <c r="X11" s="41"/>
      <c r="Y11" s="42"/>
      <c r="Z11" s="43"/>
      <c r="AA11" s="41"/>
      <c r="AB11" s="41">
        <v>950</v>
      </c>
      <c r="AC11" s="41">
        <f t="shared" si="28"/>
        <v>950</v>
      </c>
      <c r="AD11" s="41">
        <f t="shared" si="28"/>
        <v>950</v>
      </c>
      <c r="AE11" s="75">
        <f t="shared" si="28"/>
        <v>950</v>
      </c>
      <c r="AF11" s="41">
        <f t="shared" si="28"/>
        <v>950</v>
      </c>
      <c r="AG11" s="41">
        <v>950</v>
      </c>
      <c r="AH11" s="41">
        <v>950</v>
      </c>
      <c r="AI11" s="41">
        <f t="shared" si="28"/>
        <v>950</v>
      </c>
      <c r="AJ11" s="75">
        <f t="shared" si="28"/>
        <v>950</v>
      </c>
      <c r="AK11" s="41">
        <f t="shared" si="30"/>
        <v>950</v>
      </c>
      <c r="AL11" s="41">
        <f t="shared" si="30"/>
        <v>950</v>
      </c>
      <c r="AM11" s="41">
        <f t="shared" si="30"/>
        <v>950</v>
      </c>
      <c r="AN11" s="41">
        <f t="shared" si="30"/>
        <v>950</v>
      </c>
      <c r="AO11" s="75">
        <f t="shared" si="3"/>
        <v>950</v>
      </c>
      <c r="AP11" s="41">
        <f t="shared" si="4"/>
        <v>950</v>
      </c>
      <c r="AQ11" s="41">
        <f t="shared" si="5"/>
        <v>950</v>
      </c>
      <c r="AR11" s="41">
        <f t="shared" si="6"/>
        <v>950</v>
      </c>
      <c r="AS11" s="99">
        <f t="shared" si="7"/>
        <v>950</v>
      </c>
      <c r="AT11" s="527">
        <f t="shared" si="24"/>
        <v>950</v>
      </c>
      <c r="AU11" s="41">
        <v>0</v>
      </c>
      <c r="AV11" s="41">
        <v>0</v>
      </c>
      <c r="AW11" s="41">
        <f t="shared" si="10"/>
        <v>0</v>
      </c>
      <c r="AX11" s="41">
        <f t="shared" si="11"/>
        <v>0</v>
      </c>
      <c r="AY11" s="75">
        <f t="shared" si="12"/>
        <v>0</v>
      </c>
      <c r="AZ11" s="41">
        <f t="shared" si="13"/>
        <v>0</v>
      </c>
      <c r="BA11" s="41">
        <f t="shared" si="14"/>
        <v>0</v>
      </c>
      <c r="BB11" s="41">
        <f t="shared" si="15"/>
        <v>0</v>
      </c>
      <c r="BC11" s="41">
        <f t="shared" si="16"/>
        <v>0</v>
      </c>
      <c r="BD11" s="75">
        <f t="shared" si="17"/>
        <v>0</v>
      </c>
      <c r="BE11" s="450">
        <f t="shared" si="18"/>
        <v>0</v>
      </c>
      <c r="BF11" s="41">
        <f t="shared" si="19"/>
        <v>0</v>
      </c>
      <c r="BG11" s="41">
        <f t="shared" si="20"/>
        <v>0</v>
      </c>
      <c r="BH11" s="41">
        <f t="shared" si="21"/>
        <v>0</v>
      </c>
      <c r="BI11" s="75">
        <f t="shared" si="22"/>
        <v>0</v>
      </c>
      <c r="BJ11" s="21"/>
      <c r="BK11" s="21"/>
      <c r="BL11" s="21"/>
    </row>
    <row r="12" spans="1:64" s="25" customFormat="1">
      <c r="A12" s="3" t="s">
        <v>337</v>
      </c>
      <c r="B12" s="41"/>
      <c r="C12" s="41"/>
      <c r="D12" s="41"/>
      <c r="E12" s="42"/>
      <c r="F12" s="43"/>
      <c r="G12" s="41"/>
      <c r="H12" s="41"/>
      <c r="I12" s="41"/>
      <c r="J12" s="42"/>
      <c r="K12" s="43"/>
      <c r="L12" s="41"/>
      <c r="M12" s="41"/>
      <c r="N12" s="41"/>
      <c r="O12" s="42"/>
      <c r="P12" s="43"/>
      <c r="Q12" s="41"/>
      <c r="R12" s="41"/>
      <c r="S12" s="41"/>
      <c r="T12" s="42"/>
      <c r="U12" s="43"/>
      <c r="V12" s="41"/>
      <c r="W12" s="41"/>
      <c r="X12" s="41"/>
      <c r="Y12" s="42"/>
      <c r="Z12" s="43"/>
      <c r="AA12" s="41"/>
      <c r="AB12" s="41">
        <v>300</v>
      </c>
      <c r="AC12" s="41">
        <f t="shared" si="28"/>
        <v>300</v>
      </c>
      <c r="AD12" s="41">
        <f t="shared" si="28"/>
        <v>300</v>
      </c>
      <c r="AE12" s="75">
        <f t="shared" si="28"/>
        <v>300</v>
      </c>
      <c r="AF12" s="41">
        <f t="shared" si="28"/>
        <v>300</v>
      </c>
      <c r="AG12" s="41">
        <v>300</v>
      </c>
      <c r="AH12" s="41">
        <v>300</v>
      </c>
      <c r="AI12" s="41">
        <f t="shared" si="28"/>
        <v>300</v>
      </c>
      <c r="AJ12" s="75">
        <f t="shared" si="28"/>
        <v>300</v>
      </c>
      <c r="AK12" s="41">
        <f t="shared" si="30"/>
        <v>300</v>
      </c>
      <c r="AL12" s="41">
        <f t="shared" si="30"/>
        <v>300</v>
      </c>
      <c r="AM12" s="41">
        <f t="shared" si="30"/>
        <v>300</v>
      </c>
      <c r="AN12" s="41">
        <f t="shared" si="30"/>
        <v>300</v>
      </c>
      <c r="AO12" s="75">
        <f t="shared" si="3"/>
        <v>300</v>
      </c>
      <c r="AP12" s="41">
        <f t="shared" si="4"/>
        <v>300</v>
      </c>
      <c r="AQ12" s="41">
        <f t="shared" si="5"/>
        <v>300</v>
      </c>
      <c r="AR12" s="41">
        <f t="shared" si="6"/>
        <v>300</v>
      </c>
      <c r="AS12" s="99">
        <f t="shared" si="7"/>
        <v>300</v>
      </c>
      <c r="AT12" s="527">
        <f t="shared" si="24"/>
        <v>300</v>
      </c>
      <c r="AU12" s="41">
        <f t="shared" si="8"/>
        <v>300</v>
      </c>
      <c r="AV12" s="41">
        <f t="shared" si="9"/>
        <v>300</v>
      </c>
      <c r="AW12" s="41">
        <v>300</v>
      </c>
      <c r="AX12" s="41">
        <v>0</v>
      </c>
      <c r="AY12" s="75">
        <f t="shared" si="12"/>
        <v>0</v>
      </c>
      <c r="AZ12" s="41">
        <v>0</v>
      </c>
      <c r="BA12" s="41">
        <v>0</v>
      </c>
      <c r="BB12" s="41">
        <v>0</v>
      </c>
      <c r="BC12" s="41">
        <v>0</v>
      </c>
      <c r="BD12" s="75">
        <f t="shared" si="17"/>
        <v>0</v>
      </c>
      <c r="BE12" s="450">
        <v>0</v>
      </c>
      <c r="BF12" s="41">
        <v>0</v>
      </c>
      <c r="BG12" s="41">
        <v>0</v>
      </c>
      <c r="BH12" s="41">
        <v>0</v>
      </c>
      <c r="BI12" s="75">
        <f t="shared" si="22"/>
        <v>0</v>
      </c>
      <c r="BJ12" s="21"/>
      <c r="BK12" s="21"/>
      <c r="BL12" s="21"/>
    </row>
    <row r="13" spans="1:64" s="25" customFormat="1">
      <c r="A13" s="525" t="s">
        <v>471</v>
      </c>
      <c r="B13" s="41"/>
      <c r="C13" s="41"/>
      <c r="D13" s="41"/>
      <c r="E13" s="42"/>
      <c r="F13" s="43"/>
      <c r="G13" s="41"/>
      <c r="H13" s="41"/>
      <c r="I13" s="41"/>
      <c r="J13" s="42"/>
      <c r="K13" s="43"/>
      <c r="L13" s="41"/>
      <c r="M13" s="41"/>
      <c r="N13" s="41"/>
      <c r="O13" s="42"/>
      <c r="P13" s="43"/>
      <c r="Q13" s="41"/>
      <c r="R13" s="41"/>
      <c r="S13" s="41"/>
      <c r="T13" s="42"/>
      <c r="U13" s="43"/>
      <c r="V13" s="41"/>
      <c r="W13" s="41"/>
      <c r="X13" s="41"/>
      <c r="Y13" s="42"/>
      <c r="Z13" s="43"/>
      <c r="AA13" s="41"/>
      <c r="AB13" s="41"/>
      <c r="AC13" s="41"/>
      <c r="AD13" s="41"/>
      <c r="AE13" s="75"/>
      <c r="AF13" s="41"/>
      <c r="AG13" s="41"/>
      <c r="AH13" s="41"/>
      <c r="AI13" s="41"/>
      <c r="AJ13" s="75"/>
      <c r="AK13" s="41"/>
      <c r="AL13" s="41"/>
      <c r="AM13" s="41"/>
      <c r="AN13" s="41"/>
      <c r="AO13" s="75"/>
      <c r="AP13" s="41"/>
      <c r="AQ13" s="41"/>
      <c r="AR13" s="41"/>
      <c r="AS13" s="99">
        <v>2000</v>
      </c>
      <c r="AT13" s="527">
        <f t="shared" si="24"/>
        <v>2000</v>
      </c>
      <c r="AU13" s="41">
        <f t="shared" ref="AU13" si="31">AT13</f>
        <v>2000</v>
      </c>
      <c r="AV13" s="41">
        <v>1250</v>
      </c>
      <c r="AW13" s="41">
        <v>1250</v>
      </c>
      <c r="AX13" s="41">
        <v>750</v>
      </c>
      <c r="AY13" s="75">
        <f t="shared" ref="AY13" si="32">AX13</f>
        <v>750</v>
      </c>
      <c r="AZ13" s="41">
        <f>AY13</f>
        <v>750</v>
      </c>
      <c r="BA13" s="41">
        <v>0</v>
      </c>
      <c r="BB13" s="41">
        <v>0</v>
      </c>
      <c r="BC13" s="41">
        <f t="shared" ref="BC13" si="33">BB13</f>
        <v>0</v>
      </c>
      <c r="BD13" s="75">
        <f t="shared" si="17"/>
        <v>0</v>
      </c>
      <c r="BE13" s="450">
        <f t="shared" ref="BE13" si="34">BD13</f>
        <v>0</v>
      </c>
      <c r="BF13" s="41">
        <f t="shared" ref="BF13" si="35">BE13</f>
        <v>0</v>
      </c>
      <c r="BG13" s="41">
        <f t="shared" ref="BG13" si="36">BF13</f>
        <v>0</v>
      </c>
      <c r="BH13" s="41">
        <f t="shared" ref="BH13" si="37">BG13</f>
        <v>0</v>
      </c>
      <c r="BI13" s="75">
        <f t="shared" si="22"/>
        <v>0</v>
      </c>
      <c r="BJ13" s="21"/>
      <c r="BK13" s="21"/>
      <c r="BL13" s="21"/>
    </row>
    <row r="14" spans="1:64" s="25" customFormat="1">
      <c r="A14" s="3" t="s">
        <v>338</v>
      </c>
      <c r="B14" s="41"/>
      <c r="C14" s="41"/>
      <c r="D14" s="41"/>
      <c r="E14" s="42"/>
      <c r="F14" s="43"/>
      <c r="G14" s="41"/>
      <c r="H14" s="41"/>
      <c r="I14" s="41"/>
      <c r="J14" s="42"/>
      <c r="K14" s="43"/>
      <c r="L14" s="41"/>
      <c r="M14" s="41"/>
      <c r="N14" s="41"/>
      <c r="O14" s="42"/>
      <c r="P14" s="43"/>
      <c r="Q14" s="41"/>
      <c r="R14" s="41"/>
      <c r="S14" s="41"/>
      <c r="T14" s="42"/>
      <c r="U14" s="43"/>
      <c r="V14" s="41"/>
      <c r="W14" s="41"/>
      <c r="X14" s="41"/>
      <c r="Y14" s="42"/>
      <c r="Z14" s="43"/>
      <c r="AA14" s="41"/>
      <c r="AB14" s="41">
        <v>1500</v>
      </c>
      <c r="AC14" s="41">
        <f t="shared" si="28"/>
        <v>1500</v>
      </c>
      <c r="AD14" s="41">
        <f t="shared" si="28"/>
        <v>1500</v>
      </c>
      <c r="AE14" s="75">
        <f t="shared" si="28"/>
        <v>1500</v>
      </c>
      <c r="AF14" s="41">
        <f t="shared" si="28"/>
        <v>1500</v>
      </c>
      <c r="AG14" s="41">
        <v>1500</v>
      </c>
      <c r="AH14" s="41">
        <v>1500</v>
      </c>
      <c r="AI14" s="41">
        <f t="shared" si="28"/>
        <v>1500</v>
      </c>
      <c r="AJ14" s="75">
        <f t="shared" si="28"/>
        <v>1500</v>
      </c>
      <c r="AK14" s="41">
        <f t="shared" si="30"/>
        <v>1500</v>
      </c>
      <c r="AL14" s="41">
        <f t="shared" si="30"/>
        <v>1500</v>
      </c>
      <c r="AM14" s="41">
        <f t="shared" si="30"/>
        <v>1500</v>
      </c>
      <c r="AN14" s="41">
        <f t="shared" si="30"/>
        <v>1500</v>
      </c>
      <c r="AO14" s="75">
        <f t="shared" si="3"/>
        <v>1500</v>
      </c>
      <c r="AP14" s="41">
        <f t="shared" si="4"/>
        <v>1500</v>
      </c>
      <c r="AQ14" s="41">
        <f t="shared" si="5"/>
        <v>1500</v>
      </c>
      <c r="AR14" s="41">
        <f t="shared" si="6"/>
        <v>1500</v>
      </c>
      <c r="AS14" s="99">
        <f t="shared" si="7"/>
        <v>1500</v>
      </c>
      <c r="AT14" s="527">
        <f t="shared" si="24"/>
        <v>1500</v>
      </c>
      <c r="AU14" s="41">
        <f t="shared" si="8"/>
        <v>1500</v>
      </c>
      <c r="AV14" s="41">
        <f t="shared" si="9"/>
        <v>1500</v>
      </c>
      <c r="AW14" s="41">
        <f t="shared" si="10"/>
        <v>1500</v>
      </c>
      <c r="AX14" s="41">
        <f t="shared" si="11"/>
        <v>1500</v>
      </c>
      <c r="AY14" s="75">
        <f t="shared" si="12"/>
        <v>1500</v>
      </c>
      <c r="AZ14" s="389">
        <f>AX14</f>
        <v>1500</v>
      </c>
      <c r="BA14" s="389">
        <v>1500</v>
      </c>
      <c r="BB14" s="389">
        <v>0</v>
      </c>
      <c r="BC14" s="389">
        <v>0</v>
      </c>
      <c r="BD14" s="75">
        <f t="shared" si="17"/>
        <v>0</v>
      </c>
      <c r="BE14" s="450">
        <v>0</v>
      </c>
      <c r="BF14" s="41">
        <v>0</v>
      </c>
      <c r="BG14" s="41">
        <v>0</v>
      </c>
      <c r="BH14" s="41">
        <v>0</v>
      </c>
      <c r="BI14" s="75">
        <f t="shared" si="22"/>
        <v>0</v>
      </c>
      <c r="BJ14" s="21"/>
      <c r="BK14" s="21"/>
      <c r="BL14" s="21"/>
    </row>
    <row r="15" spans="1:64" s="25" customFormat="1">
      <c r="A15" s="3" t="s">
        <v>339</v>
      </c>
      <c r="B15" s="41"/>
      <c r="C15" s="41"/>
      <c r="D15" s="41"/>
      <c r="E15" s="42"/>
      <c r="F15" s="43"/>
      <c r="G15" s="41"/>
      <c r="H15" s="41"/>
      <c r="I15" s="41"/>
      <c r="J15" s="42"/>
      <c r="K15" s="43"/>
      <c r="L15" s="41"/>
      <c r="M15" s="41"/>
      <c r="N15" s="41"/>
      <c r="O15" s="42"/>
      <c r="P15" s="43"/>
      <c r="Q15" s="41"/>
      <c r="R15" s="41"/>
      <c r="S15" s="41"/>
      <c r="T15" s="42"/>
      <c r="U15" s="43"/>
      <c r="V15" s="41"/>
      <c r="W15" s="41"/>
      <c r="X15" s="41"/>
      <c r="Y15" s="42"/>
      <c r="Z15" s="43"/>
      <c r="AA15" s="41"/>
      <c r="AB15" s="41">
        <v>719</v>
      </c>
      <c r="AC15" s="41">
        <f t="shared" si="28"/>
        <v>719</v>
      </c>
      <c r="AD15" s="41">
        <f t="shared" si="28"/>
        <v>719</v>
      </c>
      <c r="AE15" s="75">
        <f t="shared" si="28"/>
        <v>719</v>
      </c>
      <c r="AF15" s="41">
        <f t="shared" si="28"/>
        <v>719</v>
      </c>
      <c r="AG15" s="41">
        <v>719</v>
      </c>
      <c r="AH15" s="41">
        <v>719</v>
      </c>
      <c r="AI15" s="41">
        <f t="shared" si="28"/>
        <v>719</v>
      </c>
      <c r="AJ15" s="75">
        <f t="shared" si="28"/>
        <v>719</v>
      </c>
      <c r="AK15" s="41">
        <f t="shared" si="30"/>
        <v>719</v>
      </c>
      <c r="AL15" s="41">
        <f t="shared" si="30"/>
        <v>719</v>
      </c>
      <c r="AM15" s="41">
        <f t="shared" si="30"/>
        <v>719</v>
      </c>
      <c r="AN15" s="41">
        <f t="shared" si="30"/>
        <v>719</v>
      </c>
      <c r="AO15" s="75">
        <f t="shared" si="3"/>
        <v>719</v>
      </c>
      <c r="AP15" s="41">
        <f t="shared" si="4"/>
        <v>719</v>
      </c>
      <c r="AQ15" s="41">
        <f t="shared" si="5"/>
        <v>719</v>
      </c>
      <c r="AR15" s="41">
        <f t="shared" si="6"/>
        <v>719</v>
      </c>
      <c r="AS15" s="99">
        <f t="shared" si="7"/>
        <v>719</v>
      </c>
      <c r="AT15" s="527">
        <f t="shared" si="24"/>
        <v>719</v>
      </c>
      <c r="AU15" s="41">
        <f t="shared" si="8"/>
        <v>719</v>
      </c>
      <c r="AV15" s="41">
        <f t="shared" si="9"/>
        <v>719</v>
      </c>
      <c r="AW15" s="41">
        <f t="shared" si="10"/>
        <v>719</v>
      </c>
      <c r="AX15" s="41">
        <f t="shared" si="11"/>
        <v>719</v>
      </c>
      <c r="AY15" s="75">
        <f t="shared" si="12"/>
        <v>719</v>
      </c>
      <c r="AZ15" s="41">
        <f t="shared" ref="AZ15:AZ59" si="38">AY15</f>
        <v>719</v>
      </c>
      <c r="BA15" s="41">
        <f t="shared" ref="BA15:BA59" si="39">AZ15</f>
        <v>719</v>
      </c>
      <c r="BB15" s="41">
        <f t="shared" ref="BB15:BB59" si="40">BA15</f>
        <v>719</v>
      </c>
      <c r="BC15" s="41">
        <f t="shared" ref="BC15:BC59" si="41">BB15</f>
        <v>719</v>
      </c>
      <c r="BD15" s="75">
        <f t="shared" si="17"/>
        <v>719</v>
      </c>
      <c r="BE15" s="389">
        <f>BD15</f>
        <v>719</v>
      </c>
      <c r="BF15" s="41">
        <v>719</v>
      </c>
      <c r="BG15" s="41">
        <v>719</v>
      </c>
      <c r="BH15" s="41">
        <v>0</v>
      </c>
      <c r="BI15" s="75">
        <f t="shared" si="22"/>
        <v>0</v>
      </c>
      <c r="BJ15" s="555"/>
      <c r="BK15" s="21"/>
      <c r="BL15" s="21"/>
    </row>
    <row r="16" spans="1:64" s="25" customFormat="1">
      <c r="A16" s="492" t="s">
        <v>440</v>
      </c>
      <c r="B16" s="41"/>
      <c r="C16" s="41"/>
      <c r="D16" s="41"/>
      <c r="E16" s="42"/>
      <c r="F16" s="43"/>
      <c r="G16" s="41"/>
      <c r="H16" s="41"/>
      <c r="I16" s="41"/>
      <c r="J16" s="42"/>
      <c r="K16" s="43"/>
      <c r="L16" s="41"/>
      <c r="M16" s="41"/>
      <c r="N16" s="41"/>
      <c r="O16" s="42"/>
      <c r="P16" s="43"/>
      <c r="Q16" s="41"/>
      <c r="R16" s="41"/>
      <c r="S16" s="41"/>
      <c r="T16" s="42"/>
      <c r="U16" s="43"/>
      <c r="V16" s="41"/>
      <c r="W16" s="41"/>
      <c r="X16" s="41"/>
      <c r="Y16" s="42"/>
      <c r="Z16" s="43"/>
      <c r="AA16" s="41"/>
      <c r="AB16" s="41"/>
      <c r="AC16" s="41"/>
      <c r="AD16" s="41"/>
      <c r="AE16" s="75"/>
      <c r="AF16" s="41"/>
      <c r="AG16" s="41"/>
      <c r="AH16" s="41"/>
      <c r="AI16" s="41"/>
      <c r="AJ16" s="75"/>
      <c r="AK16" s="41">
        <v>0</v>
      </c>
      <c r="AL16" s="41">
        <v>0</v>
      </c>
      <c r="AM16" s="41">
        <v>0</v>
      </c>
      <c r="AN16" s="41">
        <v>0</v>
      </c>
      <c r="AO16" s="75">
        <f t="shared" si="3"/>
        <v>0</v>
      </c>
      <c r="AP16" s="41">
        <v>500</v>
      </c>
      <c r="AQ16" s="41">
        <f t="shared" ref="AQ16" si="42">AP16</f>
        <v>500</v>
      </c>
      <c r="AR16" s="41">
        <f t="shared" ref="AR16" si="43">AQ16</f>
        <v>500</v>
      </c>
      <c r="AS16" s="99">
        <f t="shared" ref="AS16" si="44">AR16</f>
        <v>500</v>
      </c>
      <c r="AT16" s="527">
        <f t="shared" si="24"/>
        <v>500</v>
      </c>
      <c r="AU16" s="41">
        <f t="shared" si="8"/>
        <v>500</v>
      </c>
      <c r="AV16" s="41">
        <f t="shared" si="9"/>
        <v>500</v>
      </c>
      <c r="AW16" s="41">
        <f t="shared" si="10"/>
        <v>500</v>
      </c>
      <c r="AX16" s="41">
        <f t="shared" si="11"/>
        <v>500</v>
      </c>
      <c r="AY16" s="75">
        <f t="shared" si="12"/>
        <v>500</v>
      </c>
      <c r="AZ16" s="41">
        <f t="shared" si="38"/>
        <v>500</v>
      </c>
      <c r="BA16" s="41">
        <f t="shared" si="39"/>
        <v>500</v>
      </c>
      <c r="BB16" s="41">
        <f t="shared" si="40"/>
        <v>500</v>
      </c>
      <c r="BC16" s="41">
        <f t="shared" si="41"/>
        <v>500</v>
      </c>
      <c r="BD16" s="75">
        <f t="shared" si="17"/>
        <v>500</v>
      </c>
      <c r="BE16" s="389">
        <v>0</v>
      </c>
      <c r="BF16" s="41">
        <v>0</v>
      </c>
      <c r="BG16" s="41">
        <v>0</v>
      </c>
      <c r="BH16" s="41">
        <v>0</v>
      </c>
      <c r="BI16" s="75">
        <f t="shared" si="22"/>
        <v>0</v>
      </c>
      <c r="BJ16" s="555"/>
      <c r="BK16" s="21"/>
      <c r="BL16" s="21"/>
    </row>
    <row r="17" spans="1:64" s="25" customFormat="1">
      <c r="A17" s="525" t="s">
        <v>473</v>
      </c>
      <c r="B17" s="41"/>
      <c r="C17" s="41"/>
      <c r="D17" s="41"/>
      <c r="E17" s="42"/>
      <c r="F17" s="43"/>
      <c r="G17" s="41"/>
      <c r="H17" s="41"/>
      <c r="I17" s="41"/>
      <c r="J17" s="42"/>
      <c r="K17" s="43"/>
      <c r="L17" s="41"/>
      <c r="M17" s="41"/>
      <c r="N17" s="41"/>
      <c r="O17" s="42"/>
      <c r="P17" s="43"/>
      <c r="Q17" s="41"/>
      <c r="R17" s="41"/>
      <c r="S17" s="41"/>
      <c r="T17" s="42"/>
      <c r="U17" s="43"/>
      <c r="V17" s="41"/>
      <c r="W17" s="41"/>
      <c r="X17" s="41"/>
      <c r="Y17" s="42"/>
      <c r="Z17" s="43"/>
      <c r="AA17" s="41"/>
      <c r="AB17" s="41"/>
      <c r="AC17" s="41"/>
      <c r="AD17" s="41"/>
      <c r="AE17" s="75"/>
      <c r="AF17" s="41"/>
      <c r="AG17" s="41"/>
      <c r="AH17" s="41"/>
      <c r="AI17" s="41"/>
      <c r="AJ17" s="75"/>
      <c r="AK17" s="41"/>
      <c r="AL17" s="41"/>
      <c r="AM17" s="41"/>
      <c r="AN17" s="41"/>
      <c r="AO17" s="75"/>
      <c r="AP17" s="41"/>
      <c r="AQ17" s="41"/>
      <c r="AR17" s="41"/>
      <c r="AS17" s="99">
        <v>1250</v>
      </c>
      <c r="AT17" s="527">
        <f t="shared" si="24"/>
        <v>1250</v>
      </c>
      <c r="AU17" s="41">
        <f t="shared" ref="AU17:AU18" si="45">AT17</f>
        <v>1250</v>
      </c>
      <c r="AV17" s="41">
        <f t="shared" ref="AV17:AV18" si="46">AU17</f>
        <v>1250</v>
      </c>
      <c r="AW17" s="41">
        <f t="shared" ref="AW17:AW18" si="47">AV17</f>
        <v>1250</v>
      </c>
      <c r="AX17" s="41">
        <f t="shared" ref="AX17:AX18" si="48">AW17</f>
        <v>1250</v>
      </c>
      <c r="AY17" s="75">
        <f t="shared" ref="AY17:AY18" si="49">AX17</f>
        <v>1250</v>
      </c>
      <c r="AZ17" s="389">
        <f>AX17</f>
        <v>1250</v>
      </c>
      <c r="BA17" s="389">
        <f t="shared" si="39"/>
        <v>1250</v>
      </c>
      <c r="BB17" s="389">
        <v>1250</v>
      </c>
      <c r="BC17" s="389">
        <f>BB17</f>
        <v>1250</v>
      </c>
      <c r="BD17" s="75">
        <f t="shared" si="17"/>
        <v>1250</v>
      </c>
      <c r="BE17" s="389">
        <f>BD17</f>
        <v>1250</v>
      </c>
      <c r="BF17" s="41">
        <v>1250</v>
      </c>
      <c r="BG17" s="41">
        <v>1250</v>
      </c>
      <c r="BH17" s="41">
        <v>0</v>
      </c>
      <c r="BI17" s="75">
        <f t="shared" si="22"/>
        <v>0</v>
      </c>
      <c r="BJ17" s="555"/>
      <c r="BK17" s="21"/>
      <c r="BL17" s="21"/>
    </row>
    <row r="18" spans="1:64" s="25" customFormat="1">
      <c r="A18" s="525" t="s">
        <v>472</v>
      </c>
      <c r="B18" s="41"/>
      <c r="C18" s="41"/>
      <c r="D18" s="41"/>
      <c r="E18" s="42"/>
      <c r="F18" s="43"/>
      <c r="G18" s="41"/>
      <c r="H18" s="41"/>
      <c r="I18" s="41"/>
      <c r="J18" s="42"/>
      <c r="K18" s="43"/>
      <c r="L18" s="41"/>
      <c r="M18" s="41"/>
      <c r="N18" s="41"/>
      <c r="O18" s="42"/>
      <c r="P18" s="43"/>
      <c r="Q18" s="41"/>
      <c r="R18" s="41"/>
      <c r="S18" s="41"/>
      <c r="T18" s="42"/>
      <c r="U18" s="43"/>
      <c r="V18" s="41"/>
      <c r="W18" s="41"/>
      <c r="X18" s="41"/>
      <c r="Y18" s="42"/>
      <c r="Z18" s="43"/>
      <c r="AA18" s="41"/>
      <c r="AB18" s="41"/>
      <c r="AC18" s="41"/>
      <c r="AD18" s="41"/>
      <c r="AE18" s="75"/>
      <c r="AF18" s="41"/>
      <c r="AG18" s="41"/>
      <c r="AH18" s="41"/>
      <c r="AI18" s="41"/>
      <c r="AJ18" s="75"/>
      <c r="AK18" s="41"/>
      <c r="AL18" s="41"/>
      <c r="AM18" s="41"/>
      <c r="AN18" s="41"/>
      <c r="AO18" s="75"/>
      <c r="AP18" s="41"/>
      <c r="AQ18" s="41"/>
      <c r="AR18" s="41"/>
      <c r="AS18" s="99">
        <v>2000</v>
      </c>
      <c r="AT18" s="527">
        <f t="shared" si="24"/>
        <v>2000</v>
      </c>
      <c r="AU18" s="41">
        <f t="shared" si="45"/>
        <v>2000</v>
      </c>
      <c r="AV18" s="41">
        <f t="shared" si="46"/>
        <v>2000</v>
      </c>
      <c r="AW18" s="41">
        <f t="shared" si="47"/>
        <v>2000</v>
      </c>
      <c r="AX18" s="41">
        <f t="shared" si="48"/>
        <v>2000</v>
      </c>
      <c r="AY18" s="75">
        <f t="shared" si="49"/>
        <v>2000</v>
      </c>
      <c r="AZ18" s="389">
        <f>AX18</f>
        <v>2000</v>
      </c>
      <c r="BA18" s="389">
        <f t="shared" si="39"/>
        <v>2000</v>
      </c>
      <c r="BB18" s="389">
        <f t="shared" si="40"/>
        <v>2000</v>
      </c>
      <c r="BC18" s="389">
        <v>900</v>
      </c>
      <c r="BD18" s="75">
        <f t="shared" si="17"/>
        <v>900</v>
      </c>
      <c r="BE18" s="41">
        <f>BD18</f>
        <v>900</v>
      </c>
      <c r="BF18" s="41">
        <v>900</v>
      </c>
      <c r="BG18" s="41">
        <v>900</v>
      </c>
      <c r="BH18" s="41">
        <v>0</v>
      </c>
      <c r="BI18" s="75">
        <f t="shared" si="22"/>
        <v>0</v>
      </c>
      <c r="BJ18" s="555"/>
      <c r="BK18" s="21"/>
      <c r="BL18" s="21"/>
    </row>
    <row r="19" spans="1:64" s="25" customFormat="1">
      <c r="A19" s="3" t="s">
        <v>340</v>
      </c>
      <c r="B19" s="41"/>
      <c r="C19" s="41"/>
      <c r="D19" s="41"/>
      <c r="E19" s="42"/>
      <c r="F19" s="43"/>
      <c r="G19" s="41"/>
      <c r="H19" s="41"/>
      <c r="I19" s="41"/>
      <c r="J19" s="42"/>
      <c r="K19" s="43"/>
      <c r="L19" s="41"/>
      <c r="M19" s="41"/>
      <c r="N19" s="41"/>
      <c r="O19" s="42"/>
      <c r="P19" s="43"/>
      <c r="Q19" s="41"/>
      <c r="R19" s="41"/>
      <c r="S19" s="41"/>
      <c r="T19" s="42"/>
      <c r="U19" s="43"/>
      <c r="V19" s="41"/>
      <c r="W19" s="41"/>
      <c r="X19" s="41"/>
      <c r="Y19" s="42"/>
      <c r="Z19" s="43"/>
      <c r="AA19" s="41"/>
      <c r="AB19" s="41">
        <v>1100</v>
      </c>
      <c r="AC19" s="41">
        <f t="shared" si="28"/>
        <v>1100</v>
      </c>
      <c r="AD19" s="41">
        <f t="shared" si="28"/>
        <v>1100</v>
      </c>
      <c r="AE19" s="75">
        <f t="shared" si="28"/>
        <v>1100</v>
      </c>
      <c r="AF19" s="41">
        <f t="shared" si="28"/>
        <v>1100</v>
      </c>
      <c r="AG19" s="41">
        <v>1100</v>
      </c>
      <c r="AH19" s="41">
        <v>1100</v>
      </c>
      <c r="AI19" s="41">
        <f t="shared" si="28"/>
        <v>1100</v>
      </c>
      <c r="AJ19" s="75">
        <f t="shared" si="28"/>
        <v>1100</v>
      </c>
      <c r="AK19" s="41">
        <f t="shared" si="30"/>
        <v>1100</v>
      </c>
      <c r="AL19" s="41">
        <f t="shared" si="30"/>
        <v>1100</v>
      </c>
      <c r="AM19" s="41">
        <f t="shared" si="30"/>
        <v>1100</v>
      </c>
      <c r="AN19" s="41">
        <f t="shared" si="30"/>
        <v>1100</v>
      </c>
      <c r="AO19" s="75">
        <f t="shared" si="3"/>
        <v>1100</v>
      </c>
      <c r="AP19" s="41">
        <f t="shared" si="4"/>
        <v>1100</v>
      </c>
      <c r="AQ19" s="41">
        <f t="shared" si="5"/>
        <v>1100</v>
      </c>
      <c r="AR19" s="41">
        <f t="shared" si="6"/>
        <v>1100</v>
      </c>
      <c r="AS19" s="99">
        <f t="shared" si="7"/>
        <v>1100</v>
      </c>
      <c r="AT19" s="527">
        <f t="shared" si="24"/>
        <v>1100</v>
      </c>
      <c r="AU19" s="41">
        <f t="shared" si="8"/>
        <v>1100</v>
      </c>
      <c r="AV19" s="41">
        <f t="shared" si="9"/>
        <v>1100</v>
      </c>
      <c r="AW19" s="41">
        <f t="shared" si="10"/>
        <v>1100</v>
      </c>
      <c r="AX19" s="41">
        <f t="shared" si="11"/>
        <v>1100</v>
      </c>
      <c r="AY19" s="75">
        <f t="shared" si="12"/>
        <v>1100</v>
      </c>
      <c r="AZ19" s="41">
        <f t="shared" si="38"/>
        <v>1100</v>
      </c>
      <c r="BA19" s="41">
        <f t="shared" si="39"/>
        <v>1100</v>
      </c>
      <c r="BB19" s="41">
        <f t="shared" si="40"/>
        <v>1100</v>
      </c>
      <c r="BC19" s="41">
        <f t="shared" si="41"/>
        <v>1100</v>
      </c>
      <c r="BD19" s="75">
        <f t="shared" si="17"/>
        <v>1100</v>
      </c>
      <c r="BE19" s="41">
        <f t="shared" ref="BE19:BE59" si="50">BD19</f>
        <v>1100</v>
      </c>
      <c r="BF19" s="41">
        <f t="shared" ref="BF19:BF59" si="51">BE19</f>
        <v>1100</v>
      </c>
      <c r="BG19" s="41">
        <f t="shared" ref="BG19:BG59" si="52">BF19</f>
        <v>1100</v>
      </c>
      <c r="BH19" s="41">
        <f t="shared" ref="BH19:BH59" si="53">BG19</f>
        <v>1100</v>
      </c>
      <c r="BI19" s="75">
        <f t="shared" si="22"/>
        <v>1100</v>
      </c>
      <c r="BJ19" s="21"/>
      <c r="BK19" s="21"/>
      <c r="BL19" s="21"/>
    </row>
    <row r="20" spans="1:64" s="25" customFormat="1">
      <c r="A20" s="3" t="s">
        <v>341</v>
      </c>
      <c r="B20" s="41"/>
      <c r="C20" s="41"/>
      <c r="D20" s="41"/>
      <c r="E20" s="42"/>
      <c r="F20" s="43"/>
      <c r="G20" s="41"/>
      <c r="H20" s="41"/>
      <c r="I20" s="41"/>
      <c r="J20" s="42"/>
      <c r="K20" s="43"/>
      <c r="L20" s="41"/>
      <c r="M20" s="41"/>
      <c r="N20" s="41"/>
      <c r="O20" s="42"/>
      <c r="P20" s="43"/>
      <c r="Q20" s="41"/>
      <c r="R20" s="41"/>
      <c r="S20" s="41"/>
      <c r="T20" s="42"/>
      <c r="U20" s="43"/>
      <c r="V20" s="41"/>
      <c r="W20" s="41"/>
      <c r="X20" s="41"/>
      <c r="Y20" s="42"/>
      <c r="Z20" s="43"/>
      <c r="AA20" s="41"/>
      <c r="AB20" s="41">
        <v>1300</v>
      </c>
      <c r="AC20" s="41">
        <f t="shared" si="28"/>
        <v>1300</v>
      </c>
      <c r="AD20" s="41">
        <f t="shared" si="28"/>
        <v>1300</v>
      </c>
      <c r="AE20" s="75">
        <f t="shared" si="28"/>
        <v>1300</v>
      </c>
      <c r="AF20" s="41">
        <f t="shared" si="28"/>
        <v>1300</v>
      </c>
      <c r="AG20" s="41">
        <v>1300</v>
      </c>
      <c r="AH20" s="41">
        <v>1300</v>
      </c>
      <c r="AI20" s="41">
        <f t="shared" si="28"/>
        <v>1300</v>
      </c>
      <c r="AJ20" s="75">
        <f t="shared" si="28"/>
        <v>1300</v>
      </c>
      <c r="AK20" s="41">
        <f t="shared" si="30"/>
        <v>1300</v>
      </c>
      <c r="AL20" s="41">
        <f t="shared" si="30"/>
        <v>1300</v>
      </c>
      <c r="AM20" s="41">
        <f t="shared" si="30"/>
        <v>1300</v>
      </c>
      <c r="AN20" s="41">
        <f t="shared" si="30"/>
        <v>1300</v>
      </c>
      <c r="AO20" s="75">
        <f t="shared" si="3"/>
        <v>1300</v>
      </c>
      <c r="AP20" s="41">
        <f t="shared" si="4"/>
        <v>1300</v>
      </c>
      <c r="AQ20" s="41">
        <f t="shared" si="5"/>
        <v>1300</v>
      </c>
      <c r="AR20" s="41">
        <f t="shared" si="6"/>
        <v>1300</v>
      </c>
      <c r="AS20" s="99">
        <f t="shared" si="7"/>
        <v>1300</v>
      </c>
      <c r="AT20" s="527">
        <f t="shared" si="24"/>
        <v>1300</v>
      </c>
      <c r="AU20" s="41">
        <f t="shared" si="8"/>
        <v>1300</v>
      </c>
      <c r="AV20" s="41">
        <f t="shared" si="9"/>
        <v>1300</v>
      </c>
      <c r="AW20" s="41">
        <f t="shared" si="10"/>
        <v>1300</v>
      </c>
      <c r="AX20" s="41">
        <f t="shared" si="11"/>
        <v>1300</v>
      </c>
      <c r="AY20" s="75">
        <f t="shared" si="12"/>
        <v>1300</v>
      </c>
      <c r="AZ20" s="41">
        <f t="shared" si="38"/>
        <v>1300</v>
      </c>
      <c r="BA20" s="41">
        <f t="shared" si="39"/>
        <v>1300</v>
      </c>
      <c r="BB20" s="41">
        <f t="shared" si="40"/>
        <v>1300</v>
      </c>
      <c r="BC20" s="41">
        <f t="shared" si="41"/>
        <v>1300</v>
      </c>
      <c r="BD20" s="75">
        <f t="shared" si="17"/>
        <v>1300</v>
      </c>
      <c r="BE20" s="41">
        <f t="shared" si="50"/>
        <v>1300</v>
      </c>
      <c r="BF20" s="41">
        <f t="shared" si="51"/>
        <v>1300</v>
      </c>
      <c r="BG20" s="41">
        <f t="shared" si="52"/>
        <v>1300</v>
      </c>
      <c r="BH20" s="41">
        <f t="shared" si="53"/>
        <v>1300</v>
      </c>
      <c r="BI20" s="75">
        <f t="shared" si="22"/>
        <v>1300</v>
      </c>
      <c r="BJ20" s="21"/>
      <c r="BK20" s="21"/>
      <c r="BL20" s="21"/>
    </row>
    <row r="21" spans="1:64" s="25" customFormat="1">
      <c r="A21" s="3" t="s">
        <v>342</v>
      </c>
      <c r="B21" s="41"/>
      <c r="C21" s="41"/>
      <c r="D21" s="41"/>
      <c r="E21" s="42"/>
      <c r="F21" s="43"/>
      <c r="G21" s="41"/>
      <c r="H21" s="41"/>
      <c r="I21" s="41"/>
      <c r="J21" s="42"/>
      <c r="K21" s="43"/>
      <c r="L21" s="41"/>
      <c r="M21" s="41"/>
      <c r="N21" s="41"/>
      <c r="O21" s="42"/>
      <c r="P21" s="43"/>
      <c r="Q21" s="41"/>
      <c r="R21" s="41"/>
      <c r="S21" s="41"/>
      <c r="T21" s="42"/>
      <c r="U21" s="43"/>
      <c r="V21" s="41"/>
      <c r="W21" s="41"/>
      <c r="X21" s="41"/>
      <c r="Y21" s="42"/>
      <c r="Z21" s="43"/>
      <c r="AA21" s="41"/>
      <c r="AB21" s="41">
        <v>382</v>
      </c>
      <c r="AC21" s="41">
        <f t="shared" si="28"/>
        <v>382</v>
      </c>
      <c r="AD21" s="41">
        <f t="shared" si="28"/>
        <v>382</v>
      </c>
      <c r="AE21" s="75">
        <f t="shared" si="28"/>
        <v>382</v>
      </c>
      <c r="AF21" s="41">
        <f t="shared" si="28"/>
        <v>382</v>
      </c>
      <c r="AG21" s="41">
        <v>382</v>
      </c>
      <c r="AH21" s="41">
        <v>382</v>
      </c>
      <c r="AI21" s="41">
        <f t="shared" si="28"/>
        <v>382</v>
      </c>
      <c r="AJ21" s="75">
        <f t="shared" si="28"/>
        <v>382</v>
      </c>
      <c r="AK21" s="41">
        <f t="shared" si="30"/>
        <v>382</v>
      </c>
      <c r="AL21" s="41">
        <f t="shared" si="30"/>
        <v>382</v>
      </c>
      <c r="AM21" s="41">
        <f t="shared" si="30"/>
        <v>382</v>
      </c>
      <c r="AN21" s="41">
        <f t="shared" si="30"/>
        <v>382</v>
      </c>
      <c r="AO21" s="75">
        <f t="shared" si="3"/>
        <v>382</v>
      </c>
      <c r="AP21" s="41">
        <f t="shared" si="4"/>
        <v>382</v>
      </c>
      <c r="AQ21" s="41">
        <f t="shared" si="5"/>
        <v>382</v>
      </c>
      <c r="AR21" s="41">
        <f t="shared" si="6"/>
        <v>382</v>
      </c>
      <c r="AS21" s="99">
        <f t="shared" si="7"/>
        <v>382</v>
      </c>
      <c r="AT21" s="527">
        <f t="shared" si="24"/>
        <v>382</v>
      </c>
      <c r="AU21" s="41">
        <f t="shared" si="8"/>
        <v>382</v>
      </c>
      <c r="AV21" s="41">
        <f t="shared" si="9"/>
        <v>382</v>
      </c>
      <c r="AW21" s="41">
        <f t="shared" si="10"/>
        <v>382</v>
      </c>
      <c r="AX21" s="41">
        <f t="shared" si="11"/>
        <v>382</v>
      </c>
      <c r="AY21" s="75">
        <f t="shared" si="12"/>
        <v>382</v>
      </c>
      <c r="AZ21" s="41">
        <f t="shared" si="38"/>
        <v>382</v>
      </c>
      <c r="BA21" s="41">
        <f t="shared" si="39"/>
        <v>382</v>
      </c>
      <c r="BB21" s="41">
        <f t="shared" si="40"/>
        <v>382</v>
      </c>
      <c r="BC21" s="41">
        <f t="shared" si="41"/>
        <v>382</v>
      </c>
      <c r="BD21" s="75">
        <f t="shared" si="17"/>
        <v>382</v>
      </c>
      <c r="BE21" s="41">
        <f t="shared" si="50"/>
        <v>382</v>
      </c>
      <c r="BF21" s="41">
        <f t="shared" si="51"/>
        <v>382</v>
      </c>
      <c r="BG21" s="41">
        <f t="shared" si="52"/>
        <v>382</v>
      </c>
      <c r="BH21" s="41">
        <f t="shared" si="53"/>
        <v>382</v>
      </c>
      <c r="BI21" s="75">
        <f t="shared" si="22"/>
        <v>382</v>
      </c>
      <c r="BJ21" s="21"/>
      <c r="BK21" s="21"/>
      <c r="BL21" s="21"/>
    </row>
    <row r="22" spans="1:64" s="25" customFormat="1">
      <c r="A22" s="3" t="s">
        <v>343</v>
      </c>
      <c r="B22" s="41"/>
      <c r="C22" s="41"/>
      <c r="D22" s="41"/>
      <c r="E22" s="42"/>
      <c r="F22" s="43"/>
      <c r="G22" s="41"/>
      <c r="H22" s="41"/>
      <c r="I22" s="41"/>
      <c r="J22" s="42"/>
      <c r="K22" s="43"/>
      <c r="L22" s="41"/>
      <c r="M22" s="41"/>
      <c r="N22" s="41"/>
      <c r="O22" s="42"/>
      <c r="P22" s="43"/>
      <c r="Q22" s="41"/>
      <c r="R22" s="41"/>
      <c r="S22" s="41"/>
      <c r="T22" s="42"/>
      <c r="U22" s="43"/>
      <c r="V22" s="41"/>
      <c r="W22" s="41"/>
      <c r="X22" s="41"/>
      <c r="Y22" s="42"/>
      <c r="Z22" s="43"/>
      <c r="AA22" s="41"/>
      <c r="AB22" s="41">
        <v>142</v>
      </c>
      <c r="AC22" s="41">
        <f t="shared" si="28"/>
        <v>142</v>
      </c>
      <c r="AD22" s="41">
        <f t="shared" si="28"/>
        <v>142</v>
      </c>
      <c r="AE22" s="75">
        <f t="shared" si="28"/>
        <v>142</v>
      </c>
      <c r="AF22" s="41">
        <v>141</v>
      </c>
      <c r="AG22" s="41">
        <v>141</v>
      </c>
      <c r="AH22" s="41">
        <v>141</v>
      </c>
      <c r="AI22" s="41">
        <v>135</v>
      </c>
      <c r="AJ22" s="75">
        <f t="shared" si="28"/>
        <v>135</v>
      </c>
      <c r="AK22" s="41">
        <f t="shared" si="30"/>
        <v>135</v>
      </c>
      <c r="AL22" s="41">
        <f t="shared" si="30"/>
        <v>135</v>
      </c>
      <c r="AM22" s="41">
        <f t="shared" si="30"/>
        <v>135</v>
      </c>
      <c r="AN22" s="41">
        <f t="shared" si="30"/>
        <v>135</v>
      </c>
      <c r="AO22" s="75">
        <f t="shared" si="3"/>
        <v>135</v>
      </c>
      <c r="AP22" s="41">
        <f t="shared" si="4"/>
        <v>135</v>
      </c>
      <c r="AQ22" s="41">
        <f t="shared" si="5"/>
        <v>135</v>
      </c>
      <c r="AR22" s="41">
        <f t="shared" si="6"/>
        <v>135</v>
      </c>
      <c r="AS22" s="99">
        <f t="shared" si="7"/>
        <v>135</v>
      </c>
      <c r="AT22" s="527">
        <f t="shared" si="24"/>
        <v>135</v>
      </c>
      <c r="AU22" s="41">
        <f t="shared" si="8"/>
        <v>135</v>
      </c>
      <c r="AV22" s="41">
        <f t="shared" si="9"/>
        <v>135</v>
      </c>
      <c r="AW22" s="41">
        <f t="shared" si="10"/>
        <v>135</v>
      </c>
      <c r="AX22" s="41">
        <f t="shared" si="11"/>
        <v>135</v>
      </c>
      <c r="AY22" s="75">
        <f t="shared" si="12"/>
        <v>135</v>
      </c>
      <c r="AZ22" s="41">
        <f t="shared" si="38"/>
        <v>135</v>
      </c>
      <c r="BA22" s="41">
        <f t="shared" si="39"/>
        <v>135</v>
      </c>
      <c r="BB22" s="41">
        <f t="shared" si="40"/>
        <v>135</v>
      </c>
      <c r="BC22" s="41">
        <f t="shared" si="41"/>
        <v>135</v>
      </c>
      <c r="BD22" s="75">
        <f t="shared" si="17"/>
        <v>135</v>
      </c>
      <c r="BE22" s="41">
        <f t="shared" si="50"/>
        <v>135</v>
      </c>
      <c r="BF22" s="41">
        <f t="shared" si="51"/>
        <v>135</v>
      </c>
      <c r="BG22" s="41">
        <f t="shared" si="52"/>
        <v>135</v>
      </c>
      <c r="BH22" s="41">
        <f t="shared" si="53"/>
        <v>135</v>
      </c>
      <c r="BI22" s="75">
        <f t="shared" si="22"/>
        <v>135</v>
      </c>
      <c r="BJ22" s="21"/>
      <c r="BK22" s="21"/>
      <c r="BL22" s="21"/>
    </row>
    <row r="23" spans="1:64" s="25" customFormat="1">
      <c r="A23" s="3" t="s">
        <v>344</v>
      </c>
      <c r="B23" s="41"/>
      <c r="C23" s="41"/>
      <c r="D23" s="41"/>
      <c r="E23" s="42"/>
      <c r="F23" s="43"/>
      <c r="G23" s="41"/>
      <c r="H23" s="41"/>
      <c r="I23" s="41"/>
      <c r="J23" s="42"/>
      <c r="K23" s="43"/>
      <c r="L23" s="41"/>
      <c r="M23" s="41"/>
      <c r="N23" s="41"/>
      <c r="O23" s="42"/>
      <c r="P23" s="43"/>
      <c r="Q23" s="41"/>
      <c r="R23" s="41"/>
      <c r="S23" s="41"/>
      <c r="T23" s="42"/>
      <c r="U23" s="43"/>
      <c r="V23" s="41"/>
      <c r="W23" s="41"/>
      <c r="X23" s="41"/>
      <c r="Y23" s="42"/>
      <c r="Z23" s="43"/>
      <c r="AA23" s="41"/>
      <c r="AB23" s="41">
        <v>400</v>
      </c>
      <c r="AC23" s="41">
        <f t="shared" si="28"/>
        <v>400</v>
      </c>
      <c r="AD23" s="41">
        <f t="shared" si="28"/>
        <v>400</v>
      </c>
      <c r="AE23" s="75">
        <f t="shared" si="28"/>
        <v>400</v>
      </c>
      <c r="AF23" s="41">
        <f t="shared" si="28"/>
        <v>400</v>
      </c>
      <c r="AG23" s="41">
        <v>400</v>
      </c>
      <c r="AH23" s="41">
        <v>400</v>
      </c>
      <c r="AI23" s="41">
        <v>285</v>
      </c>
      <c r="AJ23" s="75">
        <f t="shared" si="28"/>
        <v>285</v>
      </c>
      <c r="AK23" s="41">
        <f t="shared" si="30"/>
        <v>285</v>
      </c>
      <c r="AL23" s="41">
        <f t="shared" si="30"/>
        <v>285</v>
      </c>
      <c r="AM23" s="41">
        <f t="shared" si="30"/>
        <v>285</v>
      </c>
      <c r="AN23" s="41">
        <f t="shared" si="30"/>
        <v>285</v>
      </c>
      <c r="AO23" s="75">
        <f t="shared" si="3"/>
        <v>285</v>
      </c>
      <c r="AP23" s="41">
        <f t="shared" si="4"/>
        <v>285</v>
      </c>
      <c r="AQ23" s="41">
        <f t="shared" si="5"/>
        <v>285</v>
      </c>
      <c r="AR23" s="41">
        <f t="shared" si="6"/>
        <v>285</v>
      </c>
      <c r="AS23" s="99">
        <f t="shared" si="7"/>
        <v>285</v>
      </c>
      <c r="AT23" s="527">
        <f t="shared" si="24"/>
        <v>285</v>
      </c>
      <c r="AU23" s="41">
        <f t="shared" si="8"/>
        <v>285</v>
      </c>
      <c r="AV23" s="41">
        <f t="shared" si="9"/>
        <v>285</v>
      </c>
      <c r="AW23" s="41">
        <f t="shared" si="10"/>
        <v>285</v>
      </c>
      <c r="AX23" s="41">
        <f t="shared" si="11"/>
        <v>285</v>
      </c>
      <c r="AY23" s="75">
        <f t="shared" si="12"/>
        <v>285</v>
      </c>
      <c r="AZ23" s="41">
        <f t="shared" si="38"/>
        <v>285</v>
      </c>
      <c r="BA23" s="41">
        <f t="shared" si="39"/>
        <v>285</v>
      </c>
      <c r="BB23" s="41">
        <f t="shared" si="40"/>
        <v>285</v>
      </c>
      <c r="BC23" s="41">
        <f t="shared" si="41"/>
        <v>285</v>
      </c>
      <c r="BD23" s="75">
        <f t="shared" si="17"/>
        <v>285</v>
      </c>
      <c r="BE23" s="41">
        <f t="shared" si="50"/>
        <v>285</v>
      </c>
      <c r="BF23" s="41">
        <f t="shared" si="51"/>
        <v>285</v>
      </c>
      <c r="BG23" s="41">
        <f t="shared" si="52"/>
        <v>285</v>
      </c>
      <c r="BH23" s="41">
        <f t="shared" si="53"/>
        <v>285</v>
      </c>
      <c r="BI23" s="75">
        <f t="shared" si="22"/>
        <v>285</v>
      </c>
      <c r="BJ23" s="21"/>
      <c r="BK23" s="21"/>
      <c r="BL23" s="21"/>
    </row>
    <row r="24" spans="1:64" s="25" customFormat="1">
      <c r="A24" s="3" t="s">
        <v>345</v>
      </c>
      <c r="B24" s="41"/>
      <c r="C24" s="41"/>
      <c r="D24" s="41"/>
      <c r="E24" s="42"/>
      <c r="F24" s="43"/>
      <c r="G24" s="41"/>
      <c r="H24" s="41"/>
      <c r="I24" s="41"/>
      <c r="J24" s="42"/>
      <c r="K24" s="43"/>
      <c r="L24" s="41"/>
      <c r="M24" s="41"/>
      <c r="N24" s="41"/>
      <c r="O24" s="42"/>
      <c r="P24" s="43"/>
      <c r="Q24" s="41"/>
      <c r="R24" s="41"/>
      <c r="S24" s="41"/>
      <c r="T24" s="42"/>
      <c r="U24" s="43"/>
      <c r="V24" s="41"/>
      <c r="W24" s="41"/>
      <c r="X24" s="41"/>
      <c r="Y24" s="42"/>
      <c r="Z24" s="43"/>
      <c r="AA24" s="41"/>
      <c r="AB24" s="41">
        <v>185</v>
      </c>
      <c r="AC24" s="41">
        <f t="shared" si="28"/>
        <v>185</v>
      </c>
      <c r="AD24" s="41">
        <f t="shared" si="28"/>
        <v>185</v>
      </c>
      <c r="AE24" s="75">
        <f t="shared" si="28"/>
        <v>185</v>
      </c>
      <c r="AF24" s="41">
        <f t="shared" si="28"/>
        <v>185</v>
      </c>
      <c r="AG24" s="41">
        <v>185</v>
      </c>
      <c r="AH24" s="41">
        <v>185</v>
      </c>
      <c r="AI24" s="41">
        <f t="shared" si="28"/>
        <v>185</v>
      </c>
      <c r="AJ24" s="75">
        <f t="shared" si="28"/>
        <v>185</v>
      </c>
      <c r="AK24" s="41">
        <f t="shared" si="30"/>
        <v>185</v>
      </c>
      <c r="AL24" s="41">
        <f t="shared" si="30"/>
        <v>185</v>
      </c>
      <c r="AM24" s="41">
        <f t="shared" si="30"/>
        <v>185</v>
      </c>
      <c r="AN24" s="41">
        <f t="shared" si="30"/>
        <v>185</v>
      </c>
      <c r="AO24" s="75">
        <f t="shared" ref="AO24:AO61" si="54">AN24</f>
        <v>185</v>
      </c>
      <c r="AP24" s="41">
        <f t="shared" si="4"/>
        <v>185</v>
      </c>
      <c r="AQ24" s="41">
        <f t="shared" si="5"/>
        <v>185</v>
      </c>
      <c r="AR24" s="41">
        <f t="shared" si="6"/>
        <v>185</v>
      </c>
      <c r="AS24" s="99">
        <f t="shared" si="7"/>
        <v>185</v>
      </c>
      <c r="AT24" s="527">
        <f t="shared" si="24"/>
        <v>185</v>
      </c>
      <c r="AU24" s="41">
        <f t="shared" si="8"/>
        <v>185</v>
      </c>
      <c r="AV24" s="41">
        <f t="shared" si="9"/>
        <v>185</v>
      </c>
      <c r="AW24" s="41">
        <f t="shared" si="10"/>
        <v>185</v>
      </c>
      <c r="AX24" s="41">
        <f t="shared" si="11"/>
        <v>185</v>
      </c>
      <c r="AY24" s="75">
        <f t="shared" si="12"/>
        <v>185</v>
      </c>
      <c r="AZ24" s="41">
        <f t="shared" si="38"/>
        <v>185</v>
      </c>
      <c r="BA24" s="41">
        <f t="shared" si="39"/>
        <v>185</v>
      </c>
      <c r="BB24" s="41">
        <f t="shared" si="40"/>
        <v>185</v>
      </c>
      <c r="BC24" s="41">
        <f t="shared" si="41"/>
        <v>185</v>
      </c>
      <c r="BD24" s="75">
        <f t="shared" si="17"/>
        <v>185</v>
      </c>
      <c r="BE24" s="41">
        <f t="shared" si="50"/>
        <v>185</v>
      </c>
      <c r="BF24" s="41">
        <f t="shared" si="51"/>
        <v>185</v>
      </c>
      <c r="BG24" s="41">
        <f t="shared" si="52"/>
        <v>185</v>
      </c>
      <c r="BH24" s="41">
        <f t="shared" si="53"/>
        <v>185</v>
      </c>
      <c r="BI24" s="75">
        <f t="shared" si="22"/>
        <v>185</v>
      </c>
      <c r="BJ24" s="21"/>
      <c r="BK24" s="21"/>
      <c r="BL24" s="21"/>
    </row>
    <row r="25" spans="1:64" s="25" customFormat="1">
      <c r="A25" s="3" t="s">
        <v>346</v>
      </c>
      <c r="B25" s="41"/>
      <c r="C25" s="41"/>
      <c r="D25" s="41"/>
      <c r="E25" s="42"/>
      <c r="F25" s="43"/>
      <c r="G25" s="41"/>
      <c r="H25" s="41"/>
      <c r="I25" s="41"/>
      <c r="J25" s="42"/>
      <c r="K25" s="43"/>
      <c r="L25" s="41"/>
      <c r="M25" s="41"/>
      <c r="N25" s="41"/>
      <c r="O25" s="42"/>
      <c r="P25" s="43"/>
      <c r="Q25" s="41"/>
      <c r="R25" s="41"/>
      <c r="S25" s="41"/>
      <c r="T25" s="42"/>
      <c r="U25" s="43"/>
      <c r="V25" s="41"/>
      <c r="W25" s="41"/>
      <c r="X25" s="41"/>
      <c r="Y25" s="42"/>
      <c r="Z25" s="43"/>
      <c r="AA25" s="41"/>
      <c r="AB25" s="41">
        <v>3000</v>
      </c>
      <c r="AC25" s="41">
        <f t="shared" si="28"/>
        <v>3000</v>
      </c>
      <c r="AD25" s="41">
        <f t="shared" si="28"/>
        <v>3000</v>
      </c>
      <c r="AE25" s="75">
        <f t="shared" si="28"/>
        <v>3000</v>
      </c>
      <c r="AF25" s="41">
        <f t="shared" si="28"/>
        <v>3000</v>
      </c>
      <c r="AG25" s="41">
        <v>3000</v>
      </c>
      <c r="AH25" s="41">
        <v>3000</v>
      </c>
      <c r="AI25" s="41">
        <f t="shared" si="28"/>
        <v>3000</v>
      </c>
      <c r="AJ25" s="75">
        <f t="shared" si="28"/>
        <v>3000</v>
      </c>
      <c r="AK25" s="41">
        <f t="shared" si="30"/>
        <v>3000</v>
      </c>
      <c r="AL25" s="41">
        <f t="shared" si="30"/>
        <v>3000</v>
      </c>
      <c r="AM25" s="41">
        <f t="shared" si="30"/>
        <v>3000</v>
      </c>
      <c r="AN25" s="41">
        <f t="shared" si="30"/>
        <v>3000</v>
      </c>
      <c r="AO25" s="75">
        <f t="shared" si="54"/>
        <v>3000</v>
      </c>
      <c r="AP25" s="41">
        <f t="shared" si="4"/>
        <v>3000</v>
      </c>
      <c r="AQ25" s="41">
        <f t="shared" si="5"/>
        <v>3000</v>
      </c>
      <c r="AR25" s="41">
        <f t="shared" si="6"/>
        <v>3000</v>
      </c>
      <c r="AS25" s="99">
        <f t="shared" si="7"/>
        <v>3000</v>
      </c>
      <c r="AT25" s="527">
        <f t="shared" si="24"/>
        <v>3000</v>
      </c>
      <c r="AU25" s="41">
        <f t="shared" si="8"/>
        <v>3000</v>
      </c>
      <c r="AV25" s="41">
        <f t="shared" si="9"/>
        <v>3000</v>
      </c>
      <c r="AW25" s="41">
        <f t="shared" si="10"/>
        <v>3000</v>
      </c>
      <c r="AX25" s="41">
        <f t="shared" si="11"/>
        <v>3000</v>
      </c>
      <c r="AY25" s="75">
        <f t="shared" si="12"/>
        <v>3000</v>
      </c>
      <c r="AZ25" s="41">
        <f t="shared" si="38"/>
        <v>3000</v>
      </c>
      <c r="BA25" s="41">
        <f t="shared" si="39"/>
        <v>3000</v>
      </c>
      <c r="BB25" s="41">
        <f t="shared" si="40"/>
        <v>3000</v>
      </c>
      <c r="BC25" s="41">
        <f t="shared" si="41"/>
        <v>3000</v>
      </c>
      <c r="BD25" s="75">
        <f t="shared" si="17"/>
        <v>3000</v>
      </c>
      <c r="BE25" s="41">
        <f t="shared" si="50"/>
        <v>3000</v>
      </c>
      <c r="BF25" s="41">
        <f t="shared" si="51"/>
        <v>3000</v>
      </c>
      <c r="BG25" s="41">
        <f t="shared" si="52"/>
        <v>3000</v>
      </c>
      <c r="BH25" s="41">
        <f t="shared" si="53"/>
        <v>3000</v>
      </c>
      <c r="BI25" s="75">
        <f t="shared" si="22"/>
        <v>3000</v>
      </c>
      <c r="BJ25" s="21"/>
      <c r="BK25" s="21"/>
      <c r="BL25" s="21"/>
    </row>
    <row r="26" spans="1:64" s="25" customFormat="1">
      <c r="A26" s="525" t="s">
        <v>477</v>
      </c>
      <c r="B26" s="41"/>
      <c r="C26" s="41"/>
      <c r="D26" s="41"/>
      <c r="E26" s="42"/>
      <c r="F26" s="43"/>
      <c r="G26" s="41"/>
      <c r="H26" s="41"/>
      <c r="I26" s="41"/>
      <c r="J26" s="42"/>
      <c r="K26" s="43"/>
      <c r="L26" s="41"/>
      <c r="M26" s="41"/>
      <c r="N26" s="41"/>
      <c r="O26" s="42"/>
      <c r="P26" s="43"/>
      <c r="Q26" s="41"/>
      <c r="R26" s="41"/>
      <c r="S26" s="41"/>
      <c r="T26" s="42"/>
      <c r="U26" s="43"/>
      <c r="V26" s="41"/>
      <c r="W26" s="41"/>
      <c r="X26" s="41"/>
      <c r="Y26" s="42"/>
      <c r="Z26" s="43"/>
      <c r="AA26" s="41"/>
      <c r="AB26" s="41"/>
      <c r="AC26" s="41"/>
      <c r="AD26" s="41"/>
      <c r="AE26" s="75"/>
      <c r="AF26" s="41"/>
      <c r="AG26" s="41"/>
      <c r="AH26" s="41"/>
      <c r="AI26" s="41"/>
      <c r="AJ26" s="75"/>
      <c r="AK26" s="41"/>
      <c r="AL26" s="41"/>
      <c r="AM26" s="41"/>
      <c r="AN26" s="41"/>
      <c r="AO26" s="75"/>
      <c r="AP26" s="41"/>
      <c r="AQ26" s="41"/>
      <c r="AR26" s="41"/>
      <c r="AS26" s="99">
        <v>500</v>
      </c>
      <c r="AT26" s="527">
        <f t="shared" si="24"/>
        <v>500</v>
      </c>
      <c r="AU26" s="41">
        <f t="shared" ref="AU26" si="55">AT26</f>
        <v>500</v>
      </c>
      <c r="AV26" s="41">
        <f t="shared" ref="AV26" si="56">AU26</f>
        <v>500</v>
      </c>
      <c r="AW26" s="41">
        <f t="shared" ref="AW26" si="57">AV26</f>
        <v>500</v>
      </c>
      <c r="AX26" s="41">
        <f t="shared" ref="AX26" si="58">AW26</f>
        <v>500</v>
      </c>
      <c r="AY26" s="75">
        <f t="shared" ref="AY26" si="59">AX26</f>
        <v>500</v>
      </c>
      <c r="AZ26" s="41">
        <f t="shared" si="38"/>
        <v>500</v>
      </c>
      <c r="BA26" s="41">
        <f t="shared" si="39"/>
        <v>500</v>
      </c>
      <c r="BB26" s="41">
        <f t="shared" si="40"/>
        <v>500</v>
      </c>
      <c r="BC26" s="41">
        <f t="shared" si="41"/>
        <v>500</v>
      </c>
      <c r="BD26" s="75">
        <f t="shared" si="17"/>
        <v>500</v>
      </c>
      <c r="BE26" s="41">
        <f t="shared" si="50"/>
        <v>500</v>
      </c>
      <c r="BF26" s="41">
        <f t="shared" si="51"/>
        <v>500</v>
      </c>
      <c r="BG26" s="41">
        <f t="shared" si="52"/>
        <v>500</v>
      </c>
      <c r="BH26" s="41">
        <f t="shared" si="53"/>
        <v>500</v>
      </c>
      <c r="BI26" s="75">
        <f t="shared" si="22"/>
        <v>500</v>
      </c>
      <c r="BJ26" s="21"/>
      <c r="BK26" s="21"/>
      <c r="BL26" s="21"/>
    </row>
    <row r="27" spans="1:64" s="25" customFormat="1">
      <c r="A27" s="3" t="s">
        <v>347</v>
      </c>
      <c r="B27" s="41"/>
      <c r="C27" s="41"/>
      <c r="D27" s="41"/>
      <c r="E27" s="42"/>
      <c r="F27" s="43"/>
      <c r="G27" s="41"/>
      <c r="H27" s="41"/>
      <c r="I27" s="41"/>
      <c r="J27" s="42"/>
      <c r="K27" s="43"/>
      <c r="L27" s="41"/>
      <c r="M27" s="41"/>
      <c r="N27" s="41"/>
      <c r="O27" s="42"/>
      <c r="P27" s="43"/>
      <c r="Q27" s="41"/>
      <c r="R27" s="41"/>
      <c r="S27" s="41"/>
      <c r="T27" s="42"/>
      <c r="U27" s="43"/>
      <c r="V27" s="41"/>
      <c r="W27" s="41"/>
      <c r="X27" s="41"/>
      <c r="Y27" s="42"/>
      <c r="Z27" s="43"/>
      <c r="AA27" s="41"/>
      <c r="AB27" s="41">
        <v>550</v>
      </c>
      <c r="AC27" s="41">
        <f t="shared" ref="AC27:AJ47" si="60">AB27</f>
        <v>550</v>
      </c>
      <c r="AD27" s="41">
        <f t="shared" si="60"/>
        <v>550</v>
      </c>
      <c r="AE27" s="75">
        <f t="shared" si="60"/>
        <v>550</v>
      </c>
      <c r="AF27" s="41">
        <f t="shared" si="60"/>
        <v>550</v>
      </c>
      <c r="AG27" s="41">
        <v>550</v>
      </c>
      <c r="AH27" s="41">
        <v>550</v>
      </c>
      <c r="AI27" s="41">
        <v>414</v>
      </c>
      <c r="AJ27" s="75">
        <f t="shared" si="60"/>
        <v>414</v>
      </c>
      <c r="AK27" s="41">
        <f t="shared" si="30"/>
        <v>414</v>
      </c>
      <c r="AL27" s="41">
        <f t="shared" si="30"/>
        <v>414</v>
      </c>
      <c r="AM27" s="41">
        <f t="shared" si="30"/>
        <v>414</v>
      </c>
      <c r="AN27" s="41">
        <f t="shared" si="30"/>
        <v>414</v>
      </c>
      <c r="AO27" s="75">
        <f t="shared" si="54"/>
        <v>414</v>
      </c>
      <c r="AP27" s="41">
        <f t="shared" si="4"/>
        <v>414</v>
      </c>
      <c r="AQ27" s="41">
        <f t="shared" si="5"/>
        <v>414</v>
      </c>
      <c r="AR27" s="41">
        <f t="shared" si="6"/>
        <v>414</v>
      </c>
      <c r="AS27" s="99">
        <f t="shared" si="7"/>
        <v>414</v>
      </c>
      <c r="AT27" s="527">
        <f t="shared" si="24"/>
        <v>414</v>
      </c>
      <c r="AU27" s="41">
        <f t="shared" si="8"/>
        <v>414</v>
      </c>
      <c r="AV27" s="41">
        <f t="shared" si="9"/>
        <v>414</v>
      </c>
      <c r="AW27" s="41">
        <f t="shared" si="10"/>
        <v>414</v>
      </c>
      <c r="AX27" s="41">
        <f t="shared" si="11"/>
        <v>414</v>
      </c>
      <c r="AY27" s="75">
        <f t="shared" si="12"/>
        <v>414</v>
      </c>
      <c r="AZ27" s="41">
        <f t="shared" si="38"/>
        <v>414</v>
      </c>
      <c r="BA27" s="41">
        <f t="shared" si="39"/>
        <v>414</v>
      </c>
      <c r="BB27" s="41">
        <f t="shared" si="40"/>
        <v>414</v>
      </c>
      <c r="BC27" s="41">
        <f t="shared" si="41"/>
        <v>414</v>
      </c>
      <c r="BD27" s="75">
        <f t="shared" si="17"/>
        <v>414</v>
      </c>
      <c r="BE27" s="41">
        <f t="shared" si="50"/>
        <v>414</v>
      </c>
      <c r="BF27" s="41">
        <f t="shared" si="51"/>
        <v>414</v>
      </c>
      <c r="BG27" s="41">
        <f t="shared" si="52"/>
        <v>414</v>
      </c>
      <c r="BH27" s="41">
        <f t="shared" si="53"/>
        <v>414</v>
      </c>
      <c r="BI27" s="75">
        <f t="shared" si="22"/>
        <v>414</v>
      </c>
      <c r="BJ27" s="21"/>
      <c r="BK27" s="21"/>
      <c r="BL27" s="21"/>
    </row>
    <row r="28" spans="1:64" s="25" customFormat="1">
      <c r="A28" s="3" t="s">
        <v>368</v>
      </c>
      <c r="B28" s="41"/>
      <c r="C28" s="41"/>
      <c r="D28" s="41"/>
      <c r="E28" s="42"/>
      <c r="F28" s="43"/>
      <c r="G28" s="41"/>
      <c r="H28" s="41"/>
      <c r="I28" s="41"/>
      <c r="J28" s="42"/>
      <c r="K28" s="43"/>
      <c r="L28" s="41"/>
      <c r="M28" s="41"/>
      <c r="N28" s="41"/>
      <c r="O28" s="42"/>
      <c r="P28" s="43"/>
      <c r="Q28" s="41"/>
      <c r="R28" s="41"/>
      <c r="S28" s="41"/>
      <c r="T28" s="42"/>
      <c r="U28" s="43"/>
      <c r="V28" s="41"/>
      <c r="W28" s="41"/>
      <c r="X28" s="41"/>
      <c r="Y28" s="42"/>
      <c r="Z28" s="43"/>
      <c r="AA28" s="41"/>
      <c r="AB28" s="41">
        <v>561</v>
      </c>
      <c r="AC28" s="41">
        <f t="shared" si="60"/>
        <v>561</v>
      </c>
      <c r="AD28" s="41">
        <f t="shared" si="60"/>
        <v>561</v>
      </c>
      <c r="AE28" s="75">
        <f t="shared" si="60"/>
        <v>561</v>
      </c>
      <c r="AF28" s="41">
        <v>590</v>
      </c>
      <c r="AG28" s="41">
        <v>598</v>
      </c>
      <c r="AH28" s="41">
        <v>585</v>
      </c>
      <c r="AI28" s="41">
        <v>565</v>
      </c>
      <c r="AJ28" s="75">
        <f t="shared" si="60"/>
        <v>565</v>
      </c>
      <c r="AK28" s="41">
        <v>550</v>
      </c>
      <c r="AL28" s="41">
        <v>526</v>
      </c>
      <c r="AM28" s="41">
        <v>488</v>
      </c>
      <c r="AN28" s="41">
        <v>531</v>
      </c>
      <c r="AO28" s="75">
        <f t="shared" si="54"/>
        <v>531</v>
      </c>
      <c r="AP28" s="41">
        <v>537</v>
      </c>
      <c r="AQ28" s="41">
        <v>544</v>
      </c>
      <c r="AR28" s="41">
        <v>533</v>
      </c>
      <c r="AS28" s="99">
        <v>548</v>
      </c>
      <c r="AT28" s="527">
        <f t="shared" si="24"/>
        <v>548</v>
      </c>
      <c r="AU28" s="41">
        <v>542</v>
      </c>
      <c r="AV28" s="41">
        <v>535</v>
      </c>
      <c r="AW28" s="41">
        <v>560</v>
      </c>
      <c r="AX28" s="41">
        <v>520</v>
      </c>
      <c r="AY28" s="75">
        <f t="shared" si="12"/>
        <v>520</v>
      </c>
      <c r="AZ28" s="41">
        <v>541</v>
      </c>
      <c r="BA28" s="41">
        <v>580</v>
      </c>
      <c r="BB28" s="41">
        <v>585</v>
      </c>
      <c r="BC28" s="41">
        <v>587</v>
      </c>
      <c r="BD28" s="75">
        <f t="shared" si="17"/>
        <v>587</v>
      </c>
      <c r="BE28" s="41">
        <v>580</v>
      </c>
      <c r="BF28" s="41">
        <v>568</v>
      </c>
      <c r="BG28" s="41">
        <f>BF28</f>
        <v>568</v>
      </c>
      <c r="BH28" s="41">
        <f>BG28</f>
        <v>568</v>
      </c>
      <c r="BI28" s="75">
        <f t="shared" si="22"/>
        <v>568</v>
      </c>
      <c r="BJ28" s="21"/>
      <c r="BK28" s="21"/>
      <c r="BL28" s="21"/>
    </row>
    <row r="29" spans="1:64" s="25" customFormat="1">
      <c r="A29" s="3" t="s">
        <v>348</v>
      </c>
      <c r="B29" s="41"/>
      <c r="C29" s="41"/>
      <c r="D29" s="41"/>
      <c r="E29" s="42"/>
      <c r="F29" s="43"/>
      <c r="G29" s="41"/>
      <c r="H29" s="41"/>
      <c r="I29" s="41"/>
      <c r="J29" s="42"/>
      <c r="K29" s="43"/>
      <c r="L29" s="41"/>
      <c r="M29" s="41"/>
      <c r="N29" s="41"/>
      <c r="O29" s="42"/>
      <c r="P29" s="43"/>
      <c r="Q29" s="41"/>
      <c r="R29" s="41"/>
      <c r="S29" s="41"/>
      <c r="T29" s="42"/>
      <c r="U29" s="43"/>
      <c r="V29" s="41"/>
      <c r="W29" s="41"/>
      <c r="X29" s="41"/>
      <c r="Y29" s="42"/>
      <c r="Z29" s="43"/>
      <c r="AA29" s="41"/>
      <c r="AB29" s="41">
        <v>1000</v>
      </c>
      <c r="AC29" s="41">
        <f t="shared" si="60"/>
        <v>1000</v>
      </c>
      <c r="AD29" s="41">
        <f t="shared" si="60"/>
        <v>1000</v>
      </c>
      <c r="AE29" s="75">
        <f t="shared" si="60"/>
        <v>1000</v>
      </c>
      <c r="AF29" s="41">
        <f t="shared" si="60"/>
        <v>1000</v>
      </c>
      <c r="AG29" s="41">
        <f t="shared" si="60"/>
        <v>1000</v>
      </c>
      <c r="AH29" s="41">
        <v>1000</v>
      </c>
      <c r="AI29" s="41">
        <f t="shared" si="60"/>
        <v>1000</v>
      </c>
      <c r="AJ29" s="75">
        <f t="shared" si="60"/>
        <v>1000</v>
      </c>
      <c r="AK29" s="41">
        <f t="shared" si="30"/>
        <v>1000</v>
      </c>
      <c r="AL29" s="41">
        <f t="shared" si="30"/>
        <v>1000</v>
      </c>
      <c r="AM29" s="41">
        <f t="shared" si="30"/>
        <v>1000</v>
      </c>
      <c r="AN29" s="41">
        <f t="shared" si="30"/>
        <v>1000</v>
      </c>
      <c r="AO29" s="75">
        <f t="shared" si="54"/>
        <v>1000</v>
      </c>
      <c r="AP29" s="41">
        <f t="shared" ref="AP29:AP60" si="61">AO29</f>
        <v>1000</v>
      </c>
      <c r="AQ29" s="41">
        <f t="shared" ref="AQ29:AQ54" si="62">AP29</f>
        <v>1000</v>
      </c>
      <c r="AR29" s="41">
        <f t="shared" ref="AR29:AR54" si="63">AQ29</f>
        <v>1000</v>
      </c>
      <c r="AS29" s="99">
        <f t="shared" si="7"/>
        <v>1000</v>
      </c>
      <c r="AT29" s="527">
        <f t="shared" si="24"/>
        <v>1000</v>
      </c>
      <c r="AU29" s="41">
        <f t="shared" si="8"/>
        <v>1000</v>
      </c>
      <c r="AV29" s="41">
        <f t="shared" si="9"/>
        <v>1000</v>
      </c>
      <c r="AW29" s="41">
        <f t="shared" si="10"/>
        <v>1000</v>
      </c>
      <c r="AX29" s="41">
        <f t="shared" si="11"/>
        <v>1000</v>
      </c>
      <c r="AY29" s="75">
        <f t="shared" si="12"/>
        <v>1000</v>
      </c>
      <c r="AZ29" s="41">
        <f t="shared" si="38"/>
        <v>1000</v>
      </c>
      <c r="BA29" s="41">
        <f t="shared" si="39"/>
        <v>1000</v>
      </c>
      <c r="BB29" s="41">
        <f t="shared" si="40"/>
        <v>1000</v>
      </c>
      <c r="BC29" s="41">
        <f t="shared" si="41"/>
        <v>1000</v>
      </c>
      <c r="BD29" s="75">
        <f t="shared" si="17"/>
        <v>1000</v>
      </c>
      <c r="BE29" s="41">
        <f t="shared" si="50"/>
        <v>1000</v>
      </c>
      <c r="BF29" s="41">
        <f t="shared" si="51"/>
        <v>1000</v>
      </c>
      <c r="BG29" s="41">
        <f t="shared" si="52"/>
        <v>1000</v>
      </c>
      <c r="BH29" s="41">
        <f t="shared" si="53"/>
        <v>1000</v>
      </c>
      <c r="BI29" s="75">
        <f t="shared" si="22"/>
        <v>1000</v>
      </c>
      <c r="BJ29" s="21"/>
      <c r="BK29" s="21"/>
      <c r="BL29" s="21"/>
    </row>
    <row r="30" spans="1:64" s="25" customFormat="1">
      <c r="A30" s="525" t="s">
        <v>476</v>
      </c>
      <c r="B30" s="41"/>
      <c r="C30" s="41"/>
      <c r="D30" s="41"/>
      <c r="E30" s="42"/>
      <c r="F30" s="43"/>
      <c r="G30" s="41"/>
      <c r="H30" s="41"/>
      <c r="I30" s="41"/>
      <c r="J30" s="42"/>
      <c r="K30" s="43"/>
      <c r="L30" s="41"/>
      <c r="M30" s="41"/>
      <c r="N30" s="41"/>
      <c r="O30" s="42"/>
      <c r="P30" s="43"/>
      <c r="Q30" s="41"/>
      <c r="R30" s="41"/>
      <c r="S30" s="41"/>
      <c r="T30" s="42"/>
      <c r="U30" s="43"/>
      <c r="V30" s="41"/>
      <c r="W30" s="41"/>
      <c r="X30" s="41"/>
      <c r="Y30" s="42"/>
      <c r="Z30" s="43"/>
      <c r="AA30" s="41"/>
      <c r="AB30" s="41"/>
      <c r="AC30" s="41"/>
      <c r="AD30" s="41"/>
      <c r="AE30" s="75"/>
      <c r="AF30" s="41"/>
      <c r="AG30" s="41"/>
      <c r="AH30" s="41"/>
      <c r="AI30" s="41"/>
      <c r="AJ30" s="75"/>
      <c r="AK30" s="41"/>
      <c r="AL30" s="41"/>
      <c r="AM30" s="41"/>
      <c r="AN30" s="41"/>
      <c r="AO30" s="75"/>
      <c r="AP30" s="41"/>
      <c r="AQ30" s="41"/>
      <c r="AR30" s="41"/>
      <c r="AS30" s="99">
        <v>1000</v>
      </c>
      <c r="AT30" s="527">
        <f t="shared" si="24"/>
        <v>1000</v>
      </c>
      <c r="AU30" s="41">
        <f t="shared" ref="AU30" si="64">AT30</f>
        <v>1000</v>
      </c>
      <c r="AV30" s="41">
        <f t="shared" ref="AV30" si="65">AU30</f>
        <v>1000</v>
      </c>
      <c r="AW30" s="41">
        <f t="shared" ref="AW30" si="66">AV30</f>
        <v>1000</v>
      </c>
      <c r="AX30" s="41">
        <f t="shared" ref="AX30" si="67">AW30</f>
        <v>1000</v>
      </c>
      <c r="AY30" s="75">
        <f t="shared" ref="AY30" si="68">AX30</f>
        <v>1000</v>
      </c>
      <c r="AZ30" s="41">
        <f t="shared" si="38"/>
        <v>1000</v>
      </c>
      <c r="BA30" s="41">
        <f t="shared" si="39"/>
        <v>1000</v>
      </c>
      <c r="BB30" s="41">
        <f t="shared" si="40"/>
        <v>1000</v>
      </c>
      <c r="BC30" s="41">
        <f t="shared" si="41"/>
        <v>1000</v>
      </c>
      <c r="BD30" s="75">
        <f t="shared" si="17"/>
        <v>1000</v>
      </c>
      <c r="BE30" s="41">
        <f>BD30</f>
        <v>1000</v>
      </c>
      <c r="BF30" s="41">
        <f t="shared" si="51"/>
        <v>1000</v>
      </c>
      <c r="BG30" s="41">
        <f t="shared" si="52"/>
        <v>1000</v>
      </c>
      <c r="BH30" s="41">
        <f t="shared" si="53"/>
        <v>1000</v>
      </c>
      <c r="BI30" s="75">
        <f t="shared" si="22"/>
        <v>1000</v>
      </c>
      <c r="BJ30" s="21"/>
      <c r="BK30" s="21"/>
      <c r="BL30" s="21"/>
    </row>
    <row r="31" spans="1:64" s="25" customFormat="1">
      <c r="A31" s="3" t="s">
        <v>416</v>
      </c>
      <c r="B31" s="41"/>
      <c r="C31" s="41"/>
      <c r="D31" s="41"/>
      <c r="E31" s="42"/>
      <c r="F31" s="43"/>
      <c r="G31" s="41"/>
      <c r="H31" s="41"/>
      <c r="I31" s="41"/>
      <c r="J31" s="42"/>
      <c r="K31" s="43"/>
      <c r="L31" s="41"/>
      <c r="M31" s="41"/>
      <c r="N31" s="41"/>
      <c r="O31" s="42"/>
      <c r="P31" s="43"/>
      <c r="Q31" s="41"/>
      <c r="R31" s="41"/>
      <c r="S31" s="41"/>
      <c r="T31" s="42"/>
      <c r="U31" s="43"/>
      <c r="V31" s="41"/>
      <c r="W31" s="41"/>
      <c r="X31" s="41"/>
      <c r="Y31" s="42"/>
      <c r="Z31" s="43"/>
      <c r="AA31" s="41"/>
      <c r="AB31" s="41">
        <v>0</v>
      </c>
      <c r="AC31" s="41">
        <v>0</v>
      </c>
      <c r="AD31" s="41">
        <v>0</v>
      </c>
      <c r="AE31" s="75">
        <f t="shared" ref="AE31:AE32" si="69">AD31</f>
        <v>0</v>
      </c>
      <c r="AF31" s="41">
        <f t="shared" ref="AF31" si="70">AE31</f>
        <v>0</v>
      </c>
      <c r="AG31" s="41">
        <f t="shared" ref="AG31" si="71">AF31</f>
        <v>0</v>
      </c>
      <c r="AH31" s="41">
        <v>1000</v>
      </c>
      <c r="AI31" s="41">
        <f t="shared" ref="AI31" si="72">AH31</f>
        <v>1000</v>
      </c>
      <c r="AJ31" s="75">
        <f t="shared" ref="AJ31:AJ32" si="73">AI31</f>
        <v>1000</v>
      </c>
      <c r="AK31" s="41">
        <f t="shared" si="30"/>
        <v>1000</v>
      </c>
      <c r="AL31" s="41">
        <f t="shared" si="30"/>
        <v>1000</v>
      </c>
      <c r="AM31" s="41">
        <f t="shared" si="30"/>
        <v>1000</v>
      </c>
      <c r="AN31" s="41">
        <f t="shared" si="30"/>
        <v>1000</v>
      </c>
      <c r="AO31" s="75">
        <f t="shared" si="54"/>
        <v>1000</v>
      </c>
      <c r="AP31" s="41">
        <f t="shared" si="61"/>
        <v>1000</v>
      </c>
      <c r="AQ31" s="41">
        <f t="shared" si="62"/>
        <v>1000</v>
      </c>
      <c r="AR31" s="41">
        <f t="shared" si="63"/>
        <v>1000</v>
      </c>
      <c r="AS31" s="99">
        <f t="shared" si="7"/>
        <v>1000</v>
      </c>
      <c r="AT31" s="527">
        <f t="shared" si="24"/>
        <v>1000</v>
      </c>
      <c r="AU31" s="41">
        <f t="shared" si="8"/>
        <v>1000</v>
      </c>
      <c r="AV31" s="41">
        <f t="shared" si="9"/>
        <v>1000</v>
      </c>
      <c r="AW31" s="41">
        <f t="shared" si="10"/>
        <v>1000</v>
      </c>
      <c r="AX31" s="41">
        <f t="shared" si="11"/>
        <v>1000</v>
      </c>
      <c r="AY31" s="75">
        <f t="shared" si="12"/>
        <v>1000</v>
      </c>
      <c r="AZ31" s="41">
        <f t="shared" si="38"/>
        <v>1000</v>
      </c>
      <c r="BA31" s="41">
        <f t="shared" si="39"/>
        <v>1000</v>
      </c>
      <c r="BB31" s="41">
        <f t="shared" si="40"/>
        <v>1000</v>
      </c>
      <c r="BC31" s="41">
        <f t="shared" si="41"/>
        <v>1000</v>
      </c>
      <c r="BD31" s="75">
        <f t="shared" si="17"/>
        <v>1000</v>
      </c>
      <c r="BE31" s="41">
        <f t="shared" si="50"/>
        <v>1000</v>
      </c>
      <c r="BF31" s="41">
        <f t="shared" si="51"/>
        <v>1000</v>
      </c>
      <c r="BG31" s="41">
        <f t="shared" si="52"/>
        <v>1000</v>
      </c>
      <c r="BH31" s="41">
        <f t="shared" si="53"/>
        <v>1000</v>
      </c>
      <c r="BI31" s="75">
        <f t="shared" si="22"/>
        <v>1000</v>
      </c>
      <c r="BJ31" s="21"/>
      <c r="BK31" s="21"/>
      <c r="BL31" s="21"/>
    </row>
    <row r="32" spans="1:64" s="25" customFormat="1">
      <c r="A32" s="481" t="s">
        <v>426</v>
      </c>
      <c r="B32" s="41"/>
      <c r="C32" s="41"/>
      <c r="D32" s="41"/>
      <c r="E32" s="42"/>
      <c r="F32" s="43"/>
      <c r="G32" s="41"/>
      <c r="H32" s="41"/>
      <c r="I32" s="41"/>
      <c r="J32" s="42"/>
      <c r="K32" s="43"/>
      <c r="L32" s="41"/>
      <c r="M32" s="41"/>
      <c r="N32" s="41"/>
      <c r="O32" s="42"/>
      <c r="P32" s="43"/>
      <c r="Q32" s="41"/>
      <c r="R32" s="41"/>
      <c r="S32" s="41"/>
      <c r="T32" s="42"/>
      <c r="U32" s="43"/>
      <c r="V32" s="41"/>
      <c r="W32" s="41"/>
      <c r="X32" s="41"/>
      <c r="Y32" s="42"/>
      <c r="Z32" s="43"/>
      <c r="AA32" s="41"/>
      <c r="AB32" s="41">
        <v>0</v>
      </c>
      <c r="AC32" s="41">
        <v>0</v>
      </c>
      <c r="AD32" s="41">
        <v>0</v>
      </c>
      <c r="AE32" s="75">
        <f t="shared" si="69"/>
        <v>0</v>
      </c>
      <c r="AF32" s="41">
        <v>0</v>
      </c>
      <c r="AG32" s="41">
        <v>0</v>
      </c>
      <c r="AH32" s="41">
        <v>0</v>
      </c>
      <c r="AI32" s="41">
        <v>1000</v>
      </c>
      <c r="AJ32" s="75">
        <f t="shared" si="73"/>
        <v>1000</v>
      </c>
      <c r="AK32" s="41">
        <f t="shared" ref="AK32" si="74">AJ32</f>
        <v>1000</v>
      </c>
      <c r="AL32" s="41">
        <f t="shared" ref="AL32" si="75">AK32</f>
        <v>1000</v>
      </c>
      <c r="AM32" s="41">
        <f t="shared" ref="AM32" si="76">AL32</f>
        <v>1000</v>
      </c>
      <c r="AN32" s="41">
        <f t="shared" ref="AN32" si="77">AM32</f>
        <v>1000</v>
      </c>
      <c r="AO32" s="75">
        <f t="shared" ref="AO32:AO33" si="78">AN32</f>
        <v>1000</v>
      </c>
      <c r="AP32" s="41">
        <f t="shared" si="61"/>
        <v>1000</v>
      </c>
      <c r="AQ32" s="41">
        <f t="shared" si="62"/>
        <v>1000</v>
      </c>
      <c r="AR32" s="41">
        <f t="shared" si="63"/>
        <v>1000</v>
      </c>
      <c r="AS32" s="99">
        <f t="shared" si="7"/>
        <v>1000</v>
      </c>
      <c r="AT32" s="527">
        <f t="shared" si="24"/>
        <v>1000</v>
      </c>
      <c r="AU32" s="41">
        <f t="shared" si="8"/>
        <v>1000</v>
      </c>
      <c r="AV32" s="41">
        <f t="shared" si="9"/>
        <v>1000</v>
      </c>
      <c r="AW32" s="41">
        <f t="shared" si="10"/>
        <v>1000</v>
      </c>
      <c r="AX32" s="41">
        <f t="shared" si="11"/>
        <v>1000</v>
      </c>
      <c r="AY32" s="75">
        <f t="shared" si="12"/>
        <v>1000</v>
      </c>
      <c r="AZ32" s="41">
        <f t="shared" si="38"/>
        <v>1000</v>
      </c>
      <c r="BA32" s="41">
        <f t="shared" si="39"/>
        <v>1000</v>
      </c>
      <c r="BB32" s="41">
        <f t="shared" si="40"/>
        <v>1000</v>
      </c>
      <c r="BC32" s="41">
        <f t="shared" si="41"/>
        <v>1000</v>
      </c>
      <c r="BD32" s="75">
        <f t="shared" si="17"/>
        <v>1000</v>
      </c>
      <c r="BE32" s="41">
        <f t="shared" si="50"/>
        <v>1000</v>
      </c>
      <c r="BF32" s="41">
        <f t="shared" si="51"/>
        <v>1000</v>
      </c>
      <c r="BG32" s="41">
        <f t="shared" si="52"/>
        <v>1000</v>
      </c>
      <c r="BH32" s="41">
        <f t="shared" si="53"/>
        <v>1000</v>
      </c>
      <c r="BI32" s="75">
        <f t="shared" si="22"/>
        <v>1000</v>
      </c>
      <c r="BJ32" s="21"/>
      <c r="BK32" s="21"/>
      <c r="BL32" s="21"/>
    </row>
    <row r="33" spans="1:64" s="25" customFormat="1">
      <c r="A33" s="492" t="s">
        <v>441</v>
      </c>
      <c r="B33" s="41"/>
      <c r="C33" s="41"/>
      <c r="D33" s="41"/>
      <c r="E33" s="42"/>
      <c r="F33" s="43"/>
      <c r="G33" s="41"/>
      <c r="H33" s="41"/>
      <c r="I33" s="41"/>
      <c r="J33" s="42"/>
      <c r="K33" s="43"/>
      <c r="L33" s="41"/>
      <c r="M33" s="41"/>
      <c r="N33" s="41"/>
      <c r="O33" s="42"/>
      <c r="P33" s="43"/>
      <c r="Q33" s="41"/>
      <c r="R33" s="41"/>
      <c r="S33" s="41"/>
      <c r="T33" s="42"/>
      <c r="U33" s="43"/>
      <c r="V33" s="41"/>
      <c r="W33" s="41"/>
      <c r="X33" s="41"/>
      <c r="Y33" s="42"/>
      <c r="Z33" s="43"/>
      <c r="AA33" s="41"/>
      <c r="AB33" s="41"/>
      <c r="AC33" s="41"/>
      <c r="AD33" s="41"/>
      <c r="AE33" s="75"/>
      <c r="AF33" s="41"/>
      <c r="AG33" s="41"/>
      <c r="AH33" s="41"/>
      <c r="AI33" s="41"/>
      <c r="AJ33" s="75"/>
      <c r="AK33" s="41">
        <v>0</v>
      </c>
      <c r="AL33" s="41">
        <v>0</v>
      </c>
      <c r="AM33" s="41">
        <v>0</v>
      </c>
      <c r="AN33" s="41">
        <v>0</v>
      </c>
      <c r="AO33" s="75">
        <f t="shared" si="78"/>
        <v>0</v>
      </c>
      <c r="AP33" s="41">
        <v>1250</v>
      </c>
      <c r="AQ33" s="41">
        <f t="shared" ref="AQ33" si="79">AP33</f>
        <v>1250</v>
      </c>
      <c r="AR33" s="41">
        <f t="shared" ref="AR33" si="80">AQ33</f>
        <v>1250</v>
      </c>
      <c r="AS33" s="99">
        <f t="shared" ref="AS33" si="81">AR33</f>
        <v>1250</v>
      </c>
      <c r="AT33" s="527">
        <f t="shared" si="24"/>
        <v>1250</v>
      </c>
      <c r="AU33" s="41">
        <f t="shared" si="8"/>
        <v>1250</v>
      </c>
      <c r="AV33" s="41">
        <f t="shared" si="9"/>
        <v>1250</v>
      </c>
      <c r="AW33" s="41">
        <f t="shared" si="10"/>
        <v>1250</v>
      </c>
      <c r="AX33" s="41">
        <f t="shared" si="11"/>
        <v>1250</v>
      </c>
      <c r="AY33" s="75">
        <f t="shared" si="12"/>
        <v>1250</v>
      </c>
      <c r="AZ33" s="41">
        <f t="shared" si="38"/>
        <v>1250</v>
      </c>
      <c r="BA33" s="41">
        <f t="shared" si="39"/>
        <v>1250</v>
      </c>
      <c r="BB33" s="41">
        <f t="shared" si="40"/>
        <v>1250</v>
      </c>
      <c r="BC33" s="41">
        <f t="shared" si="41"/>
        <v>1250</v>
      </c>
      <c r="BD33" s="75">
        <f t="shared" si="17"/>
        <v>1250</v>
      </c>
      <c r="BE33" s="41">
        <f t="shared" si="50"/>
        <v>1250</v>
      </c>
      <c r="BF33" s="41">
        <f t="shared" si="51"/>
        <v>1250</v>
      </c>
      <c r="BG33" s="41">
        <f t="shared" si="52"/>
        <v>1250</v>
      </c>
      <c r="BH33" s="41">
        <f t="shared" si="53"/>
        <v>1250</v>
      </c>
      <c r="BI33" s="75">
        <f t="shared" si="22"/>
        <v>1250</v>
      </c>
      <c r="BJ33" s="21"/>
      <c r="BK33" s="21"/>
      <c r="BL33" s="21"/>
    </row>
    <row r="34" spans="1:64" s="25" customFormat="1">
      <c r="A34" s="525" t="s">
        <v>474</v>
      </c>
      <c r="B34" s="41"/>
      <c r="C34" s="41"/>
      <c r="D34" s="41"/>
      <c r="E34" s="42"/>
      <c r="F34" s="43"/>
      <c r="G34" s="41"/>
      <c r="H34" s="41"/>
      <c r="I34" s="41"/>
      <c r="J34" s="42"/>
      <c r="K34" s="43"/>
      <c r="L34" s="41"/>
      <c r="M34" s="41"/>
      <c r="N34" s="41"/>
      <c r="O34" s="42"/>
      <c r="P34" s="43"/>
      <c r="Q34" s="41"/>
      <c r="R34" s="41"/>
      <c r="S34" s="41"/>
      <c r="T34" s="42"/>
      <c r="U34" s="43"/>
      <c r="V34" s="41"/>
      <c r="W34" s="41"/>
      <c r="X34" s="41"/>
      <c r="Y34" s="42"/>
      <c r="Z34" s="43"/>
      <c r="AA34" s="41"/>
      <c r="AB34" s="41"/>
      <c r="AC34" s="41"/>
      <c r="AD34" s="41"/>
      <c r="AE34" s="75"/>
      <c r="AF34" s="41"/>
      <c r="AG34" s="41"/>
      <c r="AH34" s="41"/>
      <c r="AI34" s="41"/>
      <c r="AJ34" s="75"/>
      <c r="AK34" s="41"/>
      <c r="AL34" s="41"/>
      <c r="AM34" s="41"/>
      <c r="AN34" s="41"/>
      <c r="AO34" s="75"/>
      <c r="AP34" s="41"/>
      <c r="AQ34" s="41"/>
      <c r="AR34" s="41"/>
      <c r="AS34" s="99">
        <v>1500</v>
      </c>
      <c r="AT34" s="527">
        <f t="shared" si="24"/>
        <v>1500</v>
      </c>
      <c r="AU34" s="41">
        <f t="shared" ref="AU34" si="82">AT34</f>
        <v>1500</v>
      </c>
      <c r="AV34" s="41">
        <f t="shared" ref="AV34" si="83">AU34</f>
        <v>1500</v>
      </c>
      <c r="AW34" s="41">
        <f t="shared" ref="AW34" si="84">AV34</f>
        <v>1500</v>
      </c>
      <c r="AX34" s="41">
        <f t="shared" ref="AX34" si="85">AW34</f>
        <v>1500</v>
      </c>
      <c r="AY34" s="75">
        <f t="shared" ref="AY34" si="86">AX34</f>
        <v>1500</v>
      </c>
      <c r="AZ34" s="41">
        <f t="shared" si="38"/>
        <v>1500</v>
      </c>
      <c r="BA34" s="41">
        <f t="shared" si="39"/>
        <v>1500</v>
      </c>
      <c r="BB34" s="41">
        <f t="shared" si="40"/>
        <v>1500</v>
      </c>
      <c r="BC34" s="41">
        <f t="shared" si="41"/>
        <v>1500</v>
      </c>
      <c r="BD34" s="75">
        <f t="shared" si="17"/>
        <v>1500</v>
      </c>
      <c r="BE34" s="41">
        <f t="shared" si="50"/>
        <v>1500</v>
      </c>
      <c r="BF34" s="41">
        <f t="shared" si="51"/>
        <v>1500</v>
      </c>
      <c r="BG34" s="41">
        <f t="shared" si="52"/>
        <v>1500</v>
      </c>
      <c r="BH34" s="41">
        <f t="shared" si="53"/>
        <v>1500</v>
      </c>
      <c r="BI34" s="75">
        <f t="shared" si="22"/>
        <v>1500</v>
      </c>
      <c r="BJ34" s="21"/>
      <c r="BK34" s="21"/>
      <c r="BL34" s="21"/>
    </row>
    <row r="35" spans="1:64" s="25" customFormat="1">
      <c r="A35" s="481" t="s">
        <v>349</v>
      </c>
      <c r="B35" s="41"/>
      <c r="C35" s="41"/>
      <c r="D35" s="41"/>
      <c r="E35" s="42"/>
      <c r="F35" s="43"/>
      <c r="G35" s="41"/>
      <c r="H35" s="41"/>
      <c r="I35" s="41"/>
      <c r="J35" s="42"/>
      <c r="K35" s="43"/>
      <c r="L35" s="41"/>
      <c r="M35" s="41"/>
      <c r="N35" s="41"/>
      <c r="O35" s="42"/>
      <c r="P35" s="43"/>
      <c r="Q35" s="41"/>
      <c r="R35" s="41"/>
      <c r="S35" s="41"/>
      <c r="T35" s="42"/>
      <c r="U35" s="43"/>
      <c r="V35" s="41"/>
      <c r="W35" s="41"/>
      <c r="X35" s="41"/>
      <c r="Y35" s="42"/>
      <c r="Z35" s="43"/>
      <c r="AA35" s="41"/>
      <c r="AB35" s="41">
        <v>600</v>
      </c>
      <c r="AC35" s="41">
        <f t="shared" si="60"/>
        <v>600</v>
      </c>
      <c r="AD35" s="41">
        <f t="shared" si="60"/>
        <v>600</v>
      </c>
      <c r="AE35" s="75">
        <f t="shared" si="60"/>
        <v>600</v>
      </c>
      <c r="AF35" s="41">
        <f t="shared" si="60"/>
        <v>600</v>
      </c>
      <c r="AG35" s="41">
        <f t="shared" si="60"/>
        <v>600</v>
      </c>
      <c r="AH35" s="41">
        <v>600</v>
      </c>
      <c r="AI35" s="41">
        <v>446</v>
      </c>
      <c r="AJ35" s="75">
        <f t="shared" si="60"/>
        <v>446</v>
      </c>
      <c r="AK35" s="41">
        <f t="shared" si="30"/>
        <v>446</v>
      </c>
      <c r="AL35" s="41">
        <f t="shared" si="30"/>
        <v>446</v>
      </c>
      <c r="AM35" s="41">
        <f t="shared" si="30"/>
        <v>446</v>
      </c>
      <c r="AN35" s="41">
        <f t="shared" si="30"/>
        <v>446</v>
      </c>
      <c r="AO35" s="75">
        <f t="shared" si="54"/>
        <v>446</v>
      </c>
      <c r="AP35" s="41">
        <f t="shared" si="61"/>
        <v>446</v>
      </c>
      <c r="AQ35" s="41">
        <f t="shared" si="62"/>
        <v>446</v>
      </c>
      <c r="AR35" s="41">
        <f t="shared" si="63"/>
        <v>446</v>
      </c>
      <c r="AS35" s="99">
        <f t="shared" si="7"/>
        <v>446</v>
      </c>
      <c r="AT35" s="527">
        <f t="shared" si="24"/>
        <v>446</v>
      </c>
      <c r="AU35" s="41">
        <f t="shared" si="8"/>
        <v>446</v>
      </c>
      <c r="AV35" s="41">
        <f t="shared" si="9"/>
        <v>446</v>
      </c>
      <c r="AW35" s="41">
        <f t="shared" si="10"/>
        <v>446</v>
      </c>
      <c r="AX35" s="41">
        <f t="shared" si="11"/>
        <v>446</v>
      </c>
      <c r="AY35" s="75">
        <f t="shared" si="12"/>
        <v>446</v>
      </c>
      <c r="AZ35" s="41">
        <f t="shared" si="38"/>
        <v>446</v>
      </c>
      <c r="BA35" s="41">
        <f t="shared" si="39"/>
        <v>446</v>
      </c>
      <c r="BB35" s="41">
        <f t="shared" si="40"/>
        <v>446</v>
      </c>
      <c r="BC35" s="41">
        <f t="shared" si="41"/>
        <v>446</v>
      </c>
      <c r="BD35" s="75">
        <f t="shared" si="17"/>
        <v>446</v>
      </c>
      <c r="BE35" s="41">
        <f t="shared" si="50"/>
        <v>446</v>
      </c>
      <c r="BF35" s="41">
        <f t="shared" si="51"/>
        <v>446</v>
      </c>
      <c r="BG35" s="41">
        <f t="shared" si="52"/>
        <v>446</v>
      </c>
      <c r="BH35" s="41">
        <f t="shared" si="53"/>
        <v>446</v>
      </c>
      <c r="BI35" s="75">
        <f t="shared" si="22"/>
        <v>446</v>
      </c>
      <c r="BJ35" s="21"/>
      <c r="BK35" s="21"/>
      <c r="BL35" s="21"/>
    </row>
    <row r="36" spans="1:64" s="25" customFormat="1">
      <c r="A36" s="481" t="s">
        <v>350</v>
      </c>
      <c r="B36" s="41"/>
      <c r="C36" s="41"/>
      <c r="D36" s="41"/>
      <c r="E36" s="42"/>
      <c r="F36" s="43"/>
      <c r="G36" s="41"/>
      <c r="H36" s="41"/>
      <c r="I36" s="41"/>
      <c r="J36" s="42"/>
      <c r="K36" s="43"/>
      <c r="L36" s="41"/>
      <c r="M36" s="41"/>
      <c r="N36" s="41"/>
      <c r="O36" s="42"/>
      <c r="P36" s="43"/>
      <c r="Q36" s="41"/>
      <c r="R36" s="41"/>
      <c r="S36" s="41"/>
      <c r="T36" s="42"/>
      <c r="U36" s="43"/>
      <c r="V36" s="41"/>
      <c r="W36" s="41"/>
      <c r="X36" s="41"/>
      <c r="Y36" s="42"/>
      <c r="Z36" s="43"/>
      <c r="AA36" s="41"/>
      <c r="AB36" s="41">
        <v>600</v>
      </c>
      <c r="AC36" s="41">
        <f t="shared" si="60"/>
        <v>600</v>
      </c>
      <c r="AD36" s="41">
        <f t="shared" si="60"/>
        <v>600</v>
      </c>
      <c r="AE36" s="75">
        <f t="shared" si="60"/>
        <v>600</v>
      </c>
      <c r="AF36" s="41">
        <f t="shared" si="60"/>
        <v>600</v>
      </c>
      <c r="AG36" s="41">
        <f t="shared" si="60"/>
        <v>600</v>
      </c>
      <c r="AH36" s="41">
        <v>600</v>
      </c>
      <c r="AI36" s="41">
        <v>410</v>
      </c>
      <c r="AJ36" s="75">
        <f t="shared" si="60"/>
        <v>410</v>
      </c>
      <c r="AK36" s="41">
        <f t="shared" si="30"/>
        <v>410</v>
      </c>
      <c r="AL36" s="41">
        <f t="shared" si="30"/>
        <v>410</v>
      </c>
      <c r="AM36" s="41">
        <f t="shared" si="30"/>
        <v>410</v>
      </c>
      <c r="AN36" s="41">
        <f t="shared" si="30"/>
        <v>410</v>
      </c>
      <c r="AO36" s="75">
        <f t="shared" si="54"/>
        <v>410</v>
      </c>
      <c r="AP36" s="41">
        <f t="shared" si="61"/>
        <v>410</v>
      </c>
      <c r="AQ36" s="41">
        <f t="shared" si="62"/>
        <v>410</v>
      </c>
      <c r="AR36" s="41">
        <f t="shared" si="63"/>
        <v>410</v>
      </c>
      <c r="AS36" s="99">
        <f t="shared" si="7"/>
        <v>410</v>
      </c>
      <c r="AT36" s="527">
        <f t="shared" si="24"/>
        <v>410</v>
      </c>
      <c r="AU36" s="41">
        <f t="shared" si="8"/>
        <v>410</v>
      </c>
      <c r="AV36" s="41">
        <f t="shared" si="9"/>
        <v>410</v>
      </c>
      <c r="AW36" s="41">
        <f t="shared" si="10"/>
        <v>410</v>
      </c>
      <c r="AX36" s="41">
        <f t="shared" si="11"/>
        <v>410</v>
      </c>
      <c r="AY36" s="75">
        <f t="shared" si="12"/>
        <v>410</v>
      </c>
      <c r="AZ36" s="41">
        <f t="shared" si="38"/>
        <v>410</v>
      </c>
      <c r="BA36" s="41">
        <f t="shared" si="39"/>
        <v>410</v>
      </c>
      <c r="BB36" s="41">
        <f t="shared" si="40"/>
        <v>410</v>
      </c>
      <c r="BC36" s="41">
        <f t="shared" si="41"/>
        <v>410</v>
      </c>
      <c r="BD36" s="75">
        <f t="shared" si="17"/>
        <v>410</v>
      </c>
      <c r="BE36" s="41">
        <f t="shared" si="50"/>
        <v>410</v>
      </c>
      <c r="BF36" s="41">
        <f t="shared" si="51"/>
        <v>410</v>
      </c>
      <c r="BG36" s="41">
        <f t="shared" si="52"/>
        <v>410</v>
      </c>
      <c r="BH36" s="41">
        <f t="shared" si="53"/>
        <v>410</v>
      </c>
      <c r="BI36" s="75">
        <f t="shared" si="22"/>
        <v>410</v>
      </c>
      <c r="BJ36" s="21"/>
      <c r="BK36" s="21"/>
      <c r="BL36" s="21"/>
    </row>
    <row r="37" spans="1:64" s="25" customFormat="1">
      <c r="A37" s="481" t="s">
        <v>351</v>
      </c>
      <c r="B37" s="41"/>
      <c r="C37" s="41"/>
      <c r="D37" s="41"/>
      <c r="E37" s="42"/>
      <c r="F37" s="43"/>
      <c r="G37" s="41"/>
      <c r="H37" s="41"/>
      <c r="I37" s="41"/>
      <c r="J37" s="42"/>
      <c r="K37" s="43"/>
      <c r="L37" s="41"/>
      <c r="M37" s="41"/>
      <c r="N37" s="41"/>
      <c r="O37" s="42"/>
      <c r="P37" s="43"/>
      <c r="Q37" s="41"/>
      <c r="R37" s="41"/>
      <c r="S37" s="41"/>
      <c r="T37" s="42"/>
      <c r="U37" s="43"/>
      <c r="V37" s="41"/>
      <c r="W37" s="41"/>
      <c r="X37" s="41"/>
      <c r="Y37" s="42"/>
      <c r="Z37" s="43"/>
      <c r="AA37" s="41"/>
      <c r="AB37" s="41">
        <v>134</v>
      </c>
      <c r="AC37" s="41">
        <f t="shared" si="60"/>
        <v>134</v>
      </c>
      <c r="AD37" s="41">
        <f t="shared" si="60"/>
        <v>134</v>
      </c>
      <c r="AE37" s="75">
        <f t="shared" si="60"/>
        <v>134</v>
      </c>
      <c r="AF37" s="41">
        <f t="shared" si="60"/>
        <v>134</v>
      </c>
      <c r="AG37" s="41">
        <f t="shared" si="60"/>
        <v>134</v>
      </c>
      <c r="AH37" s="41">
        <v>134</v>
      </c>
      <c r="AI37" s="41">
        <v>117</v>
      </c>
      <c r="AJ37" s="75">
        <f t="shared" si="60"/>
        <v>117</v>
      </c>
      <c r="AK37" s="41">
        <f t="shared" si="30"/>
        <v>117</v>
      </c>
      <c r="AL37" s="41">
        <f t="shared" si="30"/>
        <v>117</v>
      </c>
      <c r="AM37" s="41">
        <f t="shared" si="30"/>
        <v>117</v>
      </c>
      <c r="AN37" s="41">
        <f t="shared" si="30"/>
        <v>117</v>
      </c>
      <c r="AO37" s="75">
        <f t="shared" si="54"/>
        <v>117</v>
      </c>
      <c r="AP37" s="41">
        <f t="shared" si="61"/>
        <v>117</v>
      </c>
      <c r="AQ37" s="41">
        <f t="shared" si="62"/>
        <v>117</v>
      </c>
      <c r="AR37" s="41">
        <f t="shared" si="63"/>
        <v>117</v>
      </c>
      <c r="AS37" s="99">
        <f t="shared" si="7"/>
        <v>117</v>
      </c>
      <c r="AT37" s="527">
        <f t="shared" si="24"/>
        <v>117</v>
      </c>
      <c r="AU37" s="41">
        <f t="shared" si="8"/>
        <v>117</v>
      </c>
      <c r="AV37" s="41">
        <f t="shared" si="9"/>
        <v>117</v>
      </c>
      <c r="AW37" s="41">
        <f t="shared" si="10"/>
        <v>117</v>
      </c>
      <c r="AX37" s="41">
        <f t="shared" si="11"/>
        <v>117</v>
      </c>
      <c r="AY37" s="75">
        <f t="shared" si="12"/>
        <v>117</v>
      </c>
      <c r="AZ37" s="41">
        <f t="shared" si="38"/>
        <v>117</v>
      </c>
      <c r="BA37" s="41">
        <f t="shared" si="39"/>
        <v>117</v>
      </c>
      <c r="BB37" s="41">
        <f t="shared" si="40"/>
        <v>117</v>
      </c>
      <c r="BC37" s="41">
        <f t="shared" si="41"/>
        <v>117</v>
      </c>
      <c r="BD37" s="75">
        <f t="shared" si="17"/>
        <v>117</v>
      </c>
      <c r="BE37" s="41">
        <f t="shared" si="50"/>
        <v>117</v>
      </c>
      <c r="BF37" s="41">
        <f t="shared" si="51"/>
        <v>117</v>
      </c>
      <c r="BG37" s="41">
        <f t="shared" si="52"/>
        <v>117</v>
      </c>
      <c r="BH37" s="41">
        <f t="shared" si="53"/>
        <v>117</v>
      </c>
      <c r="BI37" s="75">
        <f t="shared" si="22"/>
        <v>117</v>
      </c>
      <c r="BJ37" s="21"/>
      <c r="BK37" s="21"/>
      <c r="BL37" s="21"/>
    </row>
    <row r="38" spans="1:64" s="25" customFormat="1">
      <c r="A38" s="481" t="s">
        <v>352</v>
      </c>
      <c r="B38" s="41"/>
      <c r="C38" s="41"/>
      <c r="D38" s="41"/>
      <c r="E38" s="42"/>
      <c r="F38" s="43"/>
      <c r="G38" s="41"/>
      <c r="H38" s="41"/>
      <c r="I38" s="41"/>
      <c r="J38" s="42"/>
      <c r="K38" s="43"/>
      <c r="L38" s="41"/>
      <c r="M38" s="41"/>
      <c r="N38" s="41"/>
      <c r="O38" s="42"/>
      <c r="P38" s="43"/>
      <c r="Q38" s="41"/>
      <c r="R38" s="41"/>
      <c r="S38" s="41"/>
      <c r="T38" s="42"/>
      <c r="U38" s="43"/>
      <c r="V38" s="41"/>
      <c r="W38" s="41"/>
      <c r="X38" s="41"/>
      <c r="Y38" s="42"/>
      <c r="Z38" s="43"/>
      <c r="AA38" s="41"/>
      <c r="AB38" s="41">
        <v>159</v>
      </c>
      <c r="AC38" s="41">
        <f t="shared" si="60"/>
        <v>159</v>
      </c>
      <c r="AD38" s="41">
        <f t="shared" si="60"/>
        <v>159</v>
      </c>
      <c r="AE38" s="75">
        <f t="shared" si="60"/>
        <v>159</v>
      </c>
      <c r="AF38" s="41">
        <f t="shared" si="60"/>
        <v>159</v>
      </c>
      <c r="AG38" s="41">
        <f t="shared" si="60"/>
        <v>159</v>
      </c>
      <c r="AH38" s="41">
        <v>159</v>
      </c>
      <c r="AI38" s="41">
        <v>148</v>
      </c>
      <c r="AJ38" s="75">
        <f t="shared" si="60"/>
        <v>148</v>
      </c>
      <c r="AK38" s="41">
        <f t="shared" si="30"/>
        <v>148</v>
      </c>
      <c r="AL38" s="41">
        <f t="shared" si="30"/>
        <v>148</v>
      </c>
      <c r="AM38" s="41">
        <f t="shared" si="30"/>
        <v>148</v>
      </c>
      <c r="AN38" s="41">
        <f t="shared" si="30"/>
        <v>148</v>
      </c>
      <c r="AO38" s="75">
        <f t="shared" si="54"/>
        <v>148</v>
      </c>
      <c r="AP38" s="41">
        <f t="shared" si="61"/>
        <v>148</v>
      </c>
      <c r="AQ38" s="41">
        <f t="shared" si="62"/>
        <v>148</v>
      </c>
      <c r="AR38" s="41">
        <f t="shared" si="63"/>
        <v>148</v>
      </c>
      <c r="AS38" s="99">
        <f t="shared" si="7"/>
        <v>148</v>
      </c>
      <c r="AT38" s="527">
        <f t="shared" si="24"/>
        <v>148</v>
      </c>
      <c r="AU38" s="41">
        <f t="shared" si="8"/>
        <v>148</v>
      </c>
      <c r="AV38" s="41">
        <f t="shared" si="9"/>
        <v>148</v>
      </c>
      <c r="AW38" s="41">
        <f t="shared" si="10"/>
        <v>148</v>
      </c>
      <c r="AX38" s="41">
        <f t="shared" si="11"/>
        <v>148</v>
      </c>
      <c r="AY38" s="75">
        <f t="shared" si="12"/>
        <v>148</v>
      </c>
      <c r="AZ38" s="41">
        <f t="shared" si="38"/>
        <v>148</v>
      </c>
      <c r="BA38" s="41">
        <f t="shared" si="39"/>
        <v>148</v>
      </c>
      <c r="BB38" s="41">
        <f t="shared" si="40"/>
        <v>148</v>
      </c>
      <c r="BC38" s="41">
        <f t="shared" si="41"/>
        <v>148</v>
      </c>
      <c r="BD38" s="75">
        <f t="shared" si="17"/>
        <v>148</v>
      </c>
      <c r="BE38" s="41">
        <f t="shared" si="50"/>
        <v>148</v>
      </c>
      <c r="BF38" s="41">
        <f t="shared" si="51"/>
        <v>148</v>
      </c>
      <c r="BG38" s="41">
        <f t="shared" si="52"/>
        <v>148</v>
      </c>
      <c r="BH38" s="41">
        <f t="shared" si="53"/>
        <v>148</v>
      </c>
      <c r="BI38" s="75">
        <f t="shared" si="22"/>
        <v>148</v>
      </c>
      <c r="BJ38" s="21"/>
      <c r="BK38" s="21"/>
      <c r="BL38" s="21"/>
    </row>
    <row r="39" spans="1:64" s="25" customFormat="1">
      <c r="A39" s="481" t="s">
        <v>353</v>
      </c>
      <c r="B39" s="41"/>
      <c r="C39" s="41"/>
      <c r="D39" s="41"/>
      <c r="E39" s="42"/>
      <c r="F39" s="43"/>
      <c r="G39" s="41"/>
      <c r="H39" s="41"/>
      <c r="I39" s="41"/>
      <c r="J39" s="42"/>
      <c r="K39" s="43"/>
      <c r="L39" s="41"/>
      <c r="M39" s="41"/>
      <c r="N39" s="41"/>
      <c r="O39" s="42"/>
      <c r="P39" s="43"/>
      <c r="Q39" s="41"/>
      <c r="R39" s="41"/>
      <c r="S39" s="41"/>
      <c r="T39" s="42"/>
      <c r="U39" s="43"/>
      <c r="V39" s="41"/>
      <c r="W39" s="41"/>
      <c r="X39" s="41"/>
      <c r="Y39" s="42"/>
      <c r="Z39" s="43"/>
      <c r="AA39" s="41"/>
      <c r="AB39" s="41">
        <v>1000</v>
      </c>
      <c r="AC39" s="41">
        <f t="shared" si="60"/>
        <v>1000</v>
      </c>
      <c r="AD39" s="41">
        <f t="shared" si="60"/>
        <v>1000</v>
      </c>
      <c r="AE39" s="75">
        <f t="shared" si="60"/>
        <v>1000</v>
      </c>
      <c r="AF39" s="41">
        <f t="shared" si="60"/>
        <v>1000</v>
      </c>
      <c r="AG39" s="41">
        <f t="shared" si="60"/>
        <v>1000</v>
      </c>
      <c r="AH39" s="41">
        <v>1000</v>
      </c>
      <c r="AI39" s="41">
        <v>575</v>
      </c>
      <c r="AJ39" s="75">
        <f t="shared" si="60"/>
        <v>575</v>
      </c>
      <c r="AK39" s="41">
        <f t="shared" si="30"/>
        <v>575</v>
      </c>
      <c r="AL39" s="41">
        <f t="shared" si="30"/>
        <v>575</v>
      </c>
      <c r="AM39" s="41">
        <f t="shared" si="30"/>
        <v>575</v>
      </c>
      <c r="AN39" s="41">
        <f t="shared" si="30"/>
        <v>575</v>
      </c>
      <c r="AO39" s="75">
        <f t="shared" si="54"/>
        <v>575</v>
      </c>
      <c r="AP39" s="41">
        <f t="shared" si="61"/>
        <v>575</v>
      </c>
      <c r="AQ39" s="41">
        <f t="shared" si="62"/>
        <v>575</v>
      </c>
      <c r="AR39" s="41">
        <f t="shared" si="63"/>
        <v>575</v>
      </c>
      <c r="AS39" s="99">
        <f t="shared" si="7"/>
        <v>575</v>
      </c>
      <c r="AT39" s="527">
        <f t="shared" si="24"/>
        <v>575</v>
      </c>
      <c r="AU39" s="41">
        <f t="shared" si="8"/>
        <v>575</v>
      </c>
      <c r="AV39" s="41">
        <f t="shared" si="9"/>
        <v>575</v>
      </c>
      <c r="AW39" s="41">
        <f t="shared" si="10"/>
        <v>575</v>
      </c>
      <c r="AX39" s="41">
        <f t="shared" si="11"/>
        <v>575</v>
      </c>
      <c r="AY39" s="75">
        <f t="shared" si="12"/>
        <v>575</v>
      </c>
      <c r="AZ39" s="41">
        <f t="shared" si="38"/>
        <v>575</v>
      </c>
      <c r="BA39" s="41">
        <f t="shared" si="39"/>
        <v>575</v>
      </c>
      <c r="BB39" s="41">
        <f t="shared" si="40"/>
        <v>575</v>
      </c>
      <c r="BC39" s="41">
        <f t="shared" si="41"/>
        <v>575</v>
      </c>
      <c r="BD39" s="75">
        <f t="shared" si="17"/>
        <v>575</v>
      </c>
      <c r="BE39" s="41">
        <f t="shared" si="50"/>
        <v>575</v>
      </c>
      <c r="BF39" s="41">
        <f t="shared" si="51"/>
        <v>575</v>
      </c>
      <c r="BG39" s="41">
        <f t="shared" si="52"/>
        <v>575</v>
      </c>
      <c r="BH39" s="41">
        <f t="shared" si="53"/>
        <v>575</v>
      </c>
      <c r="BI39" s="75">
        <f t="shared" si="22"/>
        <v>575</v>
      </c>
      <c r="BJ39" s="21"/>
      <c r="BK39" s="21"/>
      <c r="BL39" s="21"/>
    </row>
    <row r="40" spans="1:64" s="25" customFormat="1">
      <c r="A40" s="481" t="s">
        <v>354</v>
      </c>
      <c r="B40" s="41"/>
      <c r="C40" s="41"/>
      <c r="D40" s="41"/>
      <c r="E40" s="42"/>
      <c r="F40" s="43"/>
      <c r="G40" s="41"/>
      <c r="H40" s="41"/>
      <c r="I40" s="41"/>
      <c r="J40" s="42"/>
      <c r="K40" s="43"/>
      <c r="L40" s="41"/>
      <c r="M40" s="41"/>
      <c r="N40" s="41"/>
      <c r="O40" s="42"/>
      <c r="P40" s="43"/>
      <c r="Q40" s="41"/>
      <c r="R40" s="41"/>
      <c r="S40" s="41"/>
      <c r="T40" s="42"/>
      <c r="U40" s="43"/>
      <c r="V40" s="41"/>
      <c r="W40" s="41"/>
      <c r="X40" s="41"/>
      <c r="Y40" s="42"/>
      <c r="Z40" s="43"/>
      <c r="AA40" s="41"/>
      <c r="AB40" s="41">
        <v>750</v>
      </c>
      <c r="AC40" s="41">
        <f t="shared" si="60"/>
        <v>750</v>
      </c>
      <c r="AD40" s="41">
        <f t="shared" si="60"/>
        <v>750</v>
      </c>
      <c r="AE40" s="75">
        <f t="shared" si="60"/>
        <v>750</v>
      </c>
      <c r="AF40" s="41">
        <f t="shared" si="60"/>
        <v>750</v>
      </c>
      <c r="AG40" s="41">
        <f t="shared" si="60"/>
        <v>750</v>
      </c>
      <c r="AH40" s="41">
        <v>750</v>
      </c>
      <c r="AI40" s="41">
        <f t="shared" si="60"/>
        <v>750</v>
      </c>
      <c r="AJ40" s="75">
        <f t="shared" si="60"/>
        <v>750</v>
      </c>
      <c r="AK40" s="41">
        <f t="shared" si="30"/>
        <v>750</v>
      </c>
      <c r="AL40" s="41">
        <f t="shared" si="30"/>
        <v>750</v>
      </c>
      <c r="AM40" s="41">
        <f t="shared" si="30"/>
        <v>750</v>
      </c>
      <c r="AN40" s="41">
        <f t="shared" si="30"/>
        <v>750</v>
      </c>
      <c r="AO40" s="75">
        <f t="shared" si="54"/>
        <v>750</v>
      </c>
      <c r="AP40" s="41">
        <f t="shared" si="61"/>
        <v>750</v>
      </c>
      <c r="AQ40" s="41">
        <f t="shared" si="62"/>
        <v>750</v>
      </c>
      <c r="AR40" s="41">
        <f t="shared" si="63"/>
        <v>750</v>
      </c>
      <c r="AS40" s="99">
        <f t="shared" si="7"/>
        <v>750</v>
      </c>
      <c r="AT40" s="527">
        <f t="shared" si="24"/>
        <v>750</v>
      </c>
      <c r="AU40" s="41">
        <f t="shared" si="8"/>
        <v>750</v>
      </c>
      <c r="AV40" s="41">
        <f t="shared" si="9"/>
        <v>750</v>
      </c>
      <c r="AW40" s="41">
        <f t="shared" si="10"/>
        <v>750</v>
      </c>
      <c r="AX40" s="41">
        <f t="shared" si="11"/>
        <v>750</v>
      </c>
      <c r="AY40" s="75">
        <f t="shared" si="12"/>
        <v>750</v>
      </c>
      <c r="AZ40" s="41">
        <f t="shared" si="38"/>
        <v>750</v>
      </c>
      <c r="BA40" s="41">
        <f t="shared" si="39"/>
        <v>750</v>
      </c>
      <c r="BB40" s="41">
        <f t="shared" si="40"/>
        <v>750</v>
      </c>
      <c r="BC40" s="41">
        <f t="shared" si="41"/>
        <v>750</v>
      </c>
      <c r="BD40" s="75">
        <f t="shared" si="17"/>
        <v>750</v>
      </c>
      <c r="BE40" s="41">
        <f t="shared" si="50"/>
        <v>750</v>
      </c>
      <c r="BF40" s="41">
        <f t="shared" si="51"/>
        <v>750</v>
      </c>
      <c r="BG40" s="41">
        <f t="shared" si="52"/>
        <v>750</v>
      </c>
      <c r="BH40" s="41">
        <f t="shared" si="53"/>
        <v>750</v>
      </c>
      <c r="BI40" s="75">
        <f t="shared" si="22"/>
        <v>750</v>
      </c>
      <c r="BJ40" s="21"/>
      <c r="BK40" s="21"/>
      <c r="BL40" s="21"/>
    </row>
    <row r="41" spans="1:64" s="25" customFormat="1">
      <c r="A41" s="481" t="s">
        <v>355</v>
      </c>
      <c r="B41" s="41"/>
      <c r="C41" s="41"/>
      <c r="D41" s="41"/>
      <c r="E41" s="42"/>
      <c r="F41" s="43"/>
      <c r="G41" s="41"/>
      <c r="H41" s="41"/>
      <c r="I41" s="41"/>
      <c r="J41" s="42"/>
      <c r="K41" s="43"/>
      <c r="L41" s="41"/>
      <c r="M41" s="41"/>
      <c r="N41" s="41"/>
      <c r="O41" s="42"/>
      <c r="P41" s="43"/>
      <c r="Q41" s="41"/>
      <c r="R41" s="41"/>
      <c r="S41" s="41"/>
      <c r="T41" s="42"/>
      <c r="U41" s="43"/>
      <c r="V41" s="41"/>
      <c r="W41" s="41"/>
      <c r="X41" s="41"/>
      <c r="Y41" s="42"/>
      <c r="Z41" s="43"/>
      <c r="AA41" s="41"/>
      <c r="AB41" s="41">
        <v>1000</v>
      </c>
      <c r="AC41" s="41">
        <f t="shared" si="60"/>
        <v>1000</v>
      </c>
      <c r="AD41" s="41">
        <f t="shared" si="60"/>
        <v>1000</v>
      </c>
      <c r="AE41" s="75">
        <f t="shared" si="60"/>
        <v>1000</v>
      </c>
      <c r="AF41" s="41">
        <f t="shared" si="60"/>
        <v>1000</v>
      </c>
      <c r="AG41" s="41">
        <f t="shared" si="60"/>
        <v>1000</v>
      </c>
      <c r="AH41" s="41">
        <v>1000</v>
      </c>
      <c r="AI41" s="41">
        <v>553</v>
      </c>
      <c r="AJ41" s="75">
        <f t="shared" si="60"/>
        <v>553</v>
      </c>
      <c r="AK41" s="41">
        <f t="shared" si="30"/>
        <v>553</v>
      </c>
      <c r="AL41" s="41">
        <f t="shared" si="30"/>
        <v>553</v>
      </c>
      <c r="AM41" s="41">
        <f t="shared" si="30"/>
        <v>553</v>
      </c>
      <c r="AN41" s="41">
        <f t="shared" si="30"/>
        <v>553</v>
      </c>
      <c r="AO41" s="75">
        <f t="shared" si="54"/>
        <v>553</v>
      </c>
      <c r="AP41" s="41">
        <f t="shared" si="61"/>
        <v>553</v>
      </c>
      <c r="AQ41" s="41">
        <f t="shared" si="62"/>
        <v>553</v>
      </c>
      <c r="AR41" s="41">
        <f t="shared" si="63"/>
        <v>553</v>
      </c>
      <c r="AS41" s="99">
        <f t="shared" si="7"/>
        <v>553</v>
      </c>
      <c r="AT41" s="527">
        <f t="shared" si="24"/>
        <v>553</v>
      </c>
      <c r="AU41" s="41">
        <f t="shared" si="8"/>
        <v>553</v>
      </c>
      <c r="AV41" s="41">
        <f t="shared" si="9"/>
        <v>553</v>
      </c>
      <c r="AW41" s="41">
        <f t="shared" si="10"/>
        <v>553</v>
      </c>
      <c r="AX41" s="41">
        <f t="shared" si="11"/>
        <v>553</v>
      </c>
      <c r="AY41" s="75">
        <f t="shared" si="12"/>
        <v>553</v>
      </c>
      <c r="AZ41" s="41">
        <f t="shared" si="38"/>
        <v>553</v>
      </c>
      <c r="BA41" s="41">
        <f t="shared" si="39"/>
        <v>553</v>
      </c>
      <c r="BB41" s="41">
        <f t="shared" si="40"/>
        <v>553</v>
      </c>
      <c r="BC41" s="41">
        <f t="shared" si="41"/>
        <v>553</v>
      </c>
      <c r="BD41" s="75">
        <f t="shared" si="17"/>
        <v>553</v>
      </c>
      <c r="BE41" s="41">
        <f t="shared" si="50"/>
        <v>553</v>
      </c>
      <c r="BF41" s="41">
        <f t="shared" si="51"/>
        <v>553</v>
      </c>
      <c r="BG41" s="41">
        <f t="shared" si="52"/>
        <v>553</v>
      </c>
      <c r="BH41" s="41">
        <f t="shared" si="53"/>
        <v>553</v>
      </c>
      <c r="BI41" s="75">
        <f t="shared" si="22"/>
        <v>553</v>
      </c>
      <c r="BJ41" s="21"/>
      <c r="BK41" s="21"/>
      <c r="BL41" s="21"/>
    </row>
    <row r="42" spans="1:64" s="25" customFormat="1">
      <c r="A42" s="481" t="s">
        <v>356</v>
      </c>
      <c r="B42" s="41"/>
      <c r="C42" s="41"/>
      <c r="D42" s="41"/>
      <c r="E42" s="42"/>
      <c r="F42" s="43"/>
      <c r="G42" s="41"/>
      <c r="H42" s="41"/>
      <c r="I42" s="41"/>
      <c r="J42" s="42"/>
      <c r="K42" s="43"/>
      <c r="L42" s="41"/>
      <c r="M42" s="41"/>
      <c r="N42" s="41"/>
      <c r="O42" s="42"/>
      <c r="P42" s="43"/>
      <c r="Q42" s="41"/>
      <c r="R42" s="41"/>
      <c r="S42" s="41"/>
      <c r="T42" s="42"/>
      <c r="U42" s="43"/>
      <c r="V42" s="41"/>
      <c r="W42" s="41"/>
      <c r="X42" s="41"/>
      <c r="Y42" s="42"/>
      <c r="Z42" s="43"/>
      <c r="AA42" s="41"/>
      <c r="AB42" s="41">
        <v>600</v>
      </c>
      <c r="AC42" s="41">
        <f t="shared" si="60"/>
        <v>600</v>
      </c>
      <c r="AD42" s="41">
        <f t="shared" si="60"/>
        <v>600</v>
      </c>
      <c r="AE42" s="75">
        <f t="shared" si="60"/>
        <v>600</v>
      </c>
      <c r="AF42" s="41">
        <f t="shared" si="60"/>
        <v>600</v>
      </c>
      <c r="AG42" s="41">
        <f t="shared" si="60"/>
        <v>600</v>
      </c>
      <c r="AH42" s="41">
        <v>600</v>
      </c>
      <c r="AI42" s="41">
        <f t="shared" si="60"/>
        <v>600</v>
      </c>
      <c r="AJ42" s="75">
        <f t="shared" si="60"/>
        <v>600</v>
      </c>
      <c r="AK42" s="41">
        <f t="shared" si="30"/>
        <v>600</v>
      </c>
      <c r="AL42" s="41">
        <f t="shared" si="30"/>
        <v>600</v>
      </c>
      <c r="AM42" s="41">
        <f t="shared" si="30"/>
        <v>600</v>
      </c>
      <c r="AN42" s="41">
        <f t="shared" si="30"/>
        <v>600</v>
      </c>
      <c r="AO42" s="75">
        <f t="shared" si="54"/>
        <v>600</v>
      </c>
      <c r="AP42" s="41">
        <f t="shared" si="61"/>
        <v>600</v>
      </c>
      <c r="AQ42" s="41">
        <f t="shared" si="62"/>
        <v>600</v>
      </c>
      <c r="AR42" s="41">
        <f t="shared" si="63"/>
        <v>600</v>
      </c>
      <c r="AS42" s="99">
        <f t="shared" si="7"/>
        <v>600</v>
      </c>
      <c r="AT42" s="527">
        <f t="shared" si="24"/>
        <v>600</v>
      </c>
      <c r="AU42" s="41">
        <f t="shared" si="8"/>
        <v>600</v>
      </c>
      <c r="AV42" s="41">
        <f t="shared" si="9"/>
        <v>600</v>
      </c>
      <c r="AW42" s="41">
        <f t="shared" si="10"/>
        <v>600</v>
      </c>
      <c r="AX42" s="41">
        <f t="shared" si="11"/>
        <v>600</v>
      </c>
      <c r="AY42" s="75">
        <f t="shared" si="12"/>
        <v>600</v>
      </c>
      <c r="AZ42" s="41">
        <f t="shared" si="38"/>
        <v>600</v>
      </c>
      <c r="BA42" s="41">
        <f t="shared" si="39"/>
        <v>600</v>
      </c>
      <c r="BB42" s="41">
        <f t="shared" si="40"/>
        <v>600</v>
      </c>
      <c r="BC42" s="41">
        <f t="shared" si="41"/>
        <v>600</v>
      </c>
      <c r="BD42" s="75">
        <f t="shared" si="17"/>
        <v>600</v>
      </c>
      <c r="BE42" s="41">
        <f t="shared" si="50"/>
        <v>600</v>
      </c>
      <c r="BF42" s="41">
        <f t="shared" si="51"/>
        <v>600</v>
      </c>
      <c r="BG42" s="41">
        <f t="shared" si="52"/>
        <v>600</v>
      </c>
      <c r="BH42" s="41">
        <f t="shared" si="53"/>
        <v>600</v>
      </c>
      <c r="BI42" s="75">
        <f t="shared" si="22"/>
        <v>600</v>
      </c>
      <c r="BJ42" s="21"/>
      <c r="BK42" s="21"/>
      <c r="BL42" s="21"/>
    </row>
    <row r="43" spans="1:64" s="25" customFormat="1">
      <c r="A43" s="481" t="s">
        <v>357</v>
      </c>
      <c r="B43" s="41"/>
      <c r="C43" s="41"/>
      <c r="D43" s="41"/>
      <c r="E43" s="42"/>
      <c r="F43" s="43"/>
      <c r="G43" s="41"/>
      <c r="H43" s="41"/>
      <c r="I43" s="41"/>
      <c r="J43" s="42"/>
      <c r="K43" s="43"/>
      <c r="L43" s="41"/>
      <c r="M43" s="41"/>
      <c r="N43" s="41"/>
      <c r="O43" s="42"/>
      <c r="P43" s="43"/>
      <c r="Q43" s="41"/>
      <c r="R43" s="41"/>
      <c r="S43" s="41"/>
      <c r="T43" s="42"/>
      <c r="U43" s="43"/>
      <c r="V43" s="41"/>
      <c r="W43" s="41"/>
      <c r="X43" s="41"/>
      <c r="Y43" s="42"/>
      <c r="Z43" s="43"/>
      <c r="AA43" s="41"/>
      <c r="AB43" s="41">
        <v>425</v>
      </c>
      <c r="AC43" s="41">
        <f t="shared" si="60"/>
        <v>425</v>
      </c>
      <c r="AD43" s="41">
        <f t="shared" si="60"/>
        <v>425</v>
      </c>
      <c r="AE43" s="75">
        <f t="shared" si="60"/>
        <v>425</v>
      </c>
      <c r="AF43" s="41">
        <f t="shared" si="60"/>
        <v>425</v>
      </c>
      <c r="AG43" s="41">
        <f t="shared" si="60"/>
        <v>425</v>
      </c>
      <c r="AH43" s="41">
        <v>425</v>
      </c>
      <c r="AI43" s="41">
        <f t="shared" si="60"/>
        <v>425</v>
      </c>
      <c r="AJ43" s="75">
        <f t="shared" si="60"/>
        <v>425</v>
      </c>
      <c r="AK43" s="41">
        <f t="shared" si="30"/>
        <v>425</v>
      </c>
      <c r="AL43" s="41">
        <f t="shared" si="30"/>
        <v>425</v>
      </c>
      <c r="AM43" s="41">
        <f t="shared" si="30"/>
        <v>425</v>
      </c>
      <c r="AN43" s="41">
        <f t="shared" si="30"/>
        <v>425</v>
      </c>
      <c r="AO43" s="75">
        <f t="shared" si="54"/>
        <v>425</v>
      </c>
      <c r="AP43" s="41">
        <f t="shared" si="61"/>
        <v>425</v>
      </c>
      <c r="AQ43" s="41">
        <f t="shared" si="62"/>
        <v>425</v>
      </c>
      <c r="AR43" s="41">
        <f t="shared" si="63"/>
        <v>425</v>
      </c>
      <c r="AS43" s="99">
        <f t="shared" si="7"/>
        <v>425</v>
      </c>
      <c r="AT43" s="527">
        <f t="shared" si="24"/>
        <v>425</v>
      </c>
      <c r="AU43" s="41">
        <f t="shared" si="8"/>
        <v>425</v>
      </c>
      <c r="AV43" s="41">
        <f t="shared" si="9"/>
        <v>425</v>
      </c>
      <c r="AW43" s="41">
        <f t="shared" si="10"/>
        <v>425</v>
      </c>
      <c r="AX43" s="41">
        <f t="shared" si="11"/>
        <v>425</v>
      </c>
      <c r="AY43" s="75">
        <f t="shared" si="12"/>
        <v>425</v>
      </c>
      <c r="AZ43" s="41">
        <f t="shared" si="38"/>
        <v>425</v>
      </c>
      <c r="BA43" s="41">
        <f t="shared" si="39"/>
        <v>425</v>
      </c>
      <c r="BB43" s="41">
        <f t="shared" si="40"/>
        <v>425</v>
      </c>
      <c r="BC43" s="41">
        <f t="shared" si="41"/>
        <v>425</v>
      </c>
      <c r="BD43" s="75">
        <f t="shared" si="17"/>
        <v>425</v>
      </c>
      <c r="BE43" s="41">
        <f t="shared" si="50"/>
        <v>425</v>
      </c>
      <c r="BF43" s="41">
        <f t="shared" si="51"/>
        <v>425</v>
      </c>
      <c r="BG43" s="41">
        <f t="shared" si="52"/>
        <v>425</v>
      </c>
      <c r="BH43" s="41">
        <f t="shared" si="53"/>
        <v>425</v>
      </c>
      <c r="BI43" s="75">
        <f t="shared" si="22"/>
        <v>425</v>
      </c>
      <c r="BJ43" s="21"/>
      <c r="BK43" s="21"/>
      <c r="BL43" s="21"/>
    </row>
    <row r="44" spans="1:64" s="25" customFormat="1">
      <c r="A44" s="481" t="s">
        <v>358</v>
      </c>
      <c r="B44" s="41"/>
      <c r="C44" s="41"/>
      <c r="D44" s="41"/>
      <c r="E44" s="42"/>
      <c r="F44" s="43"/>
      <c r="G44" s="41"/>
      <c r="H44" s="41"/>
      <c r="I44" s="41"/>
      <c r="J44" s="42"/>
      <c r="K44" s="43"/>
      <c r="L44" s="41"/>
      <c r="M44" s="41"/>
      <c r="N44" s="41"/>
      <c r="O44" s="42"/>
      <c r="P44" s="43"/>
      <c r="Q44" s="41"/>
      <c r="R44" s="41"/>
      <c r="S44" s="41"/>
      <c r="T44" s="42"/>
      <c r="U44" s="43"/>
      <c r="V44" s="41"/>
      <c r="W44" s="41"/>
      <c r="X44" s="41"/>
      <c r="Y44" s="42"/>
      <c r="Z44" s="43"/>
      <c r="AA44" s="41"/>
      <c r="AB44" s="41">
        <v>3500</v>
      </c>
      <c r="AC44" s="41">
        <f t="shared" si="60"/>
        <v>3500</v>
      </c>
      <c r="AD44" s="41">
        <f t="shared" si="60"/>
        <v>3500</v>
      </c>
      <c r="AE44" s="75">
        <f t="shared" si="60"/>
        <v>3500</v>
      </c>
      <c r="AF44" s="41">
        <f t="shared" si="60"/>
        <v>3500</v>
      </c>
      <c r="AG44" s="41">
        <f t="shared" si="60"/>
        <v>3500</v>
      </c>
      <c r="AH44" s="41">
        <v>3500</v>
      </c>
      <c r="AI44" s="41">
        <f t="shared" si="60"/>
        <v>3500</v>
      </c>
      <c r="AJ44" s="75">
        <f t="shared" si="60"/>
        <v>3500</v>
      </c>
      <c r="AK44" s="41">
        <f t="shared" si="30"/>
        <v>3500</v>
      </c>
      <c r="AL44" s="41">
        <f t="shared" si="30"/>
        <v>3500</v>
      </c>
      <c r="AM44" s="41">
        <f t="shared" si="30"/>
        <v>3500</v>
      </c>
      <c r="AN44" s="41">
        <f t="shared" si="30"/>
        <v>3500</v>
      </c>
      <c r="AO44" s="75">
        <f t="shared" si="54"/>
        <v>3500</v>
      </c>
      <c r="AP44" s="41">
        <f t="shared" si="61"/>
        <v>3500</v>
      </c>
      <c r="AQ44" s="41">
        <f t="shared" si="62"/>
        <v>3500</v>
      </c>
      <c r="AR44" s="41">
        <f t="shared" si="63"/>
        <v>3500</v>
      </c>
      <c r="AS44" s="99">
        <f t="shared" si="7"/>
        <v>3500</v>
      </c>
      <c r="AT44" s="527">
        <f t="shared" si="24"/>
        <v>3500</v>
      </c>
      <c r="AU44" s="41">
        <f t="shared" si="8"/>
        <v>3500</v>
      </c>
      <c r="AV44" s="41">
        <f t="shared" si="9"/>
        <v>3500</v>
      </c>
      <c r="AW44" s="41">
        <f t="shared" si="10"/>
        <v>3500</v>
      </c>
      <c r="AX44" s="41">
        <f t="shared" si="11"/>
        <v>3500</v>
      </c>
      <c r="AY44" s="75">
        <f t="shared" si="12"/>
        <v>3500</v>
      </c>
      <c r="AZ44" s="41">
        <f t="shared" si="38"/>
        <v>3500</v>
      </c>
      <c r="BA44" s="41">
        <f t="shared" si="39"/>
        <v>3500</v>
      </c>
      <c r="BB44" s="41">
        <f t="shared" si="40"/>
        <v>3500</v>
      </c>
      <c r="BC44" s="41">
        <f t="shared" si="41"/>
        <v>3500</v>
      </c>
      <c r="BD44" s="75">
        <f t="shared" si="17"/>
        <v>3500</v>
      </c>
      <c r="BE44" s="41">
        <f t="shared" si="50"/>
        <v>3500</v>
      </c>
      <c r="BF44" s="41">
        <f t="shared" si="51"/>
        <v>3500</v>
      </c>
      <c r="BG44" s="41">
        <f t="shared" si="52"/>
        <v>3500</v>
      </c>
      <c r="BH44" s="41">
        <f t="shared" si="53"/>
        <v>3500</v>
      </c>
      <c r="BI44" s="75">
        <f t="shared" si="22"/>
        <v>3500</v>
      </c>
      <c r="BJ44" s="21"/>
      <c r="BK44" s="21"/>
      <c r="BL44" s="21"/>
    </row>
    <row r="45" spans="1:64" s="25" customFormat="1">
      <c r="A45" s="481" t="s">
        <v>359</v>
      </c>
      <c r="B45" s="41"/>
      <c r="C45" s="41"/>
      <c r="D45" s="41"/>
      <c r="E45" s="42"/>
      <c r="F45" s="43"/>
      <c r="G45" s="41"/>
      <c r="H45" s="41"/>
      <c r="I45" s="41"/>
      <c r="J45" s="42"/>
      <c r="K45" s="43"/>
      <c r="L45" s="41"/>
      <c r="M45" s="41"/>
      <c r="N45" s="41"/>
      <c r="O45" s="42"/>
      <c r="P45" s="43"/>
      <c r="Q45" s="41"/>
      <c r="R45" s="41"/>
      <c r="S45" s="41"/>
      <c r="T45" s="42"/>
      <c r="U45" s="43"/>
      <c r="V45" s="41"/>
      <c r="W45" s="41"/>
      <c r="X45" s="41"/>
      <c r="Y45" s="42"/>
      <c r="Z45" s="43"/>
      <c r="AA45" s="41"/>
      <c r="AB45" s="41">
        <v>400</v>
      </c>
      <c r="AC45" s="41">
        <f t="shared" si="60"/>
        <v>400</v>
      </c>
      <c r="AD45" s="41">
        <f t="shared" si="60"/>
        <v>400</v>
      </c>
      <c r="AE45" s="75">
        <f t="shared" si="60"/>
        <v>400</v>
      </c>
      <c r="AF45" s="41">
        <f t="shared" si="60"/>
        <v>400</v>
      </c>
      <c r="AG45" s="41">
        <f t="shared" si="60"/>
        <v>400</v>
      </c>
      <c r="AH45" s="41">
        <v>400</v>
      </c>
      <c r="AI45" s="41">
        <f t="shared" si="60"/>
        <v>400</v>
      </c>
      <c r="AJ45" s="75">
        <f t="shared" si="60"/>
        <v>400</v>
      </c>
      <c r="AK45" s="41">
        <f t="shared" si="30"/>
        <v>400</v>
      </c>
      <c r="AL45" s="41">
        <f t="shared" si="30"/>
        <v>400</v>
      </c>
      <c r="AM45" s="41">
        <f t="shared" si="30"/>
        <v>400</v>
      </c>
      <c r="AN45" s="41">
        <f t="shared" si="30"/>
        <v>400</v>
      </c>
      <c r="AO45" s="75">
        <f t="shared" si="54"/>
        <v>400</v>
      </c>
      <c r="AP45" s="41">
        <f t="shared" si="61"/>
        <v>400</v>
      </c>
      <c r="AQ45" s="41">
        <f t="shared" si="62"/>
        <v>400</v>
      </c>
      <c r="AR45" s="41">
        <f t="shared" si="63"/>
        <v>400</v>
      </c>
      <c r="AS45" s="99">
        <f t="shared" si="7"/>
        <v>400</v>
      </c>
      <c r="AT45" s="527">
        <f t="shared" si="24"/>
        <v>400</v>
      </c>
      <c r="AU45" s="41">
        <f t="shared" si="8"/>
        <v>400</v>
      </c>
      <c r="AV45" s="41">
        <f t="shared" si="9"/>
        <v>400</v>
      </c>
      <c r="AW45" s="41">
        <f t="shared" si="10"/>
        <v>400</v>
      </c>
      <c r="AX45" s="41">
        <f t="shared" si="11"/>
        <v>400</v>
      </c>
      <c r="AY45" s="75">
        <f t="shared" si="12"/>
        <v>400</v>
      </c>
      <c r="AZ45" s="41">
        <f t="shared" si="38"/>
        <v>400</v>
      </c>
      <c r="BA45" s="41">
        <f t="shared" si="39"/>
        <v>400</v>
      </c>
      <c r="BB45" s="41">
        <f t="shared" si="40"/>
        <v>400</v>
      </c>
      <c r="BC45" s="41">
        <f t="shared" si="41"/>
        <v>400</v>
      </c>
      <c r="BD45" s="75">
        <f t="shared" si="17"/>
        <v>400</v>
      </c>
      <c r="BE45" s="41">
        <f t="shared" si="50"/>
        <v>400</v>
      </c>
      <c r="BF45" s="41">
        <f t="shared" si="51"/>
        <v>400</v>
      </c>
      <c r="BG45" s="41">
        <f t="shared" si="52"/>
        <v>400</v>
      </c>
      <c r="BH45" s="41">
        <f t="shared" si="53"/>
        <v>400</v>
      </c>
      <c r="BI45" s="75">
        <f t="shared" si="22"/>
        <v>400</v>
      </c>
      <c r="BJ45" s="21"/>
      <c r="BK45" s="21"/>
      <c r="BL45" s="21"/>
    </row>
    <row r="46" spans="1:64" s="25" customFormat="1">
      <c r="A46" s="481" t="s">
        <v>360</v>
      </c>
      <c r="B46" s="41"/>
      <c r="C46" s="41"/>
      <c r="D46" s="41"/>
      <c r="E46" s="42"/>
      <c r="F46" s="43"/>
      <c r="G46" s="41"/>
      <c r="H46" s="41"/>
      <c r="I46" s="41"/>
      <c r="J46" s="42"/>
      <c r="K46" s="43"/>
      <c r="L46" s="41"/>
      <c r="M46" s="41"/>
      <c r="N46" s="41"/>
      <c r="O46" s="42"/>
      <c r="P46" s="43"/>
      <c r="Q46" s="41"/>
      <c r="R46" s="41"/>
      <c r="S46" s="41"/>
      <c r="T46" s="42"/>
      <c r="U46" s="43"/>
      <c r="V46" s="41"/>
      <c r="W46" s="41"/>
      <c r="X46" s="41"/>
      <c r="Y46" s="42"/>
      <c r="Z46" s="43"/>
      <c r="AA46" s="41"/>
      <c r="AB46" s="41">
        <v>300</v>
      </c>
      <c r="AC46" s="41">
        <f t="shared" si="60"/>
        <v>300</v>
      </c>
      <c r="AD46" s="41">
        <f t="shared" si="60"/>
        <v>300</v>
      </c>
      <c r="AE46" s="75">
        <f t="shared" si="60"/>
        <v>300</v>
      </c>
      <c r="AF46" s="41">
        <f t="shared" si="60"/>
        <v>300</v>
      </c>
      <c r="AG46" s="41">
        <f t="shared" si="60"/>
        <v>300</v>
      </c>
      <c r="AH46" s="41">
        <v>300</v>
      </c>
      <c r="AI46" s="41">
        <f t="shared" si="60"/>
        <v>300</v>
      </c>
      <c r="AJ46" s="75">
        <f t="shared" si="60"/>
        <v>300</v>
      </c>
      <c r="AK46" s="41">
        <f t="shared" si="30"/>
        <v>300</v>
      </c>
      <c r="AL46" s="41">
        <f t="shared" si="30"/>
        <v>300</v>
      </c>
      <c r="AM46" s="41">
        <f t="shared" si="30"/>
        <v>300</v>
      </c>
      <c r="AN46" s="41">
        <f t="shared" si="30"/>
        <v>300</v>
      </c>
      <c r="AO46" s="75">
        <f t="shared" si="54"/>
        <v>300</v>
      </c>
      <c r="AP46" s="41">
        <f t="shared" si="61"/>
        <v>300</v>
      </c>
      <c r="AQ46" s="41">
        <f t="shared" si="62"/>
        <v>300</v>
      </c>
      <c r="AR46" s="41">
        <f t="shared" si="63"/>
        <v>300</v>
      </c>
      <c r="AS46" s="99">
        <f t="shared" si="7"/>
        <v>300</v>
      </c>
      <c r="AT46" s="527">
        <f t="shared" si="24"/>
        <v>300</v>
      </c>
      <c r="AU46" s="41">
        <f t="shared" si="8"/>
        <v>300</v>
      </c>
      <c r="AV46" s="41">
        <f t="shared" si="9"/>
        <v>300</v>
      </c>
      <c r="AW46" s="41">
        <f t="shared" si="10"/>
        <v>300</v>
      </c>
      <c r="AX46" s="41">
        <f t="shared" si="11"/>
        <v>300</v>
      </c>
      <c r="AY46" s="75">
        <f t="shared" si="12"/>
        <v>300</v>
      </c>
      <c r="AZ46" s="41">
        <f t="shared" si="38"/>
        <v>300</v>
      </c>
      <c r="BA46" s="41">
        <f t="shared" si="39"/>
        <v>300</v>
      </c>
      <c r="BB46" s="41">
        <f t="shared" si="40"/>
        <v>300</v>
      </c>
      <c r="BC46" s="41">
        <f t="shared" si="41"/>
        <v>300</v>
      </c>
      <c r="BD46" s="75">
        <f t="shared" si="17"/>
        <v>300</v>
      </c>
      <c r="BE46" s="41">
        <f t="shared" si="50"/>
        <v>300</v>
      </c>
      <c r="BF46" s="41">
        <f t="shared" si="51"/>
        <v>300</v>
      </c>
      <c r="BG46" s="41">
        <f t="shared" si="52"/>
        <v>300</v>
      </c>
      <c r="BH46" s="41">
        <f t="shared" si="53"/>
        <v>300</v>
      </c>
      <c r="BI46" s="75">
        <f t="shared" si="22"/>
        <v>300</v>
      </c>
      <c r="BJ46" s="21"/>
      <c r="BK46" s="21"/>
      <c r="BL46" s="21"/>
    </row>
    <row r="47" spans="1:64" s="25" customFormat="1">
      <c r="A47" s="481" t="s">
        <v>361</v>
      </c>
      <c r="B47" s="41"/>
      <c r="C47" s="41"/>
      <c r="D47" s="41"/>
      <c r="E47" s="42"/>
      <c r="F47" s="43"/>
      <c r="G47" s="41"/>
      <c r="H47" s="41"/>
      <c r="I47" s="41"/>
      <c r="J47" s="42"/>
      <c r="K47" s="43"/>
      <c r="L47" s="41"/>
      <c r="M47" s="41"/>
      <c r="N47" s="41"/>
      <c r="O47" s="42"/>
      <c r="P47" s="43"/>
      <c r="Q47" s="41"/>
      <c r="R47" s="41"/>
      <c r="S47" s="41"/>
      <c r="T47" s="42"/>
      <c r="U47" s="43"/>
      <c r="V47" s="41"/>
      <c r="W47" s="41"/>
      <c r="X47" s="41"/>
      <c r="Y47" s="42"/>
      <c r="Z47" s="43"/>
      <c r="AA47" s="41"/>
      <c r="AB47" s="41">
        <v>850</v>
      </c>
      <c r="AC47" s="41">
        <f t="shared" si="60"/>
        <v>850</v>
      </c>
      <c r="AD47" s="41">
        <f t="shared" si="60"/>
        <v>850</v>
      </c>
      <c r="AE47" s="75">
        <f t="shared" si="60"/>
        <v>850</v>
      </c>
      <c r="AF47" s="41">
        <f t="shared" si="60"/>
        <v>850</v>
      </c>
      <c r="AG47" s="41">
        <f t="shared" si="60"/>
        <v>850</v>
      </c>
      <c r="AH47" s="41">
        <v>850</v>
      </c>
      <c r="AI47" s="41">
        <f t="shared" si="60"/>
        <v>850</v>
      </c>
      <c r="AJ47" s="75">
        <f t="shared" si="60"/>
        <v>850</v>
      </c>
      <c r="AK47" s="41">
        <f t="shared" si="30"/>
        <v>850</v>
      </c>
      <c r="AL47" s="41">
        <f t="shared" si="30"/>
        <v>850</v>
      </c>
      <c r="AM47" s="41">
        <f t="shared" si="30"/>
        <v>850</v>
      </c>
      <c r="AN47" s="41">
        <f t="shared" si="30"/>
        <v>850</v>
      </c>
      <c r="AO47" s="75">
        <f t="shared" si="54"/>
        <v>850</v>
      </c>
      <c r="AP47" s="41">
        <f t="shared" si="61"/>
        <v>850</v>
      </c>
      <c r="AQ47" s="41">
        <f t="shared" si="62"/>
        <v>850</v>
      </c>
      <c r="AR47" s="41">
        <f t="shared" si="63"/>
        <v>850</v>
      </c>
      <c r="AS47" s="99">
        <f t="shared" si="7"/>
        <v>850</v>
      </c>
      <c r="AT47" s="527">
        <f t="shared" si="24"/>
        <v>850</v>
      </c>
      <c r="AU47" s="41">
        <f t="shared" si="8"/>
        <v>850</v>
      </c>
      <c r="AV47" s="41">
        <f t="shared" si="9"/>
        <v>850</v>
      </c>
      <c r="AW47" s="41">
        <f t="shared" si="10"/>
        <v>850</v>
      </c>
      <c r="AX47" s="41">
        <f t="shared" si="11"/>
        <v>850</v>
      </c>
      <c r="AY47" s="75">
        <f t="shared" si="12"/>
        <v>850</v>
      </c>
      <c r="AZ47" s="41">
        <f t="shared" si="38"/>
        <v>850</v>
      </c>
      <c r="BA47" s="41">
        <f t="shared" si="39"/>
        <v>850</v>
      </c>
      <c r="BB47" s="41">
        <f t="shared" si="40"/>
        <v>850</v>
      </c>
      <c r="BC47" s="41">
        <f t="shared" si="41"/>
        <v>850</v>
      </c>
      <c r="BD47" s="75">
        <f t="shared" si="17"/>
        <v>850</v>
      </c>
      <c r="BE47" s="41">
        <f t="shared" si="50"/>
        <v>850</v>
      </c>
      <c r="BF47" s="41">
        <f t="shared" si="51"/>
        <v>850</v>
      </c>
      <c r="BG47" s="41">
        <f t="shared" si="52"/>
        <v>850</v>
      </c>
      <c r="BH47" s="41">
        <f t="shared" si="53"/>
        <v>850</v>
      </c>
      <c r="BI47" s="75">
        <f t="shared" si="22"/>
        <v>850</v>
      </c>
      <c r="BJ47" s="21"/>
      <c r="BK47" s="21"/>
      <c r="BL47" s="21"/>
    </row>
    <row r="48" spans="1:64" s="25" customFormat="1">
      <c r="A48" s="481" t="s">
        <v>362</v>
      </c>
      <c r="B48" s="41"/>
      <c r="C48" s="41"/>
      <c r="D48" s="41"/>
      <c r="E48" s="42"/>
      <c r="F48" s="43"/>
      <c r="G48" s="41"/>
      <c r="H48" s="41"/>
      <c r="I48" s="41"/>
      <c r="J48" s="42"/>
      <c r="K48" s="43"/>
      <c r="L48" s="41"/>
      <c r="M48" s="41"/>
      <c r="N48" s="41"/>
      <c r="O48" s="42"/>
      <c r="P48" s="43"/>
      <c r="Q48" s="41"/>
      <c r="R48" s="41"/>
      <c r="S48" s="41"/>
      <c r="T48" s="42"/>
      <c r="U48" s="43"/>
      <c r="V48" s="41"/>
      <c r="W48" s="41"/>
      <c r="X48" s="41"/>
      <c r="Y48" s="42"/>
      <c r="Z48" s="43"/>
      <c r="AA48" s="41"/>
      <c r="AB48" s="41">
        <v>1100</v>
      </c>
      <c r="AC48" s="41">
        <f t="shared" ref="AC48:AJ61" si="87">AB48</f>
        <v>1100</v>
      </c>
      <c r="AD48" s="41">
        <f t="shared" si="87"/>
        <v>1100</v>
      </c>
      <c r="AE48" s="75">
        <f t="shared" si="87"/>
        <v>1100</v>
      </c>
      <c r="AF48" s="41">
        <f t="shared" si="87"/>
        <v>1100</v>
      </c>
      <c r="AG48" s="41">
        <f t="shared" si="87"/>
        <v>1100</v>
      </c>
      <c r="AH48" s="41">
        <v>1100</v>
      </c>
      <c r="AI48" s="41">
        <f t="shared" si="87"/>
        <v>1100</v>
      </c>
      <c r="AJ48" s="75">
        <f t="shared" si="87"/>
        <v>1100</v>
      </c>
      <c r="AK48" s="41">
        <f t="shared" si="30"/>
        <v>1100</v>
      </c>
      <c r="AL48" s="41">
        <f t="shared" si="30"/>
        <v>1100</v>
      </c>
      <c r="AM48" s="41">
        <f t="shared" si="30"/>
        <v>1100</v>
      </c>
      <c r="AN48" s="41">
        <f t="shared" si="30"/>
        <v>1100</v>
      </c>
      <c r="AO48" s="75">
        <f t="shared" si="54"/>
        <v>1100</v>
      </c>
      <c r="AP48" s="41">
        <f t="shared" si="61"/>
        <v>1100</v>
      </c>
      <c r="AQ48" s="41">
        <f t="shared" si="62"/>
        <v>1100</v>
      </c>
      <c r="AR48" s="41">
        <f t="shared" si="63"/>
        <v>1100</v>
      </c>
      <c r="AS48" s="99">
        <f t="shared" si="7"/>
        <v>1100</v>
      </c>
      <c r="AT48" s="527">
        <f t="shared" si="24"/>
        <v>1100</v>
      </c>
      <c r="AU48" s="41">
        <f t="shared" si="8"/>
        <v>1100</v>
      </c>
      <c r="AV48" s="41">
        <f t="shared" si="9"/>
        <v>1100</v>
      </c>
      <c r="AW48" s="41">
        <f t="shared" si="10"/>
        <v>1100</v>
      </c>
      <c r="AX48" s="41">
        <f t="shared" si="11"/>
        <v>1100</v>
      </c>
      <c r="AY48" s="75">
        <f t="shared" si="12"/>
        <v>1100</v>
      </c>
      <c r="AZ48" s="41">
        <f t="shared" si="38"/>
        <v>1100</v>
      </c>
      <c r="BA48" s="41">
        <f t="shared" si="39"/>
        <v>1100</v>
      </c>
      <c r="BB48" s="41">
        <f t="shared" si="40"/>
        <v>1100</v>
      </c>
      <c r="BC48" s="41">
        <f t="shared" si="41"/>
        <v>1100</v>
      </c>
      <c r="BD48" s="75">
        <f t="shared" si="17"/>
        <v>1100</v>
      </c>
      <c r="BE48" s="41">
        <f t="shared" si="50"/>
        <v>1100</v>
      </c>
      <c r="BF48" s="41">
        <f t="shared" si="51"/>
        <v>1100</v>
      </c>
      <c r="BG48" s="41">
        <f t="shared" si="52"/>
        <v>1100</v>
      </c>
      <c r="BH48" s="41">
        <f t="shared" si="53"/>
        <v>1100</v>
      </c>
      <c r="BI48" s="75">
        <f t="shared" si="22"/>
        <v>1100</v>
      </c>
      <c r="BJ48" s="21"/>
      <c r="BK48" s="21"/>
      <c r="BL48" s="21"/>
    </row>
    <row r="49" spans="1:64" s="25" customFormat="1">
      <c r="A49" s="481" t="s">
        <v>363</v>
      </c>
      <c r="B49" s="41"/>
      <c r="C49" s="41"/>
      <c r="D49" s="41"/>
      <c r="E49" s="42"/>
      <c r="F49" s="43"/>
      <c r="G49" s="41"/>
      <c r="H49" s="41"/>
      <c r="I49" s="41"/>
      <c r="J49" s="42"/>
      <c r="K49" s="43"/>
      <c r="L49" s="41"/>
      <c r="M49" s="41"/>
      <c r="N49" s="41"/>
      <c r="O49" s="42"/>
      <c r="P49" s="43"/>
      <c r="Q49" s="41"/>
      <c r="R49" s="41"/>
      <c r="S49" s="41"/>
      <c r="T49" s="42"/>
      <c r="U49" s="43"/>
      <c r="V49" s="41"/>
      <c r="W49" s="41"/>
      <c r="X49" s="41"/>
      <c r="Y49" s="42"/>
      <c r="Z49" s="43"/>
      <c r="AA49" s="41"/>
      <c r="AB49" s="41">
        <v>600</v>
      </c>
      <c r="AC49" s="41">
        <f t="shared" si="87"/>
        <v>600</v>
      </c>
      <c r="AD49" s="41">
        <f t="shared" si="87"/>
        <v>600</v>
      </c>
      <c r="AE49" s="75">
        <f t="shared" si="87"/>
        <v>600</v>
      </c>
      <c r="AF49" s="41">
        <f t="shared" si="87"/>
        <v>600</v>
      </c>
      <c r="AG49" s="41">
        <f t="shared" si="87"/>
        <v>600</v>
      </c>
      <c r="AH49" s="41">
        <v>600</v>
      </c>
      <c r="AI49" s="41">
        <f t="shared" si="87"/>
        <v>600</v>
      </c>
      <c r="AJ49" s="75">
        <f t="shared" si="87"/>
        <v>600</v>
      </c>
      <c r="AK49" s="41">
        <f t="shared" si="30"/>
        <v>600</v>
      </c>
      <c r="AL49" s="41">
        <f t="shared" si="30"/>
        <v>600</v>
      </c>
      <c r="AM49" s="41">
        <f t="shared" si="30"/>
        <v>600</v>
      </c>
      <c r="AN49" s="41">
        <f t="shared" si="30"/>
        <v>600</v>
      </c>
      <c r="AO49" s="75">
        <f t="shared" si="54"/>
        <v>600</v>
      </c>
      <c r="AP49" s="41">
        <f t="shared" si="61"/>
        <v>600</v>
      </c>
      <c r="AQ49" s="41">
        <f t="shared" si="62"/>
        <v>600</v>
      </c>
      <c r="AR49" s="41">
        <f t="shared" si="63"/>
        <v>600</v>
      </c>
      <c r="AS49" s="99">
        <f t="shared" si="7"/>
        <v>600</v>
      </c>
      <c r="AT49" s="527">
        <f t="shared" si="24"/>
        <v>600</v>
      </c>
      <c r="AU49" s="41">
        <f t="shared" si="8"/>
        <v>600</v>
      </c>
      <c r="AV49" s="41">
        <f t="shared" si="9"/>
        <v>600</v>
      </c>
      <c r="AW49" s="41">
        <f t="shared" si="10"/>
        <v>600</v>
      </c>
      <c r="AX49" s="41">
        <f t="shared" si="11"/>
        <v>600</v>
      </c>
      <c r="AY49" s="75">
        <f t="shared" si="12"/>
        <v>600</v>
      </c>
      <c r="AZ49" s="41">
        <f t="shared" si="38"/>
        <v>600</v>
      </c>
      <c r="BA49" s="41">
        <f t="shared" si="39"/>
        <v>600</v>
      </c>
      <c r="BB49" s="41">
        <f t="shared" si="40"/>
        <v>600</v>
      </c>
      <c r="BC49" s="41">
        <f t="shared" si="41"/>
        <v>600</v>
      </c>
      <c r="BD49" s="75">
        <f t="shared" si="17"/>
        <v>600</v>
      </c>
      <c r="BE49" s="41">
        <f t="shared" si="50"/>
        <v>600</v>
      </c>
      <c r="BF49" s="41">
        <f t="shared" si="51"/>
        <v>600</v>
      </c>
      <c r="BG49" s="41">
        <f t="shared" si="52"/>
        <v>600</v>
      </c>
      <c r="BH49" s="41">
        <f t="shared" si="53"/>
        <v>600</v>
      </c>
      <c r="BI49" s="75">
        <f t="shared" si="22"/>
        <v>600</v>
      </c>
      <c r="BJ49" s="21"/>
      <c r="BK49" s="21"/>
      <c r="BL49" s="21"/>
    </row>
    <row r="50" spans="1:64" s="25" customFormat="1">
      <c r="A50" s="481" t="s">
        <v>364</v>
      </c>
      <c r="B50" s="41"/>
      <c r="C50" s="41"/>
      <c r="D50" s="41"/>
      <c r="E50" s="42"/>
      <c r="F50" s="43"/>
      <c r="G50" s="41"/>
      <c r="H50" s="41"/>
      <c r="I50" s="41"/>
      <c r="J50" s="42"/>
      <c r="K50" s="43"/>
      <c r="L50" s="41"/>
      <c r="M50" s="41"/>
      <c r="N50" s="41"/>
      <c r="O50" s="42"/>
      <c r="P50" s="43"/>
      <c r="Q50" s="41"/>
      <c r="R50" s="41"/>
      <c r="S50" s="41"/>
      <c r="T50" s="42"/>
      <c r="U50" s="43"/>
      <c r="V50" s="41"/>
      <c r="W50" s="41"/>
      <c r="X50" s="41"/>
      <c r="Y50" s="42"/>
      <c r="Z50" s="43"/>
      <c r="AA50" s="41"/>
      <c r="AB50" s="41">
        <v>1000</v>
      </c>
      <c r="AC50" s="41">
        <f t="shared" si="87"/>
        <v>1000</v>
      </c>
      <c r="AD50" s="41">
        <f t="shared" si="87"/>
        <v>1000</v>
      </c>
      <c r="AE50" s="75">
        <f t="shared" si="87"/>
        <v>1000</v>
      </c>
      <c r="AF50" s="41">
        <f t="shared" si="87"/>
        <v>1000</v>
      </c>
      <c r="AG50" s="41">
        <f t="shared" si="87"/>
        <v>1000</v>
      </c>
      <c r="AH50" s="41">
        <v>1000</v>
      </c>
      <c r="AI50" s="41">
        <f t="shared" si="87"/>
        <v>1000</v>
      </c>
      <c r="AJ50" s="75">
        <f t="shared" si="87"/>
        <v>1000</v>
      </c>
      <c r="AK50" s="41">
        <f t="shared" si="30"/>
        <v>1000</v>
      </c>
      <c r="AL50" s="41">
        <f t="shared" si="30"/>
        <v>1000</v>
      </c>
      <c r="AM50" s="41">
        <f t="shared" si="30"/>
        <v>1000</v>
      </c>
      <c r="AN50" s="41">
        <f t="shared" si="30"/>
        <v>1000</v>
      </c>
      <c r="AO50" s="75">
        <f t="shared" si="54"/>
        <v>1000</v>
      </c>
      <c r="AP50" s="41">
        <f t="shared" si="61"/>
        <v>1000</v>
      </c>
      <c r="AQ50" s="41">
        <f t="shared" si="62"/>
        <v>1000</v>
      </c>
      <c r="AR50" s="41">
        <f t="shared" si="63"/>
        <v>1000</v>
      </c>
      <c r="AS50" s="99">
        <f t="shared" si="7"/>
        <v>1000</v>
      </c>
      <c r="AT50" s="527">
        <f t="shared" si="24"/>
        <v>1000</v>
      </c>
      <c r="AU50" s="41">
        <f t="shared" si="8"/>
        <v>1000</v>
      </c>
      <c r="AV50" s="41">
        <f t="shared" si="9"/>
        <v>1000</v>
      </c>
      <c r="AW50" s="41">
        <f t="shared" si="10"/>
        <v>1000</v>
      </c>
      <c r="AX50" s="41">
        <f t="shared" si="11"/>
        <v>1000</v>
      </c>
      <c r="AY50" s="75">
        <f t="shared" si="12"/>
        <v>1000</v>
      </c>
      <c r="AZ50" s="41">
        <f t="shared" si="38"/>
        <v>1000</v>
      </c>
      <c r="BA50" s="41">
        <f t="shared" si="39"/>
        <v>1000</v>
      </c>
      <c r="BB50" s="41">
        <f t="shared" si="40"/>
        <v>1000</v>
      </c>
      <c r="BC50" s="41">
        <f t="shared" si="41"/>
        <v>1000</v>
      </c>
      <c r="BD50" s="75">
        <f t="shared" si="17"/>
        <v>1000</v>
      </c>
      <c r="BE50" s="41">
        <f t="shared" si="50"/>
        <v>1000</v>
      </c>
      <c r="BF50" s="41">
        <f t="shared" si="51"/>
        <v>1000</v>
      </c>
      <c r="BG50" s="41">
        <f t="shared" si="52"/>
        <v>1000</v>
      </c>
      <c r="BH50" s="41">
        <f t="shared" si="53"/>
        <v>1000</v>
      </c>
      <c r="BI50" s="75">
        <f t="shared" si="22"/>
        <v>1000</v>
      </c>
      <c r="BJ50" s="21"/>
      <c r="BK50" s="21"/>
      <c r="BL50" s="21"/>
    </row>
    <row r="51" spans="1:64" s="25" customFormat="1">
      <c r="A51" s="481" t="s">
        <v>365</v>
      </c>
      <c r="B51" s="41"/>
      <c r="C51" s="41"/>
      <c r="D51" s="41"/>
      <c r="E51" s="42"/>
      <c r="F51" s="43"/>
      <c r="G51" s="41"/>
      <c r="H51" s="41"/>
      <c r="I51" s="41"/>
      <c r="J51" s="42"/>
      <c r="K51" s="43"/>
      <c r="L51" s="41"/>
      <c r="M51" s="41"/>
      <c r="N51" s="41"/>
      <c r="O51" s="42"/>
      <c r="P51" s="43"/>
      <c r="Q51" s="41"/>
      <c r="R51" s="41"/>
      <c r="S51" s="41"/>
      <c r="T51" s="42"/>
      <c r="U51" s="43"/>
      <c r="V51" s="41"/>
      <c r="W51" s="41"/>
      <c r="X51" s="41"/>
      <c r="Y51" s="42"/>
      <c r="Z51" s="43"/>
      <c r="AA51" s="41"/>
      <c r="AB51" s="41">
        <v>1750</v>
      </c>
      <c r="AC51" s="41">
        <f t="shared" si="87"/>
        <v>1750</v>
      </c>
      <c r="AD51" s="41">
        <f t="shared" si="87"/>
        <v>1750</v>
      </c>
      <c r="AE51" s="75">
        <f t="shared" si="87"/>
        <v>1750</v>
      </c>
      <c r="AF51" s="41">
        <f t="shared" si="87"/>
        <v>1750</v>
      </c>
      <c r="AG51" s="41">
        <f t="shared" si="87"/>
        <v>1750</v>
      </c>
      <c r="AH51" s="41">
        <v>1750</v>
      </c>
      <c r="AI51" s="41">
        <f t="shared" si="87"/>
        <v>1750</v>
      </c>
      <c r="AJ51" s="75">
        <f t="shared" si="87"/>
        <v>1750</v>
      </c>
      <c r="AK51" s="41">
        <f t="shared" si="30"/>
        <v>1750</v>
      </c>
      <c r="AL51" s="41">
        <f t="shared" si="30"/>
        <v>1750</v>
      </c>
      <c r="AM51" s="41">
        <f t="shared" si="30"/>
        <v>1750</v>
      </c>
      <c r="AN51" s="41">
        <f t="shared" si="30"/>
        <v>1750</v>
      </c>
      <c r="AO51" s="75">
        <f t="shared" si="54"/>
        <v>1750</v>
      </c>
      <c r="AP51" s="41">
        <f t="shared" si="61"/>
        <v>1750</v>
      </c>
      <c r="AQ51" s="41">
        <f t="shared" si="62"/>
        <v>1750</v>
      </c>
      <c r="AR51" s="41">
        <f t="shared" si="63"/>
        <v>1750</v>
      </c>
      <c r="AS51" s="99">
        <f t="shared" si="7"/>
        <v>1750</v>
      </c>
      <c r="AT51" s="527">
        <f t="shared" si="24"/>
        <v>1750</v>
      </c>
      <c r="AU51" s="41">
        <f t="shared" si="8"/>
        <v>1750</v>
      </c>
      <c r="AV51" s="41">
        <f t="shared" si="9"/>
        <v>1750</v>
      </c>
      <c r="AW51" s="41">
        <f t="shared" si="10"/>
        <v>1750</v>
      </c>
      <c r="AX51" s="41">
        <f t="shared" si="11"/>
        <v>1750</v>
      </c>
      <c r="AY51" s="75">
        <f t="shared" si="12"/>
        <v>1750</v>
      </c>
      <c r="AZ51" s="41">
        <f t="shared" si="38"/>
        <v>1750</v>
      </c>
      <c r="BA51" s="41">
        <f t="shared" si="39"/>
        <v>1750</v>
      </c>
      <c r="BB51" s="41">
        <f t="shared" si="40"/>
        <v>1750</v>
      </c>
      <c r="BC51" s="41">
        <f t="shared" si="41"/>
        <v>1750</v>
      </c>
      <c r="BD51" s="75">
        <f t="shared" si="17"/>
        <v>1750</v>
      </c>
      <c r="BE51" s="41">
        <f t="shared" si="50"/>
        <v>1750</v>
      </c>
      <c r="BF51" s="41">
        <f t="shared" si="51"/>
        <v>1750</v>
      </c>
      <c r="BG51" s="41">
        <f t="shared" si="52"/>
        <v>1750</v>
      </c>
      <c r="BH51" s="41">
        <f t="shared" si="53"/>
        <v>1750</v>
      </c>
      <c r="BI51" s="75">
        <f t="shared" si="22"/>
        <v>1750</v>
      </c>
      <c r="BJ51" s="21"/>
      <c r="BK51" s="21"/>
      <c r="BL51" s="21"/>
    </row>
    <row r="52" spans="1:64" s="25" customFormat="1">
      <c r="A52" s="481" t="s">
        <v>366</v>
      </c>
      <c r="B52" s="41"/>
      <c r="C52" s="41"/>
      <c r="D52" s="41"/>
      <c r="E52" s="42"/>
      <c r="F52" s="43"/>
      <c r="G52" s="41"/>
      <c r="H52" s="41"/>
      <c r="I52" s="41"/>
      <c r="J52" s="42"/>
      <c r="K52" s="43"/>
      <c r="L52" s="41"/>
      <c r="M52" s="41"/>
      <c r="N52" s="41"/>
      <c r="O52" s="42"/>
      <c r="P52" s="43"/>
      <c r="Q52" s="41"/>
      <c r="R52" s="41"/>
      <c r="S52" s="41"/>
      <c r="T52" s="42"/>
      <c r="U52" s="43"/>
      <c r="V52" s="41"/>
      <c r="W52" s="41"/>
      <c r="X52" s="41"/>
      <c r="Y52" s="42"/>
      <c r="Z52" s="43"/>
      <c r="AA52" s="41"/>
      <c r="AB52" s="41">
        <v>1000</v>
      </c>
      <c r="AC52" s="41">
        <f t="shared" si="87"/>
        <v>1000</v>
      </c>
      <c r="AD52" s="41">
        <f t="shared" si="87"/>
        <v>1000</v>
      </c>
      <c r="AE52" s="75">
        <f t="shared" si="87"/>
        <v>1000</v>
      </c>
      <c r="AF52" s="41">
        <f t="shared" si="87"/>
        <v>1000</v>
      </c>
      <c r="AG52" s="41">
        <f t="shared" si="87"/>
        <v>1000</v>
      </c>
      <c r="AH52" s="41">
        <v>1000</v>
      </c>
      <c r="AI52" s="41">
        <f t="shared" si="87"/>
        <v>1000</v>
      </c>
      <c r="AJ52" s="75">
        <f t="shared" si="87"/>
        <v>1000</v>
      </c>
      <c r="AK52" s="41">
        <f t="shared" si="30"/>
        <v>1000</v>
      </c>
      <c r="AL52" s="41">
        <f t="shared" si="30"/>
        <v>1000</v>
      </c>
      <c r="AM52" s="41">
        <f t="shared" si="30"/>
        <v>1000</v>
      </c>
      <c r="AN52" s="41">
        <f t="shared" si="30"/>
        <v>1000</v>
      </c>
      <c r="AO52" s="75">
        <f t="shared" si="54"/>
        <v>1000</v>
      </c>
      <c r="AP52" s="41">
        <f t="shared" si="61"/>
        <v>1000</v>
      </c>
      <c r="AQ52" s="41">
        <f t="shared" si="62"/>
        <v>1000</v>
      </c>
      <c r="AR52" s="41">
        <f t="shared" si="63"/>
        <v>1000</v>
      </c>
      <c r="AS52" s="99">
        <f t="shared" si="7"/>
        <v>1000</v>
      </c>
      <c r="AT52" s="527">
        <f t="shared" si="24"/>
        <v>1000</v>
      </c>
      <c r="AU52" s="41">
        <f t="shared" si="8"/>
        <v>1000</v>
      </c>
      <c r="AV52" s="41">
        <f t="shared" si="9"/>
        <v>1000</v>
      </c>
      <c r="AW52" s="41">
        <f t="shared" si="10"/>
        <v>1000</v>
      </c>
      <c r="AX52" s="41">
        <f t="shared" si="11"/>
        <v>1000</v>
      </c>
      <c r="AY52" s="75">
        <f t="shared" si="12"/>
        <v>1000</v>
      </c>
      <c r="AZ52" s="41">
        <f t="shared" si="38"/>
        <v>1000</v>
      </c>
      <c r="BA52" s="41">
        <f t="shared" si="39"/>
        <v>1000</v>
      </c>
      <c r="BB52" s="41">
        <f t="shared" si="40"/>
        <v>1000</v>
      </c>
      <c r="BC52" s="41">
        <f t="shared" si="41"/>
        <v>1000</v>
      </c>
      <c r="BD52" s="75">
        <f t="shared" si="17"/>
        <v>1000</v>
      </c>
      <c r="BE52" s="41">
        <f t="shared" si="50"/>
        <v>1000</v>
      </c>
      <c r="BF52" s="41">
        <f t="shared" si="51"/>
        <v>1000</v>
      </c>
      <c r="BG52" s="41">
        <f t="shared" si="52"/>
        <v>1000</v>
      </c>
      <c r="BH52" s="41">
        <f t="shared" si="53"/>
        <v>1000</v>
      </c>
      <c r="BI52" s="75">
        <f t="shared" si="22"/>
        <v>1000</v>
      </c>
      <c r="BJ52" s="21"/>
      <c r="BK52" s="21"/>
      <c r="BL52" s="21"/>
    </row>
    <row r="53" spans="1:64" s="25" customFormat="1">
      <c r="A53" s="481" t="s">
        <v>417</v>
      </c>
      <c r="B53" s="41"/>
      <c r="C53" s="41"/>
      <c r="D53" s="41"/>
      <c r="E53" s="42"/>
      <c r="F53" s="43"/>
      <c r="G53" s="41"/>
      <c r="H53" s="41"/>
      <c r="I53" s="41"/>
      <c r="J53" s="42"/>
      <c r="K53" s="43"/>
      <c r="L53" s="41"/>
      <c r="M53" s="41"/>
      <c r="N53" s="41"/>
      <c r="O53" s="42"/>
      <c r="P53" s="43"/>
      <c r="Q53" s="41"/>
      <c r="R53" s="41"/>
      <c r="S53" s="41"/>
      <c r="T53" s="42"/>
      <c r="U53" s="43"/>
      <c r="V53" s="41"/>
      <c r="W53" s="41"/>
      <c r="X53" s="41"/>
      <c r="Y53" s="42"/>
      <c r="Z53" s="43"/>
      <c r="AA53" s="41"/>
      <c r="AB53" s="41">
        <v>0</v>
      </c>
      <c r="AC53" s="41">
        <f t="shared" ref="AC53" si="88">AB53</f>
        <v>0</v>
      </c>
      <c r="AD53" s="41">
        <f t="shared" ref="AD53:AD54" si="89">AC53</f>
        <v>0</v>
      </c>
      <c r="AE53" s="75">
        <f t="shared" ref="AE53:AE54" si="90">AD53</f>
        <v>0</v>
      </c>
      <c r="AF53" s="41">
        <f t="shared" ref="AF53:AF54" si="91">AE53</f>
        <v>0</v>
      </c>
      <c r="AG53" s="41">
        <f t="shared" ref="AG53:AG54" si="92">AF53</f>
        <v>0</v>
      </c>
      <c r="AH53" s="41">
        <v>1000</v>
      </c>
      <c r="AI53" s="41">
        <f t="shared" ref="AI53" si="93">AH53</f>
        <v>1000</v>
      </c>
      <c r="AJ53" s="75">
        <f t="shared" ref="AJ53:AJ54" si="94">AI53</f>
        <v>1000</v>
      </c>
      <c r="AK53" s="41">
        <f t="shared" si="30"/>
        <v>1000</v>
      </c>
      <c r="AL53" s="41">
        <f t="shared" si="30"/>
        <v>1000</v>
      </c>
      <c r="AM53" s="41">
        <f t="shared" si="30"/>
        <v>1000</v>
      </c>
      <c r="AN53" s="41">
        <f t="shared" si="30"/>
        <v>1000</v>
      </c>
      <c r="AO53" s="75">
        <f t="shared" si="54"/>
        <v>1000</v>
      </c>
      <c r="AP53" s="41">
        <f t="shared" si="61"/>
        <v>1000</v>
      </c>
      <c r="AQ53" s="41">
        <f t="shared" si="62"/>
        <v>1000</v>
      </c>
      <c r="AR53" s="41">
        <f t="shared" si="63"/>
        <v>1000</v>
      </c>
      <c r="AS53" s="99">
        <f t="shared" si="7"/>
        <v>1000</v>
      </c>
      <c r="AT53" s="527">
        <f t="shared" si="24"/>
        <v>1000</v>
      </c>
      <c r="AU53" s="41">
        <f t="shared" si="8"/>
        <v>1000</v>
      </c>
      <c r="AV53" s="41">
        <f t="shared" si="9"/>
        <v>1000</v>
      </c>
      <c r="AW53" s="41">
        <f t="shared" si="10"/>
        <v>1000</v>
      </c>
      <c r="AX53" s="41">
        <f t="shared" si="11"/>
        <v>1000</v>
      </c>
      <c r="AY53" s="75">
        <f t="shared" si="12"/>
        <v>1000</v>
      </c>
      <c r="AZ53" s="41">
        <f t="shared" si="38"/>
        <v>1000</v>
      </c>
      <c r="BA53" s="41">
        <f t="shared" si="39"/>
        <v>1000</v>
      </c>
      <c r="BB53" s="41">
        <f t="shared" si="40"/>
        <v>1000</v>
      </c>
      <c r="BC53" s="41">
        <f t="shared" si="41"/>
        <v>1000</v>
      </c>
      <c r="BD53" s="75">
        <f t="shared" si="17"/>
        <v>1000</v>
      </c>
      <c r="BE53" s="41">
        <f t="shared" si="50"/>
        <v>1000</v>
      </c>
      <c r="BF53" s="41">
        <f t="shared" si="51"/>
        <v>1000</v>
      </c>
      <c r="BG53" s="41">
        <f t="shared" si="52"/>
        <v>1000</v>
      </c>
      <c r="BH53" s="41">
        <f t="shared" si="53"/>
        <v>1000</v>
      </c>
      <c r="BI53" s="75">
        <f t="shared" si="22"/>
        <v>1000</v>
      </c>
      <c r="BJ53" s="21"/>
      <c r="BK53" s="21"/>
      <c r="BL53" s="21"/>
    </row>
    <row r="54" spans="1:64" s="25" customFormat="1">
      <c r="A54" s="481" t="s">
        <v>427</v>
      </c>
      <c r="B54" s="41"/>
      <c r="C54" s="41"/>
      <c r="D54" s="41"/>
      <c r="E54" s="42"/>
      <c r="F54" s="43"/>
      <c r="G54" s="41"/>
      <c r="H54" s="41"/>
      <c r="I54" s="41"/>
      <c r="J54" s="42"/>
      <c r="K54" s="43"/>
      <c r="L54" s="41"/>
      <c r="M54" s="41"/>
      <c r="N54" s="41"/>
      <c r="O54" s="42"/>
      <c r="P54" s="43"/>
      <c r="Q54" s="41"/>
      <c r="R54" s="41"/>
      <c r="S54" s="41"/>
      <c r="T54" s="42"/>
      <c r="U54" s="43"/>
      <c r="V54" s="41"/>
      <c r="W54" s="41"/>
      <c r="X54" s="41"/>
      <c r="Y54" s="42"/>
      <c r="Z54" s="43"/>
      <c r="AA54" s="41"/>
      <c r="AB54" s="41">
        <v>0</v>
      </c>
      <c r="AC54" s="41">
        <v>0</v>
      </c>
      <c r="AD54" s="41">
        <f t="shared" si="89"/>
        <v>0</v>
      </c>
      <c r="AE54" s="75">
        <f t="shared" si="90"/>
        <v>0</v>
      </c>
      <c r="AF54" s="41">
        <f t="shared" si="91"/>
        <v>0</v>
      </c>
      <c r="AG54" s="41">
        <f t="shared" si="92"/>
        <v>0</v>
      </c>
      <c r="AH54" s="41">
        <v>0</v>
      </c>
      <c r="AI54" s="41">
        <v>1100</v>
      </c>
      <c r="AJ54" s="75">
        <f t="shared" si="94"/>
        <v>1100</v>
      </c>
      <c r="AK54" s="41">
        <f t="shared" si="30"/>
        <v>1100</v>
      </c>
      <c r="AL54" s="41">
        <f t="shared" si="30"/>
        <v>1100</v>
      </c>
      <c r="AM54" s="41">
        <f t="shared" si="30"/>
        <v>1100</v>
      </c>
      <c r="AN54" s="41">
        <f t="shared" si="30"/>
        <v>1100</v>
      </c>
      <c r="AO54" s="75">
        <f t="shared" si="54"/>
        <v>1100</v>
      </c>
      <c r="AP54" s="41">
        <f t="shared" si="61"/>
        <v>1100</v>
      </c>
      <c r="AQ54" s="41">
        <f t="shared" si="62"/>
        <v>1100</v>
      </c>
      <c r="AR54" s="41">
        <f t="shared" si="63"/>
        <v>1100</v>
      </c>
      <c r="AS54" s="99">
        <f t="shared" si="7"/>
        <v>1100</v>
      </c>
      <c r="AT54" s="527">
        <f t="shared" si="24"/>
        <v>1100</v>
      </c>
      <c r="AU54" s="41">
        <f t="shared" si="8"/>
        <v>1100</v>
      </c>
      <c r="AV54" s="41">
        <f t="shared" si="9"/>
        <v>1100</v>
      </c>
      <c r="AW54" s="41">
        <f t="shared" si="10"/>
        <v>1100</v>
      </c>
      <c r="AX54" s="41">
        <f t="shared" si="11"/>
        <v>1100</v>
      </c>
      <c r="AY54" s="75">
        <f t="shared" si="12"/>
        <v>1100</v>
      </c>
      <c r="AZ54" s="41">
        <f t="shared" si="38"/>
        <v>1100</v>
      </c>
      <c r="BA54" s="41">
        <f t="shared" si="39"/>
        <v>1100</v>
      </c>
      <c r="BB54" s="41">
        <f t="shared" si="40"/>
        <v>1100</v>
      </c>
      <c r="BC54" s="41">
        <f t="shared" si="41"/>
        <v>1100</v>
      </c>
      <c r="BD54" s="75">
        <f t="shared" si="17"/>
        <v>1100</v>
      </c>
      <c r="BE54" s="41">
        <f t="shared" si="50"/>
        <v>1100</v>
      </c>
      <c r="BF54" s="41">
        <f t="shared" si="51"/>
        <v>1100</v>
      </c>
      <c r="BG54" s="41">
        <f t="shared" si="52"/>
        <v>1100</v>
      </c>
      <c r="BH54" s="41">
        <f t="shared" si="53"/>
        <v>1100</v>
      </c>
      <c r="BI54" s="75">
        <f t="shared" si="22"/>
        <v>1100</v>
      </c>
      <c r="BJ54" s="21"/>
      <c r="BK54" s="21"/>
      <c r="BL54" s="21"/>
    </row>
    <row r="55" spans="1:64" s="25" customFormat="1">
      <c r="A55" s="492" t="s">
        <v>442</v>
      </c>
      <c r="B55" s="41"/>
      <c r="C55" s="41"/>
      <c r="D55" s="41"/>
      <c r="E55" s="42"/>
      <c r="F55" s="43"/>
      <c r="G55" s="41"/>
      <c r="H55" s="41"/>
      <c r="I55" s="41"/>
      <c r="J55" s="42"/>
      <c r="K55" s="43"/>
      <c r="L55" s="41"/>
      <c r="M55" s="41"/>
      <c r="N55" s="41"/>
      <c r="O55" s="42"/>
      <c r="P55" s="43"/>
      <c r="Q55" s="41"/>
      <c r="R55" s="41"/>
      <c r="S55" s="41"/>
      <c r="T55" s="42"/>
      <c r="U55" s="43"/>
      <c r="V55" s="41"/>
      <c r="W55" s="41"/>
      <c r="X55" s="41"/>
      <c r="Y55" s="42"/>
      <c r="Z55" s="43"/>
      <c r="AA55" s="41"/>
      <c r="AB55" s="41"/>
      <c r="AC55" s="41"/>
      <c r="AD55" s="41"/>
      <c r="AE55" s="75"/>
      <c r="AF55" s="41"/>
      <c r="AG55" s="41"/>
      <c r="AH55" s="41"/>
      <c r="AI55" s="41"/>
      <c r="AJ55" s="75"/>
      <c r="AK55" s="41">
        <v>0</v>
      </c>
      <c r="AL55" s="41">
        <v>0</v>
      </c>
      <c r="AM55" s="41">
        <v>0</v>
      </c>
      <c r="AN55" s="41">
        <v>0</v>
      </c>
      <c r="AO55" s="75">
        <f t="shared" si="54"/>
        <v>0</v>
      </c>
      <c r="AP55" s="41">
        <v>1250</v>
      </c>
      <c r="AQ55" s="41">
        <f t="shared" ref="AQ55" si="95">AP55</f>
        <v>1250</v>
      </c>
      <c r="AR55" s="41">
        <f t="shared" ref="AR55" si="96">AQ55</f>
        <v>1250</v>
      </c>
      <c r="AS55" s="99">
        <f t="shared" ref="AS55" si="97">AR55</f>
        <v>1250</v>
      </c>
      <c r="AT55" s="527">
        <f t="shared" si="24"/>
        <v>1250</v>
      </c>
      <c r="AU55" s="41">
        <f t="shared" si="8"/>
        <v>1250</v>
      </c>
      <c r="AV55" s="41">
        <f t="shared" si="9"/>
        <v>1250</v>
      </c>
      <c r="AW55" s="41">
        <f t="shared" si="10"/>
        <v>1250</v>
      </c>
      <c r="AX55" s="41">
        <f t="shared" si="11"/>
        <v>1250</v>
      </c>
      <c r="AY55" s="75">
        <f t="shared" si="12"/>
        <v>1250</v>
      </c>
      <c r="AZ55" s="41">
        <f t="shared" si="38"/>
        <v>1250</v>
      </c>
      <c r="BA55" s="41">
        <f t="shared" si="39"/>
        <v>1250</v>
      </c>
      <c r="BB55" s="41">
        <f t="shared" si="40"/>
        <v>1250</v>
      </c>
      <c r="BC55" s="41">
        <f t="shared" si="41"/>
        <v>1250</v>
      </c>
      <c r="BD55" s="75">
        <f t="shared" si="17"/>
        <v>1250</v>
      </c>
      <c r="BE55" s="41">
        <f t="shared" si="50"/>
        <v>1250</v>
      </c>
      <c r="BF55" s="41">
        <f t="shared" si="51"/>
        <v>1250</v>
      </c>
      <c r="BG55" s="41">
        <f t="shared" si="52"/>
        <v>1250</v>
      </c>
      <c r="BH55" s="41">
        <f t="shared" si="53"/>
        <v>1250</v>
      </c>
      <c r="BI55" s="75">
        <f t="shared" si="22"/>
        <v>1250</v>
      </c>
      <c r="BJ55" s="21"/>
      <c r="BK55" s="21"/>
      <c r="BL55" s="21"/>
    </row>
    <row r="56" spans="1:64" s="25" customFormat="1">
      <c r="A56" s="525" t="s">
        <v>475</v>
      </c>
      <c r="B56" s="41"/>
      <c r="C56" s="41"/>
      <c r="D56" s="41"/>
      <c r="E56" s="42"/>
      <c r="F56" s="43"/>
      <c r="G56" s="41"/>
      <c r="H56" s="41"/>
      <c r="I56" s="41"/>
      <c r="J56" s="42"/>
      <c r="K56" s="43"/>
      <c r="L56" s="41"/>
      <c r="M56" s="41"/>
      <c r="N56" s="41"/>
      <c r="O56" s="42"/>
      <c r="P56" s="43"/>
      <c r="Q56" s="41"/>
      <c r="R56" s="41"/>
      <c r="S56" s="41"/>
      <c r="T56" s="42"/>
      <c r="U56" s="43"/>
      <c r="V56" s="41"/>
      <c r="W56" s="41"/>
      <c r="X56" s="41"/>
      <c r="Y56" s="42"/>
      <c r="Z56" s="43"/>
      <c r="AA56" s="41"/>
      <c r="AB56" s="41"/>
      <c r="AC56" s="41"/>
      <c r="AD56" s="41"/>
      <c r="AE56" s="75"/>
      <c r="AF56" s="41"/>
      <c r="AG56" s="41"/>
      <c r="AH56" s="41"/>
      <c r="AI56" s="41"/>
      <c r="AJ56" s="75"/>
      <c r="AK56" s="41"/>
      <c r="AL56" s="41"/>
      <c r="AM56" s="41"/>
      <c r="AN56" s="41"/>
      <c r="AO56" s="75"/>
      <c r="AP56" s="41"/>
      <c r="AQ56" s="41"/>
      <c r="AR56" s="41"/>
      <c r="AS56" s="99">
        <v>1750</v>
      </c>
      <c r="AT56" s="527">
        <f t="shared" si="24"/>
        <v>1750</v>
      </c>
      <c r="AU56" s="41">
        <f t="shared" ref="AU56" si="98">AT56</f>
        <v>1750</v>
      </c>
      <c r="AV56" s="41">
        <f t="shared" ref="AV56" si="99">AU56</f>
        <v>1750</v>
      </c>
      <c r="AW56" s="41">
        <f t="shared" ref="AW56" si="100">AV56</f>
        <v>1750</v>
      </c>
      <c r="AX56" s="41">
        <f t="shared" ref="AX56" si="101">AW56</f>
        <v>1750</v>
      </c>
      <c r="AY56" s="75">
        <f t="shared" ref="AY56" si="102">AX56</f>
        <v>1750</v>
      </c>
      <c r="AZ56" s="41">
        <f t="shared" si="38"/>
        <v>1750</v>
      </c>
      <c r="BA56" s="41">
        <f t="shared" si="39"/>
        <v>1750</v>
      </c>
      <c r="BB56" s="41">
        <f t="shared" si="40"/>
        <v>1750</v>
      </c>
      <c r="BC56" s="41">
        <f t="shared" si="41"/>
        <v>1750</v>
      </c>
      <c r="BD56" s="75">
        <f t="shared" si="17"/>
        <v>1750</v>
      </c>
      <c r="BE56" s="41">
        <f t="shared" si="50"/>
        <v>1750</v>
      </c>
      <c r="BF56" s="41">
        <f t="shared" si="51"/>
        <v>1750</v>
      </c>
      <c r="BG56" s="41">
        <f t="shared" si="52"/>
        <v>1750</v>
      </c>
      <c r="BH56" s="41">
        <f t="shared" si="53"/>
        <v>1750</v>
      </c>
      <c r="BI56" s="75">
        <f t="shared" si="22"/>
        <v>1750</v>
      </c>
      <c r="BJ56" s="21"/>
      <c r="BK56" s="21"/>
      <c r="BL56" s="21"/>
    </row>
    <row r="57" spans="1:64" s="25" customFormat="1">
      <c r="A57" s="3" t="s">
        <v>369</v>
      </c>
      <c r="B57" s="41"/>
      <c r="C57" s="41"/>
      <c r="D57" s="41"/>
      <c r="E57" s="42"/>
      <c r="F57" s="43"/>
      <c r="G57" s="41"/>
      <c r="H57" s="41"/>
      <c r="I57" s="41"/>
      <c r="J57" s="42"/>
      <c r="K57" s="43"/>
      <c r="L57" s="41"/>
      <c r="M57" s="41"/>
      <c r="N57" s="41"/>
      <c r="O57" s="42"/>
      <c r="P57" s="43"/>
      <c r="Q57" s="41"/>
      <c r="R57" s="41"/>
      <c r="S57" s="41"/>
      <c r="T57" s="42"/>
      <c r="U57" s="43"/>
      <c r="V57" s="41"/>
      <c r="W57" s="41"/>
      <c r="X57" s="41"/>
      <c r="Y57" s="42"/>
      <c r="Z57" s="43"/>
      <c r="AA57" s="41"/>
      <c r="AB57" s="41">
        <v>325</v>
      </c>
      <c r="AC57" s="41">
        <f t="shared" si="87"/>
        <v>325</v>
      </c>
      <c r="AD57" s="41">
        <f t="shared" si="87"/>
        <v>325</v>
      </c>
      <c r="AE57" s="75">
        <f t="shared" si="87"/>
        <v>325</v>
      </c>
      <c r="AF57" s="41">
        <v>296</v>
      </c>
      <c r="AG57" s="41">
        <v>273</v>
      </c>
      <c r="AH57" s="41">
        <v>272</v>
      </c>
      <c r="AI57" s="41">
        <v>270</v>
      </c>
      <c r="AJ57" s="75">
        <f t="shared" si="87"/>
        <v>270</v>
      </c>
      <c r="AK57" s="41">
        <f t="shared" si="30"/>
        <v>270</v>
      </c>
      <c r="AL57" s="41">
        <v>263</v>
      </c>
      <c r="AM57" s="41">
        <v>256</v>
      </c>
      <c r="AN57" s="41">
        <v>253</v>
      </c>
      <c r="AO57" s="75">
        <f t="shared" si="54"/>
        <v>253</v>
      </c>
      <c r="AP57" s="41">
        <v>252</v>
      </c>
      <c r="AQ57" s="41">
        <v>262</v>
      </c>
      <c r="AR57" s="41">
        <v>260</v>
      </c>
      <c r="AS57" s="99">
        <v>255</v>
      </c>
      <c r="AT57" s="527">
        <f t="shared" si="24"/>
        <v>255</v>
      </c>
      <c r="AU57" s="41">
        <v>252</v>
      </c>
      <c r="AV57" s="41">
        <v>254</v>
      </c>
      <c r="AW57" s="41">
        <v>248</v>
      </c>
      <c r="AX57" s="41">
        <v>232</v>
      </c>
      <c r="AY57" s="75">
        <f t="shared" si="12"/>
        <v>232</v>
      </c>
      <c r="AZ57" s="41">
        <v>223</v>
      </c>
      <c r="BA57" s="41">
        <v>192</v>
      </c>
      <c r="BB57" s="41">
        <v>190</v>
      </c>
      <c r="BC57" s="41">
        <v>146</v>
      </c>
      <c r="BD57" s="75">
        <f t="shared" si="17"/>
        <v>146</v>
      </c>
      <c r="BE57" s="41">
        <v>143</v>
      </c>
      <c r="BF57" s="41">
        <v>124</v>
      </c>
      <c r="BG57" s="41">
        <f>BF57</f>
        <v>124</v>
      </c>
      <c r="BH57" s="41">
        <f>BG57</f>
        <v>124</v>
      </c>
      <c r="BI57" s="75">
        <f t="shared" si="22"/>
        <v>124</v>
      </c>
      <c r="BJ57" s="21"/>
      <c r="BK57" s="21"/>
      <c r="BL57" s="21"/>
    </row>
    <row r="58" spans="1:64" s="25" customFormat="1">
      <c r="A58" s="3" t="s">
        <v>240</v>
      </c>
      <c r="B58" s="41"/>
      <c r="C58" s="41"/>
      <c r="D58" s="41"/>
      <c r="E58" s="42"/>
      <c r="F58" s="43"/>
      <c r="G58" s="41"/>
      <c r="H58" s="41"/>
      <c r="I58" s="41"/>
      <c r="J58" s="42"/>
      <c r="K58" s="43"/>
      <c r="L58" s="41"/>
      <c r="M58" s="41"/>
      <c r="N58" s="41"/>
      <c r="O58" s="42"/>
      <c r="P58" s="43"/>
      <c r="Q58" s="41"/>
      <c r="R58" s="41"/>
      <c r="S58" s="41"/>
      <c r="T58" s="42"/>
      <c r="U58" s="43"/>
      <c r="V58" s="41"/>
      <c r="W58" s="41"/>
      <c r="X58" s="41"/>
      <c r="Y58" s="42"/>
      <c r="Z58" s="43"/>
      <c r="AA58" s="41"/>
      <c r="AB58" s="41">
        <v>160</v>
      </c>
      <c r="AC58" s="41">
        <f t="shared" si="87"/>
        <v>160</v>
      </c>
      <c r="AD58" s="41">
        <f t="shared" si="87"/>
        <v>160</v>
      </c>
      <c r="AE58" s="75">
        <f t="shared" si="87"/>
        <v>160</v>
      </c>
      <c r="AF58" s="41">
        <f t="shared" si="87"/>
        <v>160</v>
      </c>
      <c r="AG58" s="41">
        <f>AF58-160</f>
        <v>0</v>
      </c>
      <c r="AH58" s="41">
        <v>0</v>
      </c>
      <c r="AI58" s="41">
        <f t="shared" si="87"/>
        <v>0</v>
      </c>
      <c r="AJ58" s="75">
        <f t="shared" si="87"/>
        <v>0</v>
      </c>
      <c r="AK58" s="41">
        <f t="shared" si="30"/>
        <v>0</v>
      </c>
      <c r="AL58" s="41">
        <f t="shared" si="30"/>
        <v>0</v>
      </c>
      <c r="AM58" s="41">
        <f t="shared" si="30"/>
        <v>0</v>
      </c>
      <c r="AN58" s="41">
        <f t="shared" si="30"/>
        <v>0</v>
      </c>
      <c r="AO58" s="75">
        <f t="shared" si="54"/>
        <v>0</v>
      </c>
      <c r="AP58" s="41">
        <f t="shared" si="61"/>
        <v>0</v>
      </c>
      <c r="AQ58" s="41">
        <f t="shared" ref="AQ58:AQ60" si="103">AP58</f>
        <v>0</v>
      </c>
      <c r="AR58" s="41">
        <f t="shared" ref="AR58:AR60" si="104">AQ58</f>
        <v>0</v>
      </c>
      <c r="AS58" s="99">
        <f t="shared" si="7"/>
        <v>0</v>
      </c>
      <c r="AT58" s="527">
        <f t="shared" si="24"/>
        <v>0</v>
      </c>
      <c r="AU58" s="41">
        <f t="shared" si="8"/>
        <v>0</v>
      </c>
      <c r="AV58" s="41">
        <f t="shared" si="9"/>
        <v>0</v>
      </c>
      <c r="AW58" s="41">
        <f t="shared" si="10"/>
        <v>0</v>
      </c>
      <c r="AX58" s="41">
        <f t="shared" si="11"/>
        <v>0</v>
      </c>
      <c r="AY58" s="75">
        <f t="shared" si="12"/>
        <v>0</v>
      </c>
      <c r="AZ58" s="41">
        <f t="shared" si="38"/>
        <v>0</v>
      </c>
      <c r="BA58" s="41">
        <v>1432</v>
      </c>
      <c r="BB58" s="41">
        <v>0</v>
      </c>
      <c r="BC58" s="41">
        <f t="shared" si="41"/>
        <v>0</v>
      </c>
      <c r="BD58" s="75">
        <f t="shared" si="17"/>
        <v>0</v>
      </c>
      <c r="BE58" s="450">
        <f t="shared" si="50"/>
        <v>0</v>
      </c>
      <c r="BF58" s="41">
        <f t="shared" si="51"/>
        <v>0</v>
      </c>
      <c r="BG58" s="41">
        <f t="shared" si="52"/>
        <v>0</v>
      </c>
      <c r="BH58" s="41">
        <f t="shared" si="53"/>
        <v>0</v>
      </c>
      <c r="BI58" s="75">
        <f t="shared" si="22"/>
        <v>0</v>
      </c>
      <c r="BJ58" s="21"/>
      <c r="BK58" s="21"/>
      <c r="BL58" s="21"/>
    </row>
    <row r="59" spans="1:64" s="25" customFormat="1">
      <c r="A59" s="3" t="s">
        <v>300</v>
      </c>
      <c r="B59" s="41"/>
      <c r="C59" s="41"/>
      <c r="D59" s="41"/>
      <c r="E59" s="42"/>
      <c r="F59" s="43"/>
      <c r="G59" s="41"/>
      <c r="H59" s="41"/>
      <c r="I59" s="41"/>
      <c r="J59" s="42"/>
      <c r="K59" s="43"/>
      <c r="L59" s="41"/>
      <c r="M59" s="41"/>
      <c r="N59" s="41"/>
      <c r="O59" s="42"/>
      <c r="P59" s="43"/>
      <c r="Q59" s="41"/>
      <c r="R59" s="41"/>
      <c r="S59" s="41"/>
      <c r="T59" s="42"/>
      <c r="U59" s="43"/>
      <c r="V59" s="41"/>
      <c r="W59" s="41"/>
      <c r="X59" s="41"/>
      <c r="Y59" s="42"/>
      <c r="Z59" s="43"/>
      <c r="AA59" s="41"/>
      <c r="AB59" s="41">
        <v>83</v>
      </c>
      <c r="AC59" s="41">
        <f t="shared" si="87"/>
        <v>83</v>
      </c>
      <c r="AD59" s="41">
        <f t="shared" si="87"/>
        <v>83</v>
      </c>
      <c r="AE59" s="75">
        <f t="shared" si="87"/>
        <v>83</v>
      </c>
      <c r="AF59" s="41">
        <v>74</v>
      </c>
      <c r="AG59" s="41">
        <v>0</v>
      </c>
      <c r="AH59" s="41">
        <v>0</v>
      </c>
      <c r="AI59" s="41">
        <f t="shared" si="87"/>
        <v>0</v>
      </c>
      <c r="AJ59" s="75">
        <f t="shared" si="87"/>
        <v>0</v>
      </c>
      <c r="AK59" s="41">
        <f t="shared" si="30"/>
        <v>0</v>
      </c>
      <c r="AL59" s="41">
        <f t="shared" si="30"/>
        <v>0</v>
      </c>
      <c r="AM59" s="41">
        <f t="shared" si="30"/>
        <v>0</v>
      </c>
      <c r="AN59" s="41">
        <f t="shared" si="30"/>
        <v>0</v>
      </c>
      <c r="AO59" s="75">
        <f t="shared" si="54"/>
        <v>0</v>
      </c>
      <c r="AP59" s="41">
        <f t="shared" si="61"/>
        <v>0</v>
      </c>
      <c r="AQ59" s="41">
        <f t="shared" si="103"/>
        <v>0</v>
      </c>
      <c r="AR59" s="41">
        <f t="shared" si="104"/>
        <v>0</v>
      </c>
      <c r="AS59" s="99">
        <f t="shared" si="7"/>
        <v>0</v>
      </c>
      <c r="AT59" s="527">
        <f t="shared" si="24"/>
        <v>0</v>
      </c>
      <c r="AU59" s="41">
        <f t="shared" si="8"/>
        <v>0</v>
      </c>
      <c r="AV59" s="41">
        <f t="shared" si="9"/>
        <v>0</v>
      </c>
      <c r="AW59" s="41">
        <f t="shared" si="10"/>
        <v>0</v>
      </c>
      <c r="AX59" s="41">
        <f t="shared" si="11"/>
        <v>0</v>
      </c>
      <c r="AY59" s="75">
        <f t="shared" si="12"/>
        <v>0</v>
      </c>
      <c r="AZ59" s="41">
        <f t="shared" si="38"/>
        <v>0</v>
      </c>
      <c r="BA59" s="41">
        <f t="shared" si="39"/>
        <v>0</v>
      </c>
      <c r="BB59" s="41">
        <f t="shared" si="40"/>
        <v>0</v>
      </c>
      <c r="BC59" s="41">
        <f t="shared" si="41"/>
        <v>0</v>
      </c>
      <c r="BD59" s="75">
        <f t="shared" si="17"/>
        <v>0</v>
      </c>
      <c r="BE59" s="450">
        <f t="shared" si="50"/>
        <v>0</v>
      </c>
      <c r="BF59" s="41">
        <f t="shared" si="51"/>
        <v>0</v>
      </c>
      <c r="BG59" s="41">
        <f t="shared" si="52"/>
        <v>0</v>
      </c>
      <c r="BH59" s="41">
        <f t="shared" si="53"/>
        <v>0</v>
      </c>
      <c r="BI59" s="75">
        <f t="shared" si="22"/>
        <v>0</v>
      </c>
      <c r="BJ59" s="21"/>
      <c r="BK59" s="21"/>
      <c r="BL59" s="21"/>
    </row>
    <row r="60" spans="1:64" s="25" customFormat="1">
      <c r="A60" s="3" t="s">
        <v>239</v>
      </c>
      <c r="B60" s="41"/>
      <c r="C60" s="41"/>
      <c r="D60" s="41"/>
      <c r="E60" s="42"/>
      <c r="F60" s="43"/>
      <c r="G60" s="41"/>
      <c r="H60" s="41"/>
      <c r="I60" s="41"/>
      <c r="J60" s="42"/>
      <c r="K60" s="43"/>
      <c r="L60" s="41"/>
      <c r="M60" s="41"/>
      <c r="N60" s="41"/>
      <c r="O60" s="42"/>
      <c r="P60" s="43"/>
      <c r="Q60" s="41"/>
      <c r="R60" s="41"/>
      <c r="S60" s="41"/>
      <c r="T60" s="42"/>
      <c r="U60" s="43"/>
      <c r="V60" s="41"/>
      <c r="W60" s="41"/>
      <c r="X60" s="41"/>
      <c r="Y60" s="42"/>
      <c r="Z60" s="43"/>
      <c r="AA60" s="41"/>
      <c r="AB60" s="41">
        <v>0</v>
      </c>
      <c r="AC60" s="41">
        <f t="shared" si="87"/>
        <v>0</v>
      </c>
      <c r="AD60" s="393">
        <f>AD62-SUM(AD4:AD59,AD61)</f>
        <v>73</v>
      </c>
      <c r="AE60" s="75">
        <f t="shared" si="87"/>
        <v>73</v>
      </c>
      <c r="AF60" s="41">
        <v>0</v>
      </c>
      <c r="AG60" s="41">
        <f t="shared" si="87"/>
        <v>0</v>
      </c>
      <c r="AH60" s="41">
        <v>0</v>
      </c>
      <c r="AI60" s="41">
        <f t="shared" si="87"/>
        <v>0</v>
      </c>
      <c r="AJ60" s="75">
        <f t="shared" si="87"/>
        <v>0</v>
      </c>
      <c r="AK60" s="41">
        <f t="shared" si="30"/>
        <v>0</v>
      </c>
      <c r="AL60" s="41">
        <f t="shared" si="30"/>
        <v>0</v>
      </c>
      <c r="AM60" s="41">
        <f t="shared" si="30"/>
        <v>0</v>
      </c>
      <c r="AN60" s="41">
        <f t="shared" si="30"/>
        <v>0</v>
      </c>
      <c r="AO60" s="75">
        <f t="shared" si="54"/>
        <v>0</v>
      </c>
      <c r="AP60" s="41">
        <f t="shared" si="61"/>
        <v>0</v>
      </c>
      <c r="AQ60" s="41">
        <f t="shared" si="103"/>
        <v>0</v>
      </c>
      <c r="AR60" s="41">
        <f t="shared" si="104"/>
        <v>0</v>
      </c>
      <c r="AS60" s="99">
        <v>0</v>
      </c>
      <c r="AT60" s="527">
        <f t="shared" si="24"/>
        <v>0</v>
      </c>
      <c r="AU60" s="41">
        <f t="shared" si="8"/>
        <v>0</v>
      </c>
      <c r="AV60" s="41">
        <v>0</v>
      </c>
      <c r="AW60" s="41">
        <v>0</v>
      </c>
      <c r="AX60" s="41">
        <v>0</v>
      </c>
      <c r="AY60" s="75">
        <f t="shared" si="12"/>
        <v>0</v>
      </c>
      <c r="AZ60" s="41">
        <v>0</v>
      </c>
      <c r="BA60" s="41">
        <v>0</v>
      </c>
      <c r="BB60" s="41">
        <v>0</v>
      </c>
      <c r="BC60" s="41">
        <v>0</v>
      </c>
      <c r="BD60" s="75">
        <f t="shared" si="17"/>
        <v>0</v>
      </c>
      <c r="BE60" s="450">
        <v>0</v>
      </c>
      <c r="BF60" s="41">
        <v>0</v>
      </c>
      <c r="BG60" s="41">
        <v>0</v>
      </c>
      <c r="BH60" s="41">
        <v>0</v>
      </c>
      <c r="BI60" s="75">
        <f t="shared" si="22"/>
        <v>0</v>
      </c>
      <c r="BJ60" s="21"/>
      <c r="BK60" s="21"/>
      <c r="BL60" s="21"/>
    </row>
    <row r="61" spans="1:64" s="25" customFormat="1">
      <c r="A61" s="3" t="s">
        <v>370</v>
      </c>
      <c r="B61" s="41"/>
      <c r="C61" s="41"/>
      <c r="D61" s="41"/>
      <c r="E61" s="42"/>
      <c r="F61" s="75"/>
      <c r="G61" s="41"/>
      <c r="H61" s="41"/>
      <c r="I61" s="41"/>
      <c r="J61" s="42"/>
      <c r="K61" s="43"/>
      <c r="L61" s="41"/>
      <c r="M61" s="41"/>
      <c r="N61" s="41"/>
      <c r="O61" s="42"/>
      <c r="P61" s="75"/>
      <c r="Q61" s="42"/>
      <c r="R61" s="42"/>
      <c r="S61" s="42"/>
      <c r="T61" s="42"/>
      <c r="U61" s="75"/>
      <c r="V61" s="42"/>
      <c r="W61" s="42"/>
      <c r="X61" s="42"/>
      <c r="Y61" s="42"/>
      <c r="Z61" s="75"/>
      <c r="AA61" s="42"/>
      <c r="AB61" s="42">
        <f>AB62-SUM(AB4:AB60)</f>
        <v>54</v>
      </c>
      <c r="AC61" s="41">
        <f t="shared" si="87"/>
        <v>54</v>
      </c>
      <c r="AD61" s="41">
        <f t="shared" si="87"/>
        <v>54</v>
      </c>
      <c r="AE61" s="75">
        <f t="shared" si="87"/>
        <v>54</v>
      </c>
      <c r="AF61" s="41">
        <v>102</v>
      </c>
      <c r="AG61" s="42">
        <f>AG62-SUM(AG4:AG60)</f>
        <v>295</v>
      </c>
      <c r="AH61" s="42">
        <f>AH62-SUM(AH4:AH60)</f>
        <v>275</v>
      </c>
      <c r="AI61" s="42">
        <f>AI62-SUM(AI4:AI60)</f>
        <v>185</v>
      </c>
      <c r="AJ61" s="75">
        <f t="shared" si="87"/>
        <v>185</v>
      </c>
      <c r="AK61" s="42">
        <f>AK62-SUM(AK4:AK60)</f>
        <v>187</v>
      </c>
      <c r="AL61" s="42">
        <f>AL62-SUM(AL4:AL60)</f>
        <v>159</v>
      </c>
      <c r="AM61" s="42">
        <f>AM62-SUM(AM4:AM60)</f>
        <v>2238</v>
      </c>
      <c r="AN61" s="42">
        <f>AN62-SUM(AN4:AN60)</f>
        <v>665</v>
      </c>
      <c r="AO61" s="75">
        <f t="shared" si="54"/>
        <v>665</v>
      </c>
      <c r="AP61" s="42">
        <f>AP62-SUM(AP4:AP60)</f>
        <v>232</v>
      </c>
      <c r="AQ61" s="42">
        <f>AQ62-SUM(AQ4:AQ60)</f>
        <v>1082</v>
      </c>
      <c r="AR61" s="42">
        <f>AR62-SUM(AR4:AR60)</f>
        <v>1173</v>
      </c>
      <c r="AS61" s="100">
        <f>AS62-SUM(AS4:AS60)</f>
        <v>130</v>
      </c>
      <c r="AT61" s="527">
        <f t="shared" si="24"/>
        <v>130</v>
      </c>
      <c r="AU61" s="100">
        <f>AU62-SUM(AU4:AU60)</f>
        <v>106</v>
      </c>
      <c r="AV61" s="100">
        <f>AV62-SUM(AV4:AV60)</f>
        <v>168</v>
      </c>
      <c r="AW61" s="100">
        <f>AW62-SUM(AW4:AW60)</f>
        <v>154</v>
      </c>
      <c r="AX61" s="100">
        <f>AX62-SUM(AX4:AX60)</f>
        <v>115</v>
      </c>
      <c r="AY61" s="527">
        <f t="shared" si="12"/>
        <v>115</v>
      </c>
      <c r="AZ61" s="100">
        <f>AZ62-SUM(AZ4:AZ60)</f>
        <v>142</v>
      </c>
      <c r="BA61" s="100">
        <f>BA62-SUM(BA4:BA60)</f>
        <v>130</v>
      </c>
      <c r="BB61" s="100">
        <f>BB62-SUM(BB4:BB60)</f>
        <v>140</v>
      </c>
      <c r="BC61" s="100">
        <f>BC62-SUM(BC4:BC60)</f>
        <v>127</v>
      </c>
      <c r="BD61" s="527">
        <f t="shared" si="17"/>
        <v>127</v>
      </c>
      <c r="BE61" s="100">
        <f>BE62-SUM(BE4:BE60)</f>
        <v>146</v>
      </c>
      <c r="BF61" s="100">
        <f>BF62-SUM(BF4:BF60)</f>
        <v>147</v>
      </c>
      <c r="BG61" s="42">
        <f>BF61</f>
        <v>147</v>
      </c>
      <c r="BH61" s="42">
        <f>BG61</f>
        <v>147</v>
      </c>
      <c r="BI61" s="75">
        <f t="shared" si="22"/>
        <v>147</v>
      </c>
      <c r="BJ61" s="21"/>
      <c r="BK61" s="21"/>
      <c r="BL61" s="21"/>
    </row>
    <row r="62" spans="1:64" s="25" customFormat="1">
      <c r="A62" s="11" t="s">
        <v>241</v>
      </c>
      <c r="B62" s="96"/>
      <c r="C62" s="96"/>
      <c r="D62" s="96"/>
      <c r="E62" s="96"/>
      <c r="F62" s="97"/>
      <c r="G62" s="96"/>
      <c r="H62" s="96"/>
      <c r="I62" s="96"/>
      <c r="J62" s="96"/>
      <c r="K62" s="97"/>
      <c r="L62" s="96"/>
      <c r="M62" s="96"/>
      <c r="N62" s="96"/>
      <c r="O62" s="96"/>
      <c r="P62" s="188"/>
      <c r="Q62" s="219"/>
      <c r="R62" s="219"/>
      <c r="S62" s="219"/>
      <c r="T62" s="219"/>
      <c r="U62" s="188"/>
      <c r="V62" s="219"/>
      <c r="W62" s="219"/>
      <c r="X62" s="219"/>
      <c r="Y62" s="219"/>
      <c r="Z62" s="188"/>
      <c r="AA62" s="219"/>
      <c r="AB62" s="219">
        <f>Balance_Sheet_Qtr!AB28+Balance_Sheet_Qtr!AB33+Balance_Sheet_Qtr!AB37</f>
        <v>32750</v>
      </c>
      <c r="AC62" s="219">
        <f>Balance_Sheet_Qtr!AC28+Balance_Sheet_Qtr!AC33+Balance_Sheet_Qtr!AC37</f>
        <v>32781</v>
      </c>
      <c r="AD62" s="219">
        <f>Balance_Sheet_Qtr!AD28+Balance_Sheet_Qtr!AD33+Balance_Sheet_Qtr!AD37</f>
        <v>31823</v>
      </c>
      <c r="AE62" s="81">
        <f>SUM(AE4:AE61)</f>
        <v>31823</v>
      </c>
      <c r="AF62" s="219">
        <f>Balance_Sheet_Qtr!AF28+Balance_Sheet_Qtr!AF33+Balance_Sheet_Qtr!AF37</f>
        <v>31538</v>
      </c>
      <c r="AG62" s="219">
        <f>Balance_Sheet_Qtr!AG28+Balance_Sheet_Qtr!AG33+Balance_Sheet_Qtr!AG37</f>
        <v>31482</v>
      </c>
      <c r="AH62" s="219">
        <f>Balance_Sheet_Qtr!AH28+Balance_Sheet_Qtr!AH33+Balance_Sheet_Qtr!AH37</f>
        <v>31248</v>
      </c>
      <c r="AI62" s="219">
        <f>Balance_Sheet_Qtr!AI28+Balance_Sheet_Qtr!AI33+Balance_Sheet_Qtr!AI37</f>
        <v>31485</v>
      </c>
      <c r="AJ62" s="81">
        <f>SUM(AJ4:AJ61)</f>
        <v>31485</v>
      </c>
      <c r="AK62" s="219">
        <f>Balance_Sheet_Qtr!AK28+Balance_Sheet_Qtr!AK33+Balance_Sheet_Qtr!AK37</f>
        <v>31472</v>
      </c>
      <c r="AL62" s="219">
        <f>Balance_Sheet_Qtr!AL28+Balance_Sheet_Qtr!AL33+Balance_Sheet_Qtr!AL37</f>
        <v>31413</v>
      </c>
      <c r="AM62" s="219">
        <f>Balance_Sheet_Qtr!AM28+Balance_Sheet_Qtr!AM33+Balance_Sheet_Qtr!AM37</f>
        <v>33447</v>
      </c>
      <c r="AN62" s="219">
        <f>Balance_Sheet_Qtr!AN28+Balance_Sheet_Qtr!AN33+Balance_Sheet_Qtr!AN37</f>
        <v>31914</v>
      </c>
      <c r="AO62" s="81">
        <f>SUM(AO4:AO61)</f>
        <v>31914</v>
      </c>
      <c r="AP62" s="219">
        <f>Balance_Sheet_Qtr!AP28+Balance_Sheet_Qtr!AP33+Balance_Sheet_Qtr!AP37</f>
        <v>34486</v>
      </c>
      <c r="AQ62" s="219">
        <f>Balance_Sheet_Qtr!AQ28+Balance_Sheet_Qtr!AQ33+Balance_Sheet_Qtr!AQ37</f>
        <v>35353</v>
      </c>
      <c r="AR62" s="219">
        <f>Balance_Sheet_Qtr!AR28+Balance_Sheet_Qtr!AR33+Balance_Sheet_Qtr!AR37</f>
        <v>35260</v>
      </c>
      <c r="AS62" s="528">
        <f>Balance_Sheet_Qtr!AS28+Balance_Sheet_Qtr!AS33+Balance_Sheet_Qtr!AS37</f>
        <v>43827</v>
      </c>
      <c r="AT62" s="47">
        <f t="shared" ref="AT62" si="105">SUM(AT4:AT61)</f>
        <v>43827</v>
      </c>
      <c r="AU62" s="528">
        <f>Balance_Sheet_Qtr!AU28+Balance_Sheet_Qtr!AU33+Balance_Sheet_Qtr!AU37</f>
        <v>42844</v>
      </c>
      <c r="AV62" s="528">
        <f>Balance_Sheet_Qtr!AV28+Balance_Sheet_Qtr!AV33+Balance_Sheet_Qtr!AV37</f>
        <v>42151</v>
      </c>
      <c r="AW62" s="528">
        <f>Balance_Sheet_Qtr!AW28+Balance_Sheet_Qtr!AW33+Balance_Sheet_Qtr!AW37</f>
        <v>42156</v>
      </c>
      <c r="AX62" s="528">
        <f>Balance_Sheet_Qtr!AX28+Balance_Sheet_Qtr!AX33+Balance_Sheet_Qtr!AX37</f>
        <v>41261</v>
      </c>
      <c r="AY62" s="47">
        <f t="shared" ref="AY62" si="106">SUM(AY4:AY61)</f>
        <v>41261</v>
      </c>
      <c r="AZ62" s="528">
        <f>Balance_Sheet_Qtr!AZ28+Balance_Sheet_Qtr!AZ33+Balance_Sheet_Qtr!AZ37</f>
        <v>41300</v>
      </c>
      <c r="BA62" s="528">
        <f>Balance_Sheet_Qtr!BA28+Balance_Sheet_Qtr!BA33+Balance_Sheet_Qtr!BA37</f>
        <v>41978</v>
      </c>
      <c r="BB62" s="528">
        <f>Balance_Sheet_Qtr!BB28+Balance_Sheet_Qtr!BB33+Balance_Sheet_Qtr!BB37</f>
        <v>39059</v>
      </c>
      <c r="BC62" s="528">
        <f>Balance_Sheet_Qtr!BC28+Balance_Sheet_Qtr!BC33+Balance_Sheet_Qtr!BC37</f>
        <v>37904</v>
      </c>
      <c r="BD62" s="47">
        <f t="shared" ref="BD62" si="107">SUM(BD4:BD61)</f>
        <v>37904</v>
      </c>
      <c r="BE62" s="528">
        <f>Balance_Sheet_Qtr!BE28+Balance_Sheet_Qtr!BE33+Balance_Sheet_Qtr!BE37</f>
        <v>37413</v>
      </c>
      <c r="BF62" s="528">
        <f>Balance_Sheet_Qtr!BF28+Balance_Sheet_Qtr!BF33+Balance_Sheet_Qtr!BF37</f>
        <v>37383</v>
      </c>
      <c r="BG62" s="80">
        <f t="shared" ref="BG62" si="108">SUM(BG4:BG61)</f>
        <v>37383</v>
      </c>
      <c r="BH62" s="80">
        <f t="shared" ref="BH62:BI62" si="109">SUM(BH4:BH61)</f>
        <v>34514</v>
      </c>
      <c r="BI62" s="81">
        <f t="shared" si="109"/>
        <v>34514</v>
      </c>
      <c r="BJ62" s="21"/>
      <c r="BK62" s="21"/>
      <c r="BL62" s="21"/>
    </row>
    <row r="63" spans="1:64" s="25" customFormat="1">
      <c r="A63" s="3" t="s">
        <v>301</v>
      </c>
      <c r="B63" s="41"/>
      <c r="C63" s="41"/>
      <c r="D63" s="41"/>
      <c r="E63" s="42"/>
      <c r="F63" s="43"/>
      <c r="G63" s="41"/>
      <c r="H63" s="41"/>
      <c r="I63" s="41"/>
      <c r="J63" s="42"/>
      <c r="K63" s="43"/>
      <c r="L63" s="41"/>
      <c r="M63" s="41"/>
      <c r="N63" s="41"/>
      <c r="O63" s="42"/>
      <c r="P63" s="38"/>
      <c r="Q63" s="37"/>
      <c r="R63" s="37"/>
      <c r="S63" s="37"/>
      <c r="T63" s="37"/>
      <c r="U63" s="38"/>
      <c r="V63" s="37"/>
      <c r="W63" s="37"/>
      <c r="X63" s="37"/>
      <c r="Y63" s="37"/>
      <c r="Z63" s="38"/>
      <c r="AA63" s="37"/>
      <c r="AB63" s="37">
        <f>Balance_Sheet_Qtr!AB33</f>
        <v>1297</v>
      </c>
      <c r="AC63" s="37">
        <f>Balance_Sheet_Qtr!AC33</f>
        <v>1307</v>
      </c>
      <c r="AD63" s="37">
        <f>Balance_Sheet_Qtr!AD33</f>
        <v>550</v>
      </c>
      <c r="AE63" s="22">
        <f t="shared" ref="AE63:AJ64" si="110">AD63</f>
        <v>550</v>
      </c>
      <c r="AF63" s="37">
        <f>Balance_Sheet_Qtr!AF33</f>
        <v>1369</v>
      </c>
      <c r="AG63" s="37">
        <f>Balance_Sheet_Qtr!AG33</f>
        <v>1370</v>
      </c>
      <c r="AH63" s="37">
        <f>Balance_Sheet_Qtr!AH33</f>
        <v>274</v>
      </c>
      <c r="AI63" s="37">
        <f>Balance_Sheet_Qtr!AI33</f>
        <v>24</v>
      </c>
      <c r="AJ63" s="22">
        <f t="shared" si="110"/>
        <v>24</v>
      </c>
      <c r="AK63" s="37">
        <f>Balance_Sheet_Qtr!AK33</f>
        <v>24</v>
      </c>
      <c r="AL63" s="37">
        <f>Balance_Sheet_Qtr!AL33</f>
        <v>26</v>
      </c>
      <c r="AM63" s="37">
        <f>Balance_Sheet_Qtr!AM33</f>
        <v>193</v>
      </c>
      <c r="AN63" s="37">
        <f>Balance_Sheet_Qtr!AN33</f>
        <v>595</v>
      </c>
      <c r="AO63" s="22">
        <f t="shared" ref="AO63:AO64" si="111">AN63</f>
        <v>595</v>
      </c>
      <c r="AP63" s="37">
        <f>Balance_Sheet_Qtr!AP33</f>
        <v>1545</v>
      </c>
      <c r="AQ63" s="37">
        <f>Balance_Sheet_Qtr!AQ33</f>
        <v>1554</v>
      </c>
      <c r="AR63" s="37">
        <f>Balance_Sheet_Qtr!AR33</f>
        <v>1389</v>
      </c>
      <c r="AS63" s="37">
        <f>Balance_Sheet_Qtr!AS33</f>
        <v>1283</v>
      </c>
      <c r="AT63" s="22">
        <f t="shared" ref="AT63:AT64" si="112">AS63</f>
        <v>1283</v>
      </c>
      <c r="AU63" s="37">
        <f>Balance_Sheet_Qtr!AU33</f>
        <v>344</v>
      </c>
      <c r="AV63" s="37">
        <f>Balance_Sheet_Qtr!AV33</f>
        <v>1617</v>
      </c>
      <c r="AW63" s="37">
        <f>Balance_Sheet_Qtr!AW33</f>
        <v>3113</v>
      </c>
      <c r="AX63" s="37">
        <f>Balance_Sheet_Qtr!AX33</f>
        <v>2352</v>
      </c>
      <c r="AY63" s="22">
        <f t="shared" ref="AY63:AY64" si="113">AX63</f>
        <v>2352</v>
      </c>
      <c r="AZ63" s="37">
        <f>Balance_Sheet_Qtr!AZ33</f>
        <v>2844</v>
      </c>
      <c r="BA63" s="37">
        <f>Balance_Sheet_Qtr!BA33</f>
        <v>2084</v>
      </c>
      <c r="BB63" s="37">
        <f>Balance_Sheet_Qtr!BB33</f>
        <v>584</v>
      </c>
      <c r="BC63" s="37">
        <f>Balance_Sheet_Qtr!BC33</f>
        <v>3412</v>
      </c>
      <c r="BD63" s="22">
        <f t="shared" ref="BD63:BD64" si="114">BC63</f>
        <v>3412</v>
      </c>
      <c r="BE63" s="37">
        <f>Balance_Sheet_Qtr!BE33</f>
        <v>4213</v>
      </c>
      <c r="BF63" s="37">
        <f>Balance_Sheet_Qtr!BF33</f>
        <v>5296</v>
      </c>
      <c r="BG63" s="389">
        <f t="shared" ref="BG63:BG64" si="115">BF63</f>
        <v>5296</v>
      </c>
      <c r="BH63" s="389">
        <f>BG63</f>
        <v>5296</v>
      </c>
      <c r="BI63" s="22">
        <f t="shared" ref="BI63:BI64" si="116">BH63</f>
        <v>5296</v>
      </c>
      <c r="BJ63" s="41"/>
      <c r="BK63" s="21"/>
      <c r="BL63" s="21"/>
    </row>
    <row r="64" spans="1:64" s="25" customFormat="1">
      <c r="A64" s="3" t="s">
        <v>302</v>
      </c>
      <c r="B64" s="41"/>
      <c r="C64" s="41"/>
      <c r="D64" s="41"/>
      <c r="E64" s="42"/>
      <c r="F64" s="43"/>
      <c r="G64" s="41"/>
      <c r="H64" s="41"/>
      <c r="I64" s="41"/>
      <c r="J64" s="42"/>
      <c r="K64" s="43"/>
      <c r="L64" s="41"/>
      <c r="M64" s="41"/>
      <c r="N64" s="41"/>
      <c r="O64" s="42"/>
      <c r="P64" s="38"/>
      <c r="Q64" s="37"/>
      <c r="R64" s="37"/>
      <c r="S64" s="37"/>
      <c r="T64" s="37"/>
      <c r="U64" s="38"/>
      <c r="V64" s="37"/>
      <c r="W64" s="37"/>
      <c r="X64" s="37"/>
      <c r="Y64" s="37"/>
      <c r="Z64" s="38"/>
      <c r="AA64" s="37"/>
      <c r="AB64" s="37">
        <f>Balance_Sheet_Qtr!AB28</f>
        <v>243</v>
      </c>
      <c r="AC64" s="37">
        <f>Balance_Sheet_Qtr!AC28</f>
        <v>228</v>
      </c>
      <c r="AD64" s="37">
        <f>Balance_Sheet_Qtr!AD28</f>
        <v>247</v>
      </c>
      <c r="AE64" s="22">
        <f t="shared" si="110"/>
        <v>247</v>
      </c>
      <c r="AF64" s="37">
        <f>Balance_Sheet_Qtr!AF28</f>
        <v>234</v>
      </c>
      <c r="AG64" s="37">
        <f>Balance_Sheet_Qtr!AG28</f>
        <v>196</v>
      </c>
      <c r="AH64" s="37">
        <f>Balance_Sheet_Qtr!AH28</f>
        <v>206</v>
      </c>
      <c r="AI64" s="37">
        <f>Balance_Sheet_Qtr!AI28</f>
        <v>134</v>
      </c>
      <c r="AJ64" s="22">
        <f t="shared" si="110"/>
        <v>134</v>
      </c>
      <c r="AK64" s="37">
        <f>Balance_Sheet_Qtr!AK28</f>
        <v>140</v>
      </c>
      <c r="AL64" s="37">
        <f>Balance_Sheet_Qtr!AL28</f>
        <v>113</v>
      </c>
      <c r="AM64" s="37">
        <f>Balance_Sheet_Qtr!AM28</f>
        <v>2195</v>
      </c>
      <c r="AN64" s="37">
        <f>Balance_Sheet_Qtr!AN28</f>
        <v>625</v>
      </c>
      <c r="AO64" s="22">
        <f t="shared" si="111"/>
        <v>625</v>
      </c>
      <c r="AP64" s="37">
        <f>Balance_Sheet_Qtr!AP28</f>
        <v>224</v>
      </c>
      <c r="AQ64" s="37">
        <f>Balance_Sheet_Qtr!AQ28</f>
        <v>1076</v>
      </c>
      <c r="AR64" s="37">
        <f>Balance_Sheet_Qtr!AR28</f>
        <v>1170</v>
      </c>
      <c r="AS64" s="37">
        <f>Balance_Sheet_Qtr!AS28</f>
        <v>189</v>
      </c>
      <c r="AT64" s="22">
        <f t="shared" si="112"/>
        <v>189</v>
      </c>
      <c r="AU64" s="37">
        <f>Balance_Sheet_Qtr!AU28</f>
        <v>166</v>
      </c>
      <c r="AV64" s="37">
        <f>Balance_Sheet_Qtr!AV28</f>
        <v>231</v>
      </c>
      <c r="AW64" s="37">
        <f>Balance_Sheet_Qtr!AW28</f>
        <v>220</v>
      </c>
      <c r="AX64" s="37">
        <f>Balance_Sheet_Qtr!AX28</f>
        <v>183</v>
      </c>
      <c r="AY64" s="22">
        <f t="shared" si="113"/>
        <v>183</v>
      </c>
      <c r="AZ64" s="37">
        <f>Balance_Sheet_Qtr!AZ28</f>
        <v>212</v>
      </c>
      <c r="BA64" s="37">
        <f>Balance_Sheet_Qtr!BA28</f>
        <v>1635</v>
      </c>
      <c r="BB64" s="37">
        <f>Balance_Sheet_Qtr!BB28</f>
        <v>215</v>
      </c>
      <c r="BC64" s="37">
        <f>Balance_Sheet_Qtr!BC28</f>
        <v>204</v>
      </c>
      <c r="BD64" s="22">
        <f t="shared" si="114"/>
        <v>204</v>
      </c>
      <c r="BE64" s="37">
        <f>Balance_Sheet_Qtr!BE28</f>
        <v>226</v>
      </c>
      <c r="BF64" s="37">
        <f>Balance_Sheet_Qtr!BF28</f>
        <v>229</v>
      </c>
      <c r="BG64" s="21">
        <f t="shared" si="115"/>
        <v>229</v>
      </c>
      <c r="BH64" s="21">
        <f t="shared" ref="BH64" si="117">BG64</f>
        <v>229</v>
      </c>
      <c r="BI64" s="22">
        <f t="shared" si="116"/>
        <v>229</v>
      </c>
      <c r="BJ64" s="21"/>
      <c r="BK64" s="21"/>
      <c r="BL64" s="21"/>
    </row>
    <row r="65" spans="1:64" s="25" customFormat="1">
      <c r="A65" s="11" t="s">
        <v>99</v>
      </c>
      <c r="B65" s="96"/>
      <c r="C65" s="96"/>
      <c r="D65" s="96"/>
      <c r="E65" s="96"/>
      <c r="F65" s="97"/>
      <c r="G65" s="96"/>
      <c r="H65" s="96"/>
      <c r="I65" s="96"/>
      <c r="J65" s="96"/>
      <c r="K65" s="97"/>
      <c r="L65" s="96"/>
      <c r="M65" s="96"/>
      <c r="N65" s="96"/>
      <c r="O65" s="96"/>
      <c r="P65" s="97"/>
      <c r="Q65" s="96"/>
      <c r="R65" s="96"/>
      <c r="S65" s="96"/>
      <c r="T65" s="96"/>
      <c r="U65" s="97"/>
      <c r="V65" s="96"/>
      <c r="W65" s="96"/>
      <c r="X65" s="96"/>
      <c r="Y65" s="96"/>
      <c r="Z65" s="97"/>
      <c r="AA65" s="96"/>
      <c r="AB65" s="96">
        <f t="shared" ref="AB65:AJ65" si="118">+AB62-AB63-AB64</f>
        <v>31210</v>
      </c>
      <c r="AC65" s="96">
        <f t="shared" ref="AC65" si="119">+AC62-AC63-AC64</f>
        <v>31246</v>
      </c>
      <c r="AD65" s="96">
        <f t="shared" si="118"/>
        <v>31026</v>
      </c>
      <c r="AE65" s="97">
        <f t="shared" si="118"/>
        <v>31026</v>
      </c>
      <c r="AF65" s="96">
        <f t="shared" si="118"/>
        <v>29935</v>
      </c>
      <c r="AG65" s="96">
        <f t="shared" ref="AG65:AH65" si="120">+AG62-AG63-AG64</f>
        <v>29916</v>
      </c>
      <c r="AH65" s="96">
        <f t="shared" si="120"/>
        <v>30768</v>
      </c>
      <c r="AI65" s="96">
        <f t="shared" si="118"/>
        <v>31327</v>
      </c>
      <c r="AJ65" s="97">
        <f t="shared" si="118"/>
        <v>31327</v>
      </c>
      <c r="AK65" s="96">
        <f t="shared" ref="AK65:AO65" si="121">+AK62-AK63-AK64</f>
        <v>31308</v>
      </c>
      <c r="AL65" s="96">
        <f t="shared" si="121"/>
        <v>31274</v>
      </c>
      <c r="AM65" s="96">
        <f t="shared" si="121"/>
        <v>31059</v>
      </c>
      <c r="AN65" s="96">
        <f t="shared" si="121"/>
        <v>30694</v>
      </c>
      <c r="AO65" s="97">
        <f t="shared" si="121"/>
        <v>30694</v>
      </c>
      <c r="AP65" s="96">
        <f t="shared" ref="AP65:AQ65" si="122">+AP62-AP63-AP64</f>
        <v>32717</v>
      </c>
      <c r="AQ65" s="96">
        <f t="shared" si="122"/>
        <v>32723</v>
      </c>
      <c r="AR65" s="96">
        <f t="shared" ref="AR65:AW65" si="123">+AR62-AR63-AR64</f>
        <v>32701</v>
      </c>
      <c r="AS65" s="96">
        <f t="shared" si="123"/>
        <v>42355</v>
      </c>
      <c r="AT65" s="97">
        <f t="shared" si="123"/>
        <v>42355</v>
      </c>
      <c r="AU65" s="96">
        <f t="shared" si="123"/>
        <v>42334</v>
      </c>
      <c r="AV65" s="96">
        <f t="shared" si="123"/>
        <v>40303</v>
      </c>
      <c r="AW65" s="96">
        <f t="shared" si="123"/>
        <v>38823</v>
      </c>
      <c r="AX65" s="96">
        <f>+AX62-AX63-AX64</f>
        <v>38726</v>
      </c>
      <c r="AY65" s="97">
        <f t="shared" ref="AY65:AZ65" si="124">+AY62-AY63-AY64</f>
        <v>38726</v>
      </c>
      <c r="AZ65" s="96">
        <f t="shared" si="124"/>
        <v>38244</v>
      </c>
      <c r="BA65" s="96">
        <f t="shared" ref="BA65:BB65" si="125">+BA62-BA63-BA64</f>
        <v>38259</v>
      </c>
      <c r="BB65" s="96">
        <f t="shared" si="125"/>
        <v>38260</v>
      </c>
      <c r="BC65" s="96">
        <f>+BC62-BC63-BC64</f>
        <v>34288</v>
      </c>
      <c r="BD65" s="97">
        <f t="shared" ref="BD65:BF65" si="126">+BD62-BD63-BD64</f>
        <v>34288</v>
      </c>
      <c r="BE65" s="96">
        <f t="shared" si="126"/>
        <v>32974</v>
      </c>
      <c r="BF65" s="96">
        <f t="shared" si="126"/>
        <v>31858</v>
      </c>
      <c r="BG65" s="96">
        <f t="shared" ref="BG65" si="127">+BG62-BG63-BG64</f>
        <v>31858</v>
      </c>
      <c r="BH65" s="96">
        <f t="shared" ref="BH65:BI65" si="128">+BH62-BH63-BH64</f>
        <v>28989</v>
      </c>
      <c r="BI65" s="97">
        <f t="shared" si="128"/>
        <v>28989</v>
      </c>
      <c r="BJ65" s="21"/>
      <c r="BK65" s="21"/>
      <c r="BL65" s="21"/>
    </row>
    <row r="66" spans="1:64" s="25" customFormat="1">
      <c r="A66" s="11"/>
      <c r="B66" s="96"/>
      <c r="C66" s="96"/>
      <c r="D66" s="96"/>
      <c r="E66" s="96"/>
      <c r="F66" s="97"/>
      <c r="G66" s="96"/>
      <c r="H66" s="96"/>
      <c r="I66" s="96"/>
      <c r="J66" s="96"/>
      <c r="K66" s="97"/>
      <c r="L66" s="96"/>
      <c r="M66" s="96"/>
      <c r="N66" s="96"/>
      <c r="O66" s="96"/>
      <c r="P66" s="97"/>
      <c r="Q66" s="96"/>
      <c r="R66" s="96"/>
      <c r="S66" s="96"/>
      <c r="T66" s="96"/>
      <c r="U66" s="97"/>
      <c r="V66" s="96"/>
      <c r="W66" s="96"/>
      <c r="X66" s="96"/>
      <c r="Y66" s="96"/>
      <c r="Z66" s="97"/>
      <c r="AA66" s="96"/>
      <c r="AB66" s="96"/>
      <c r="AC66" s="96"/>
      <c r="AD66" s="96"/>
      <c r="AE66" s="97"/>
      <c r="AF66" s="96"/>
      <c r="AG66" s="96"/>
      <c r="AH66" s="96"/>
      <c r="AI66" s="96"/>
      <c r="AJ66" s="97"/>
      <c r="AK66" s="96"/>
      <c r="AL66" s="96"/>
      <c r="AM66" s="96"/>
      <c r="AN66" s="96"/>
      <c r="AO66" s="97"/>
      <c r="AP66" s="96"/>
      <c r="AQ66" s="96"/>
      <c r="AR66" s="96"/>
      <c r="AS66" s="96"/>
      <c r="AT66" s="97"/>
      <c r="AU66" s="96"/>
      <c r="AV66" s="96"/>
      <c r="AW66" s="96"/>
      <c r="AX66" s="96"/>
      <c r="AY66" s="97"/>
      <c r="AZ66" s="96"/>
      <c r="BA66" s="96"/>
      <c r="BB66" s="96"/>
      <c r="BC66" s="96"/>
      <c r="BD66" s="97"/>
      <c r="BE66" s="96"/>
      <c r="BF66" s="96"/>
      <c r="BG66" s="96"/>
      <c r="BH66" s="96"/>
      <c r="BI66" s="97"/>
      <c r="BJ66" s="21"/>
      <c r="BK66" s="21"/>
      <c r="BL66" s="21"/>
    </row>
    <row r="67" spans="1:64" s="25" customFormat="1">
      <c r="A67" s="11" t="s">
        <v>210</v>
      </c>
      <c r="E67" s="98"/>
      <c r="F67" s="111"/>
      <c r="J67" s="98"/>
      <c r="K67" s="111"/>
      <c r="O67" s="98"/>
      <c r="P67" s="111"/>
      <c r="Q67" s="39"/>
      <c r="R67" s="39"/>
      <c r="S67" s="39"/>
      <c r="T67" s="39"/>
      <c r="U67" s="111"/>
      <c r="V67" s="39"/>
      <c r="W67" s="39"/>
      <c r="X67" s="39"/>
      <c r="Y67" s="39"/>
      <c r="Z67" s="111"/>
      <c r="AA67" s="39"/>
      <c r="AB67" s="39"/>
      <c r="AC67" s="39">
        <f>IF(AC4-AB4&gt;0,AC4-AB4,0)+IF(AC5-AB5&gt;0,AC5-AB5,0)+IF(AC6-AB6&gt;0,AC6-AB6,0)+IF(AC7-AB7&gt;0,AC7-AB7,0)+IF(AC8-AB8&gt;0,AC8-AB8,0)+IF(AC9-AB9&gt;0,AC9-AB9,0)+IF(AC10-AB10&gt;0,AC10-AB10,0)+IF(AC11-AB11&gt;0,AC11-AB11,0)+IF(AC12-AB12&gt;0,AC12-AB12,0)+IF(AC14-AB14&gt;0,AC14-AB14,0)+IF(AC15-AB15&gt;0,AC15-AB15,0)+IF(AC19-AB19&gt;0,AC19-AB19,0)+IF(AC20-AB20&gt;0,AC20-AB20,0)+IF(AC21-AB21&gt;0,AC21-AB21,0)+IF(AC22-AB22&gt;0,AC22-AB22,0)+IF(AC23-AB23&gt;0,AC23-AB23,0)+IF(AC24-AB24&gt;0,AC24-AB24,0)+IF(AC25-AB25&gt;0,AC25-AB25,0)+IF(AC27-AB27&gt;0,AC27-AB27,0)+IF(AC28-AB28&gt;0,AC28-AB28,0)+IF(AC29-AB29&gt;0,AC29-AB29,0)+IF(AC35-AB35&gt;0,AC35-AB35,0)+IF(AC36-AB36&gt;0,AC36-AB36,0)+IF(AC37-AB37&gt;0,AC37-AB37,0)+IF(AC38-AB38&gt;0,AC38-AB38,0)+IF(AC39-AB39&gt;0,AC39-AB39,0)+IF(AC40-AB40&gt;0,AC40-AB40,0)+IF(AC41-AB41&gt;0,AC41-AB41,0)+IF(AC42-AB42&gt;0,AC42-AB42,0)+IF(AC43-AB43&gt;0,AC43-AB43,0)+IF(AC44-AB44&gt;0,AC44-AB44,0)+IF(AC45-AB45&gt;0,AC45-AB45,0)+IF(AC46-AB46&gt;0,AC46-AB46,0)+IF(AC47-AB47&gt;0,AC47-AB47,0)+IF(AC48-AB48&gt;0,AC48-AB48,0)+IF(AC49-AB49&gt;0,AC49-AB49,0)+IF(AC50-AB50&gt;0,AC50-AB50,0)+IF(AC51-AB51&gt;0,AC51-AB51,0)+IF(AC52-AB52&gt;0,AC52-AB52,0)+IF(AC57-AB57&gt;0,AC57-AB57,0)+IF(AC58-AB58&gt;0,AC58-AB58,0)+IF(AC59-AB59&gt;0,AC59-AB59,0)+IF(AC60-AB60&gt;0,AC60-AB60,0)</f>
        <v>0</v>
      </c>
      <c r="AD67" s="39">
        <f>IF(AD4-AC4&gt;0,AD4-AC4,0)+IF(AD5-AC5&gt;0,AD5-AC5,0)+IF(AD6-AC6&gt;0,AD6-AC6,0)+IF(AD7-AC7&gt;0,AD7-AC7,0)+IF(AD8-AC8&gt;0,AD8-AC8,0)+IF(AD9-AC9&gt;0,AD9-AC9,0)+IF(AD10-AC10&gt;0,AD10-AC10,0)+IF(AD11-AC11&gt;0,AD11-AC11,0)+IF(AD12-AC12&gt;0,AD12-AC12,0)+IF(AD14-AC14&gt;0,AD14-AC14,0)+IF(AD15-AC15&gt;0,AD15-AC15,0)+IF(AD19-AC19&gt;0,AD19-AC19,0)+IF(AD20-AC20&gt;0,AD20-AC20,0)+IF(AD21-AC21&gt;0,AD21-AC21,0)+IF(AD22-AC22&gt;0,AD22-AC22,0)+IF(AD23-AC23&gt;0,AD23-AC23,0)+IF(AD24-AC24&gt;0,AD24-AC24,0)+IF(AD25-AC25&gt;0,AD25-AC25,0)+IF(AD27-AC27&gt;0,AD27-AC27,0)+IF(AD28-AC28&gt;0,AD28-AC28,0)+IF(AD29-AC29&gt;0,AD29-AC29,0)+IF(AD35-AC35&gt;0,AD35-AC35,0)+IF(AD36-AC36&gt;0,AD36-AC36,0)+IF(AD37-AC37&gt;0,AD37-AC37,0)+IF(AD38-AC38&gt;0,AD38-AC38,0)+IF(AD39-AC39&gt;0,AD39-AC39,0)+IF(AD40-AC40&gt;0,AD40-AC40,0)+IF(AD41-AC41&gt;0,AD41-AC41,0)+IF(AD42-AC42&gt;0,AD42-AC42,0)+IF(AD43-AC43&gt;0,AD43-AC43,0)+IF(AD44-AC44&gt;0,AD44-AC44,0)+IF(AD45-AC45&gt;0,AD45-AC45,0)+IF(AD46-AC46&gt;0,AD46-AC46,0)+IF(AD47-AC47&gt;0,AD47-AC47,0)+IF(AD48-AC48&gt;0,AD48-AC48,0)+IF(AD49-AC49&gt;0,AD49-AC49,0)+IF(AD50-AC50&gt;0,AD50-AC50,0)+IF(AD51-AC51&gt;0,AD51-AC51,0)+IF(AD52-AC52&gt;0,AD52-AC52,0)+IF(AD57-AC57&gt;0,AD57-AC57,0)+IF(AD58-AC58&gt;0,AD58-AC58,0)+IF(AD59-AC59&gt;0,AD59-AC59,0)+IF(AD60-AC60&gt;0,AD60-AC60,0)</f>
        <v>73</v>
      </c>
      <c r="AE67" s="111">
        <f>IF(AE4-Z4&gt;0,AE4-Z4,0)+IF(AE5-Z5&gt;0,AE5-Z5,0)+IF(AE6-Z6&gt;0,AE6-Z6,0)+IF(AE7-Z7&gt;0,AE7-Z7,0)+IF(AE8-Z8&gt;0,AE8-Z8,0)+IF(AE9-Z9&gt;0,AE9-Z9,0)+IF(AE10-Z10&gt;0,AE10-Z10,0)+IF(AE11-Z11&gt;0,AE11-Z11,0)+IF(AE12-Z12&gt;0,AE12-Z12,0)+IF(AE14-Z14&gt;0,AE14-Z14,0)+IF(AE15-Z15&gt;0,AE15-Z15,0)+IF(AE19-Z19&gt;0,AE19-Z19,0)+IF(AE20-Z20&gt;0,AE20-Z20,0)+IF(AE21-Z21&gt;0,AE21-Z21,0)+IF(AE22-Z22&gt;0,AE22-Z22,0)+IF(AE23-Z23&gt;0,AE23-Z23,0)+IF(AE24-Z24&gt;0,AE24-Z24,0)+IF(AE25-Z25&gt;0,AE25-Z25,0)+IF(AE27-Z27&gt;0,AE27-Z27,0)+IF(AE28-Z28&gt;0,AE28-Z28,0)+IF(AE29-Z29&gt;0,AE29-Z29,0)+IF(AE35-Z35&gt;0,AE35-Z35,0)+IF(AE36-Z36&gt;0,AE36-Z36,0)+IF(AE37-Z37&gt;0,AE37-Z37,0)+IF(AE38-Z38&gt;0,AE38-Z38,0)+IF(AE39-Z39&gt;0,AE39-Z39,0)+IF(AE40-Z40&gt;0,AE40-Z40,0)+IF(AE41-Z41&gt;0,AE41-Z41,0)+IF(AE42-Z42&gt;0,AE42-Z42,0)+IF(AE43-Z43&gt;0,AE43-Z43,0)+IF(AE44-Z44&gt;0,AE44-Z44,0)+IF(AE45-Z45&gt;0,AE45-Z45,0)+IF(AE46-Z46&gt;0,AE46-Z46,0)+IF(AE47-Z47&gt;0,AE47-Z47,0)+IF(AE48-Z48&gt;0,AE48-Z48,0)+IF(AE49-Z49&gt;0,AE49-Z49,0)+IF(AE50-Z50&gt;0,AE50-Z50,0)+IF(AE51-Z51&gt;0,AE51-Z51,0)+IF(AE52-Z52&gt;0,AE52-Z52,0)+IF(AE57-Z57&gt;0,AE57-Z57,0)+IF(AE58-Z58&gt;0,AE58-Z58,0)+IF(AE59-Z59&gt;0,AE59-Z59,0)+IF(AE60-Z60&gt;0,AE60-Z60,0)+IF(AE31-Z31&gt;0,AE31-Z31,0)+IF(AE53-Z53&gt;0,AE53-Z53,0)</f>
        <v>31769</v>
      </c>
      <c r="AF67" s="39">
        <f>IF(AF4-AE4&gt;0,AF4-AE4,0)+IF(AF5-AE5&gt;0,AF5-AE5,0)+IF(AF6-AE6&gt;0,AF6-AE6,0)+IF(AF7-AE7&gt;0,AF7-AE7,0)+IF(AF8-AE8&gt;0,AF8-AE8,0)+IF(AF9-AE9&gt;0,AF9-AE9,0)+IF(AF10-AE10&gt;0,AF10-AE10,0)+IF(AF11-AE11&gt;0,AF11-AE11,0)+IF(AF12-AE12&gt;0,AF12-AE12,0)+IF(AF14-AE14&gt;0,AF14-AE14,0)+IF(AF15-AE15&gt;0,AF15-AE15,0)+IF(AF19-AE19&gt;0,AF19-AE19,0)+IF(AF20-AE20&gt;0,AF20-AE20,0)+IF(AF21-AE21&gt;0,AF21-AE21,0)+IF(AF22-AE22&gt;0,AF22-AE22,0)+IF(AF23-AE23&gt;0,AF23-AE23,0)+IF(AF24-AE24&gt;0,AF24-AE24,0)+IF(AF25-AE25&gt;0,AF25-AE25,0)+IF(AF27-AE27&gt;0,AF27-AE27,0)+IF(AF28-AE28&gt;0,AF28-AE28,0)+IF(AF29-AE29&gt;0,AF29-AE29,0)+IF(AF35-AE35&gt;0,AF35-AE35,0)+IF(AF36-AE36&gt;0,AF36-AE36,0)+IF(AF37-AE37&gt;0,AF37-AE37,0)+IF(AF38-AE38&gt;0,AF38-AE38,0)+IF(AF39-AE39&gt;0,AF39-AE39,0)+IF(AF40-AE40&gt;0,AF40-AE40,0)+IF(AF41-AE41&gt;0,AF41-AE41,0)+IF(AF42-AE42&gt;0,AF42-AE42,0)+IF(AF43-AE43&gt;0,AF43-AE43,0)+IF(AF44-AE44&gt;0,AF44-AE44,0)+IF(AF45-AE45&gt;0,AF45-AE45,0)+IF(AF46-AE46&gt;0,AF46-AE46,0)+IF(AF47-AE47&gt;0,AF47-AE47,0)+IF(AF48-AE48&gt;0,AF48-AE48,0)+IF(AF49-AE49&gt;0,AF49-AE49,0)+IF(AF50-AE50&gt;0,AF50-AE50,0)+IF(AF51-AE51&gt;0,AF51-AE51,0)+IF(AF52-AE52&gt;0,AF52-AE52,0)+IF(AF57-AE57&gt;0,AF57-AE57,0)+IF(AF58-AE58&gt;0,AF58-AE58,0)+IF(AF59-AE59&gt;0,AF59-AE59,0)+IF(AF60-AE60&gt;0,AF60-AE60,0)+IF(AF31-AE31&gt;0,AF31-AE31,0)+IF(AF53-AE53&gt;0,AF53-AE53,0)</f>
        <v>29</v>
      </c>
      <c r="AG67" s="39">
        <f>IF(AG4-AF4&gt;0,AG4-AF4,0)+IF(AG5-AF5&gt;0,AG5-AF5,0)+IF(AG6-AF6&gt;0,AG6-AF6,0)+IF(AG7-AF7&gt;0,AG7-AF7,0)+IF(AG8-AF8&gt;0,AG8-AF8,0)+IF(AG9-AF9&gt;0,AG9-AF9,0)+IF(AG10-AF10&gt;0,AG10-AF10,0)+IF(AG11-AF11&gt;0,AG11-AF11,0)+IF(AG12-AF12&gt;0,AG12-AF12,0)+IF(AG14-AF14&gt;0,AG14-AF14,0)+IF(AG15-AF15&gt;0,AG15-AF15,0)+IF(AG19-AF19&gt;0,AG19-AF19,0)+IF(AG20-AF20&gt;0,AG20-AF20,0)+IF(AG21-AF21&gt;0,AG21-AF21,0)+IF(AG22-AF22&gt;0,AG22-AF22,0)+IF(AG23-AF23&gt;0,AG23-AF23,0)+IF(AG24-AF24&gt;0,AG24-AF24,0)+IF(AG25-AF25&gt;0,AG25-AF25,0)+IF(AG27-AF27&gt;0,AG27-AF27,0)+IF(AG28-AF28&gt;0,AG28-AF28,0)+IF(AG29-AF29&gt;0,AG29-AF29,0)+IF(AG35-AF35&gt;0,AG35-AF35,0)+IF(AG36-AF36&gt;0,AG36-AF36,0)+IF(AG37-AF37&gt;0,AG37-AF37,0)+IF(AG38-AF38&gt;0,AG38-AF38,0)+IF(AG39-AF39&gt;0,AG39-AF39,0)+IF(AG40-AF40&gt;0,AG40-AF40,0)+IF(AG41-AF41&gt;0,AG41-AF41,0)+IF(AG42-AF42&gt;0,AG42-AF42,0)+IF(AG43-AF43&gt;0,AG43-AF43,0)+IF(AG44-AF44&gt;0,AG44-AF44,0)+IF(AG45-AF45&gt;0,AG45-AF45,0)+IF(AG46-AF46&gt;0,AG46-AF46,0)+IF(AG47-AF47&gt;0,AG47-AF47,0)+IF(AG48-AF48&gt;0,AG48-AF48,0)+IF(AG49-AF49&gt;0,AG49-AF49,0)+IF(AG50-AF50&gt;0,AG50-AF50,0)+IF(AG51-AF51&gt;0,AG51-AF51,0)+IF(AG52-AF52&gt;0,AG52-AF52,0)+IF(AG57-AF57&gt;0,AG57-AF57,0)+IF(AG58-AF58&gt;0,AG58-AF58,0)+IF(AG59-AF59&gt;0,AG59-AF59,0)+IF(AG60-AF60&gt;0,AG60-AF60,0)+IF(AG31-AF31&gt;0,AG31-AF31,0)+IF(AG53-AF53&gt;0,AG53-AF53,0)</f>
        <v>8</v>
      </c>
      <c r="AH67" s="39">
        <f>IF(AH4-AG4&gt;0,AH4-AG4,0)+IF(AH5-AG5&gt;0,AH5-AG5,0)+IF(AH6-AG6&gt;0,AH6-AG6,0)+IF(AH7-AG7&gt;0,AH7-AG7,0)+IF(AH8-AG8&gt;0,AH8-AG8,0)+IF(AH9-AG9&gt;0,AH9-AG9,0)+IF(AH10-AG10&gt;0,AH10-AG10,0)+IF(AH11-AG11&gt;0,AH11-AG11,0)+IF(AH12-AG12&gt;0,AH12-AG12,0)+IF(AH14-AG14&gt;0,AH14-AG14,0)+IF(AH15-AG15&gt;0,AH15-AG15,0)+IF(AH19-AG19&gt;0,AH19-AG19,0)+IF(AH20-AG20&gt;0,AH20-AG20,0)+IF(AH21-AG21&gt;0,AH21-AG21,0)+IF(AH22-AG22&gt;0,AH22-AG22,0)+IF(AH23-AG23&gt;0,AH23-AG23,0)+IF(AH24-AG24&gt;0,AH24-AG24,0)+IF(AH25-AG25&gt;0,AH25-AG25,0)+IF(AH27-AG27&gt;0,AH27-AG27,0)+IF(AH28-AG28&gt;0,AH28-AG28,0)+IF(AH29-AG29&gt;0,AH29-AG29,0)+IF(AH35-AG35&gt;0,AH35-AG35,0)+IF(AH36-AG36&gt;0,AH36-AG36,0)+IF(AH37-AG37&gt;0,AH37-AG37,0)+IF(AH38-AG38&gt;0,AH38-AG38,0)+IF(AH39-AG39&gt;0,AH39-AG39,0)+IF(AH40-AG40&gt;0,AH40-AG40,0)+IF(AH41-AG41&gt;0,AH41-AG41,0)+IF(AH42-AG42&gt;0,AH42-AG42,0)+IF(AH43-AG43&gt;0,AH43-AG43,0)+IF(AH44-AG44&gt;0,AH44-AG44,0)+IF(AH45-AG45&gt;0,AH45-AG45,0)+IF(AH46-AG46&gt;0,AH46-AG46,0)+IF(AH47-AG47&gt;0,AH47-AG47,0)+IF(AH48-AG48&gt;0,AH48-AG48,0)+IF(AH49-AG49&gt;0,AH49-AG49,0)+IF(AH50-AG50&gt;0,AH50-AG50,0)+IF(AH51-AG51&gt;0,AH51-AG51,0)+IF(AH52-AG52&gt;0,AH52-AG52,0)+IF(AH57-AG57&gt;0,AH57-AG57,0)+IF(AH58-AG58&gt;0,AH58-AG58,0)+IF(AH59-AG59&gt;0,AH59-AG59,0)+IF(AH60-AG60&gt;0,AH60-AG60,0)+IF(AH31-AG31&gt;0,AH31-AG31,0)+IF(AH53-AG53&gt;0,AH53-AG53,0)</f>
        <v>2000</v>
      </c>
      <c r="AI67" s="107">
        <f>IF(AI4-AD4&gt;0,AI4-AD4,0)+IF(AI5-AD5&gt;0,AI5-AD5,0)+IF(AI6-AD6&gt;0,AI6-AD6,0)+IF(AI7-AD7&gt;0,AI7-AD7,0)+IF(AI8-AD8&gt;0,AI8-AD8,0)+IF(AI9-AD9&gt;0,AI9-AD9,0)+IF(AI10-AD10&gt;0,AI10-AD10,0)+IF(AI11-AD11&gt;0,AI11-AD11,0)+IF(AI12-AD12&gt;0,AI12-AD12,0)+IF(AI14-AD14&gt;0,AI14-AD14,0)+IF(AI15-AD15&gt;0,AI15-AD15,0)+IF(AI19-AD19&gt;0,AI19-AD19,0)+IF(AI20-AD20&gt;0,AI20-AD20,0)+IF(AI21-AD21&gt;0,AI21-AD21,0)+IF(AI22-AD22&gt;0,AI22-AD22,0)+IF(AI23-AD23&gt;0,AI23-AD23,0)+IF(AI24-AD24&gt;0,AI24-AD24,0)+IF(AI25-AD25&gt;0,AI25-AD25,0)+IF(AI27-AD27&gt;0,AI27-AD27,0)+IF(AI28-AD28&gt;0,AI28-AD28,0)+IF(AI29-AD29&gt;0,AI29-AD29,0)+IF(AI35-AD35&gt;0,AI35-AD35,0)+IF(AI36-AD36&gt;0,AI36-AD36,0)+IF(AI37-AD37&gt;0,AI37-AD37,0)+IF(AI38-AD38&gt;0,AI38-AD38,0)+IF(AI39-AD39&gt;0,AI39-AD39,0)+IF(AI40-AD40&gt;0,AI40-AD40,0)+IF(AI41-AD41&gt;0,AI41-AD41,0)+IF(AI42-AD42&gt;0,AI42-AD42,0)+IF(AI43-AD43&gt;0,AI43-AD43,0)+IF(AI44-AD44&gt;0,AI44-AD44,0)+IF(AI45-AD45&gt;0,AI45-AD45,0)+IF(AI46-AD46&gt;0,AI46-AD46,0)+IF(AI47-AD47&gt;0,AI47-AD47,0)+IF(AI48-AD48&gt;0,AI48-AD48,0)+IF(AI49-AD49&gt;0,AI49-AD49,0)+IF(AI50-AD50&gt;0,AI50-AD50,0)+IF(AI51-AD51&gt;0,AI51-AD51,0)+IF(AI52-AD52&gt;0,AI52-AD52,0)+IF(AI57-AD57&gt;0,AI57-AD57,0)+IF(AI58-AD58&gt;0,AI58-AD58,0)+IF(AI59-AD59&gt;0,AI59-AD59,0)+IF(AI60-AD60&gt;0,AI60-AD60,0)+IF(AI31-AD31&gt;0,AI31-AD31,0)+IF(AI53-AD53&gt;0,AI53-AD53,0)+IF(AI32-AD32&gt;0,AI32-AD32,0)+IF(AI54-AD54&gt;0,AI54-AD54,0)</f>
        <v>4104</v>
      </c>
      <c r="AJ67" s="111">
        <f>IF(AJ4-AE4&gt;0,AJ4-AE4,0)+IF(AJ5-AE5&gt;0,AJ5-AE5,0)+IF(AJ6-AE6&gt;0,AJ6-AE6,0)+IF(AJ7-AE7&gt;0,AJ7-AE7,0)+IF(AJ8-AE8&gt;0,AJ8-AE8,0)+IF(AJ9-AE9&gt;0,AJ9-AE9,0)+IF(AJ10-AE10&gt;0,AJ10-AE10,0)+IF(AJ11-AE11&gt;0,AJ11-AE11,0)+IF(AJ12-AE12&gt;0,AJ12-AE12,0)+IF(AJ14-AE14&gt;0,AJ14-AE14,0)+IF(AJ15-AE15&gt;0,AJ15-AE15,0)+IF(AJ19-AE19&gt;0,AJ19-AE19,0)+IF(AJ20-AE20&gt;0,AJ20-AE20,0)+IF(AJ21-AE21&gt;0,AJ21-AE21,0)+IF(AJ22-AE22&gt;0,AJ22-AE22,0)+IF(AJ23-AE23&gt;0,AJ23-AE23,0)+IF(AJ24-AE24&gt;0,AJ24-AE24,0)+IF(AJ25-AE25&gt;0,AJ25-AE25,0)+IF(AJ27-AE27&gt;0,AJ27-AE27,0)+IF(AJ28-AE28&gt;0,AJ28-AE28,0)+IF(AJ29-AE29&gt;0,AJ29-AE29,0)+IF(AJ35-AE35&gt;0,AJ35-AE35,0)+IF(AJ36-AE36&gt;0,AJ36-AE36,0)+IF(AJ37-AE37&gt;0,AJ37-AE37,0)+IF(AJ38-AE38&gt;0,AJ38-AE38,0)+IF(AJ39-AE39&gt;0,AJ39-AE39,0)+IF(AJ40-AE40&gt;0,AJ40-AE40,0)+IF(AJ41-AE41&gt;0,AJ41-AE41,0)+IF(AJ42-AE42&gt;0,AJ42-AE42,0)+IF(AJ43-AE43&gt;0,AJ43-AE43,0)+IF(AJ44-AE44&gt;0,AJ44-AE44,0)+IF(AJ45-AE45&gt;0,AJ45-AE45,0)+IF(AJ46-AE46&gt;0,AJ46-AE46,0)+IF(AJ47-AE47&gt;0,AJ47-AE47,0)+IF(AJ48-AE48&gt;0,AJ48-AE48,0)+IF(AJ49-AE49&gt;0,AJ49-AE49,0)+IF(AJ50-AE50&gt;0,AJ50-AE50,0)+IF(AJ51-AE51&gt;0,AJ51-AE51,0)+IF(AJ52-AE52&gt;0,AJ52-AE52,0)+IF(AJ57-AE57&gt;0,AJ57-AE57,0)+IF(AJ58-AE58&gt;0,AJ58-AE58,0)+IF(AJ59-AE59&gt;0,AJ59-AE59,0)+IF(AJ60-AE60&gt;0,AJ60-AE60,0)+IF(AJ31-AE31&gt;0,AJ31-AE31,0)+IF(AJ53-AE53&gt;0,AJ53-AE53,0)+IF(AJ32-AE32&gt;0,AJ32-AE32,0)+IF(AJ54-AE54&gt;0,AJ54-AE54,0)</f>
        <v>4104</v>
      </c>
      <c r="AK67" s="107">
        <f>IF(AK4-AJ4&gt;0,AK4-AJ4,0)+IF(AK5-AJ5&gt;0,AK5-AJ5,0)+IF(AK6-AJ6&gt;0,AK6-AJ6,0)+IF(AK7-AJ7&gt;0,AK7-AJ7,0)+IF(AK8-AJ8&gt;0,AK8-AJ8,0)+IF(AK9-AJ9&gt;0,AK9-AJ9,0)+IF(AK10-AJ10&gt;0,AK10-AJ10,0)+IF(AK11-AJ11&gt;0,AK11-AJ11,0)+IF(AK12-AJ12&gt;0,AK12-AJ12,0)+IF(AK14-AJ14&gt;0,AK14-AJ14,0)+IF(AK15-AJ15&gt;0,AK15-AJ15,0)+IF(AK19-AJ19&gt;0,AK19-AJ19,0)+IF(AK20-AJ20&gt;0,AK20-AJ20,0)+IF(AK21-AJ21&gt;0,AK21-AJ21,0)+IF(AK22-AJ22&gt;0,AK22-AJ22,0)+IF(AK23-AJ23&gt;0,AK23-AJ23,0)+IF(AK24-AJ24&gt;0,AK24-AJ24,0)+IF(AK25-AJ25&gt;0,AK25-AJ25,0)+IF(AK27-AJ27&gt;0,AK27-AJ27,0)+IF(AK28-AJ28&gt;0,AK28-AJ28,0)+IF(AK29-AJ29&gt;0,AK29-AJ29,0)+IF(AK35-AJ35&gt;0,AK35-AJ35,0)+IF(AK36-AJ36&gt;0,AK36-AJ36,0)+IF(AK37-AJ37&gt;0,AK37-AJ37,0)+IF(AK38-AJ38&gt;0,AK38-AJ38,0)+IF(AK39-AJ39&gt;0,AK39-AJ39,0)+IF(AK40-AJ40&gt;0,AK40-AJ40,0)+IF(AK41-AJ41&gt;0,AK41-AJ41,0)+IF(AK42-AJ42&gt;0,AK42-AJ42,0)+IF(AK43-AJ43&gt;0,AK43-AJ43,0)+IF(AK44-AJ44&gt;0,AK44-AJ44,0)+IF(AK45-AJ45&gt;0,AK45-AJ45,0)+IF(AK46-AJ46&gt;0,AK46-AJ46,0)+IF(AK47-AJ47&gt;0,AK47-AJ47,0)+IF(AK48-AJ48&gt;0,AK48-AJ48,0)+IF(AK49-AJ49&gt;0,AK49-AJ49,0)+IF(AK50-AJ50&gt;0,AK50-AJ50,0)+IF(AK51-AJ51&gt;0,AK51-AJ51,0)+IF(AK52-AJ52&gt;0,AK52-AJ52,0)+IF(AK57-AJ57&gt;0,AK57-AJ57,0)+IF(AK58-AJ58&gt;0,AK58-AJ58,0)+IF(AK59-AJ59&gt;0,AK59-AJ59,0)+IF(AK60-AJ60&gt;0,AK60-AJ60,0)+IF(AK31-AJ31&gt;0,AK31-AJ31,0)+IF(AK53-AJ53&gt;0,AK53-AJ53,0)</f>
        <v>0</v>
      </c>
      <c r="AL67" s="107">
        <f>IF(AL4-AK4&gt;0,AL4-AK4,0)+IF(AL5-AK5&gt;0,AL5-AK5,0)+IF(AL6-AK6&gt;0,AL6-AK6,0)+IF(AL7-AK7&gt;0,AL7-AK7,0)+IF(AL8-AK8&gt;0,AL8-AK8,0)+IF(AL9-AK9&gt;0,AL9-AK9,0)+IF(AL10-AK10&gt;0,AL10-AK10,0)+IF(AL11-AK11&gt;0,AL11-AK11,0)+IF(AL12-AK12&gt;0,AL12-AK12,0)+IF(AL14-AK14&gt;0,AL14-AK14,0)+IF(AL15-AK15&gt;0,AL15-AK15,0)+IF(AL19-AK19&gt;0,AL19-AK19,0)+IF(AL20-AK20&gt;0,AL20-AK20,0)+IF(AL21-AK21&gt;0,AL21-AK21,0)+IF(AL22-AK22&gt;0,AL22-AK22,0)+IF(AL23-AK23&gt;0,AL23-AK23,0)+IF(AL24-AK24&gt;0,AL24-AK24,0)+IF(AL25-AK25&gt;0,AL25-AK25,0)+IF(AL27-AK27&gt;0,AL27-AK27,0)+IF(AL28-AK28&gt;0,AL28-AK28,0)+IF(AL29-AK29&gt;0,AL29-AK29,0)+IF(AL35-AK35&gt;0,AL35-AK35,0)+IF(AL36-AK36&gt;0,AL36-AK36,0)+IF(AL37-AK37&gt;0,AL37-AK37,0)+IF(AL38-AK38&gt;0,AL38-AK38,0)+IF(AL39-AK39&gt;0,AL39-AK39,0)+IF(AL40-AK40&gt;0,AL40-AK40,0)+IF(AL41-AK41&gt;0,AL41-AK41,0)+IF(AL42-AK42&gt;0,AL42-AK42,0)+IF(AL43-AK43&gt;0,AL43-AK43,0)+IF(AL44-AK44&gt;0,AL44-AK44,0)+IF(AL45-AK45&gt;0,AL45-AK45,0)+IF(AL46-AK46&gt;0,AL46-AK46,0)+IF(AL47-AK47&gt;0,AL47-AK47,0)+IF(AL48-AK48&gt;0,AL48-AK48,0)+IF(AL49-AK49&gt;0,AL49-AK49,0)+IF(AL50-AK50&gt;0,AL50-AK50,0)+IF(AL51-AK51&gt;0,AL51-AK51,0)+IF(AL52-AK52&gt;0,AL52-AK52,0)+IF(AL57-AK57&gt;0,AL57-AK57,0)+IF(AL58-AK58&gt;0,AL58-AK58,0)+IF(AL59-AK59&gt;0,AL59-AK59,0)+IF(AL60-AK60&gt;0,AL60-AK60,0)+IF(AL31-AK31&gt;0,AL31-AK31,0)+IF(AL53-AK53&gt;0,AL53-AK53,0)</f>
        <v>0</v>
      </c>
      <c r="AM67" s="107">
        <f>IF(AM4-AL4&gt;0,AM4-AL4,0)+IF(AM5-AL5&gt;0,AM5-AL5,0)+IF(AM6-AL6&gt;0,AM6-AL6,0)+IF(AM7-AL7&gt;0,AM7-AL7,0)+IF(AM8-AL8&gt;0,AM8-AL8,0)+IF(AM9-AL9&gt;0,AM9-AL9,0)+IF(AM10-AL10&gt;0,AM10-AL10,0)+IF(AM11-AL11&gt;0,AM11-AL11,0)+IF(AM12-AL12&gt;0,AM12-AL12,0)+IF(AM14-AL14&gt;0,AM14-AL14,0)+IF(AM15-AL15&gt;0,AM15-AL15,0)+IF(AM19-AL19&gt;0,AM19-AL19,0)+IF(AM20-AL20&gt;0,AM20-AL20,0)+IF(AM21-AL21&gt;0,AM21-AL21,0)+IF(AM22-AL22&gt;0,AM22-AL22,0)+IF(AM23-AL23&gt;0,AM23-AL23,0)+IF(AM24-AL24&gt;0,AM24-AL24,0)+IF(AM25-AL25&gt;0,AM25-AL25,0)+IF(AM27-AL27&gt;0,AM27-AL27,0)+IF(AM28-AL28&gt;0,AM28-AL28,0)+IF(AM29-AL29&gt;0,AM29-AL29,0)+IF(AM35-AL35&gt;0,AM35-AL35,0)+IF(AM36-AL36&gt;0,AM36-AL36,0)+IF(AM37-AL37&gt;0,AM37-AL37,0)+IF(AM38-AL38&gt;0,AM38-AL38,0)+IF(AM39-AL39&gt;0,AM39-AL39,0)+IF(AM40-AL40&gt;0,AM40-AL40,0)+IF(AM41-AL41&gt;0,AM41-AL41,0)+IF(AM42-AL42&gt;0,AM42-AL42,0)+IF(AM43-AL43&gt;0,AM43-AL43,0)+IF(AM44-AL44&gt;0,AM44-AL44,0)+IF(AM45-AL45&gt;0,AM45-AL45,0)+IF(AM46-AL46&gt;0,AM46-AL46,0)+IF(AM47-AL47&gt;0,AM47-AL47,0)+IF(AM48-AL48&gt;0,AM48-AL48,0)+IF(AM49-AL49&gt;0,AM49-AL49,0)+IF(AM50-AL50&gt;0,AM50-AL50,0)+IF(AM51-AL51&gt;0,AM51-AL51,0)+IF(AM52-AL52&gt;0,AM52-AL52,0)+IF(AM57-AL57&gt;0,AM57-AL57,0)+IF(AM58-AL58&gt;0,AM58-AL58,0)+IF(AM59-AL59&gt;0,AM59-AL59,0)+IF(AM60-AL60&gt;0,AM60-AL60,0)+IF(AM31-AL31&gt;0,AM31-AL31,0)+IF(AM53-AL53&gt;0,AM53-AL53,0)</f>
        <v>0</v>
      </c>
      <c r="AN67" s="107">
        <f>IF(AN4-AM4&gt;0,AN4-AM4,0)+IF(AN5-AM5&gt;0,AN5-AM5,0)+IF(AN6-AM6&gt;0,AN6-AM6,0)+IF(AN7-AM7&gt;0,AN7-AM7,0)+IF(AN8-AM8&gt;0,AN8-AM8,0)+IF(AN9-AM9&gt;0,AN9-AM9,0)+IF(AN10-AM10&gt;0,AN10-AM10,0)+IF(AN11-AM11&gt;0,AN11-AM11,0)+IF(AN12-AM12&gt;0,AN12-AM12,0)+IF(AN14-AM14&gt;0,AN14-AM14,0)+IF(AN15-AM15&gt;0,AN15-AM15,0)+IF(AN19-AM19&gt;0,AN19-AM19,0)+IF(AN20-AM20&gt;0,AN20-AM20,0)+IF(AN21-AM21&gt;0,AN21-AM21,0)+IF(AN22-AM22&gt;0,AN22-AM22,0)+IF(AN23-AM23&gt;0,AN23-AM23,0)+IF(AN24-AM24&gt;0,AN24-AM24,0)+IF(AN25-AM25&gt;0,AN25-AM25,0)+IF(AN27-AM27&gt;0,AN27-AM27,0)+IF(AN28-AM28&gt;0,AN28-AM28,0)+IF(AN29-AM29&gt;0,AN29-AM29,0)+IF(AN35-AM35&gt;0,AN35-AM35,0)+IF(AN36-AM36&gt;0,AN36-AM36,0)+IF(AN37-AM37&gt;0,AN37-AM37,0)+IF(AN38-AM38&gt;0,AN38-AM38,0)+IF(AN39-AM39&gt;0,AN39-AM39,0)+IF(AN40-AM40&gt;0,AN40-AM40,0)+IF(AN41-AM41&gt;0,AN41-AM41,0)+IF(AN42-AM42&gt;0,AN42-AM42,0)+IF(AN43-AM43&gt;0,AN43-AM43,0)+IF(AN44-AM44&gt;0,AN44-AM44,0)+IF(AN45-AM45&gt;0,AN45-AM45,0)+IF(AN46-AM46&gt;0,AN46-AM46,0)+IF(AN47-AM47&gt;0,AN47-AM47,0)+IF(AN48-AM48&gt;0,AN48-AM48,0)+IF(AN49-AM49&gt;0,AN49-AM49,0)+IF(AN50-AM50&gt;0,AN50-AM50,0)+IF(AN51-AM51&gt;0,AN51-AM51,0)+IF(AN52-AM52&gt;0,AN52-AM52,0)+IF(AN57-AM57&gt;0,AN57-AM57,0)+IF(AN58-AM58&gt;0,AN58-AM58,0)+IF(AN59-AM59&gt;0,AN59-AM59,0)+IF(AN60-AM60&gt;0,AN60-AM60,0)+IF(AN31-AM31&gt;0,AN31-AM31,0)+IF(AN53-AM53&gt;0,AN53-AM53,0)</f>
        <v>43</v>
      </c>
      <c r="AO67" s="111">
        <f>IF(AO4-AJ4&gt;0,AO4-AJ4,0)+IF(AO5-AJ5&gt;0,AO5-AJ5,0)+IF(AO6-AJ6&gt;0,AO6-AJ6,0)+IF(AO7-AJ7&gt;0,AO7-AJ7,0)+IF(AO8-AJ8&gt;0,AO8-AJ8,0)+IF(AO9-AJ9&gt;0,AO9-AJ9,0)+IF(AO10-AJ10&gt;0,AO10-AJ10,0)+IF(AO11-AJ11&gt;0,AO11-AJ11,0)+IF(AO12-AJ12&gt;0,AO12-AJ12,0)+IF(AO14-AJ14&gt;0,AO14-AJ14,0)+IF(AO15-AJ15&gt;0,AO15-AJ15,0)+IF(AO19-AJ19&gt;0,AO19-AJ19,0)+IF(AO20-AJ20&gt;0,AO20-AJ20,0)+IF(AO21-AJ21&gt;0,AO21-AJ21,0)+IF(AO22-AJ22&gt;0,AO22-AJ22,0)+IF(AO23-AJ23&gt;0,AO23-AJ23,0)+IF(AO24-AJ24&gt;0,AO24-AJ24,0)+IF(AO25-AJ25&gt;0,AO25-AJ25,0)+IF(AO27-AJ27&gt;0,AO27-AJ27,0)+IF(AO28-AJ28&gt;0,AO28-AJ28,0)+IF(AO29-AJ29&gt;0,AO29-AJ29,0)+IF(AO35-AJ35&gt;0,AO35-AJ35,0)+IF(AO36-AJ36&gt;0,AO36-AJ36,0)+IF(AO37-AJ37&gt;0,AO37-AJ37,0)+IF(AO38-AJ38&gt;0,AO38-AJ38,0)+IF(AO39-AJ39&gt;0,AO39-AJ39,0)+IF(AO40-AJ40&gt;0,AO40-AJ40,0)+IF(AO41-AJ41&gt;0,AO41-AJ41,0)+IF(AO42-AJ42&gt;0,AO42-AJ42,0)+IF(AO43-AJ43&gt;0,AO43-AJ43,0)+IF(AO44-AJ44&gt;0,AO44-AJ44,0)+IF(AO45-AJ45&gt;0,AO45-AJ45,0)+IF(AO46-AJ46&gt;0,AO46-AJ46,0)+IF(AO47-AJ47&gt;0,AO47-AJ47,0)+IF(AO48-AJ48&gt;0,AO48-AJ48,0)+IF(AO49-AJ49&gt;0,AO49-AJ49,0)+IF(AO50-AJ50&gt;0,AO50-AJ50,0)+IF(AO51-AJ51&gt;0,AO51-AJ51,0)+IF(AO52-AJ52&gt;0,AO52-AJ52,0)+IF(AO57-AJ57&gt;0,AO57-AJ57,0)+IF(AO58-AJ58&gt;0,AO58-AJ58,0)+IF(AO59-AJ59&gt;0,AO59-AJ59,0)+IF(AO60-AJ60&gt;0,AO60-AJ60,0)+IF(AO31-AJ31&gt;0,AO31-AJ31,0)+IF(AO53-AJ53&gt;0,AO53-AJ53,0)</f>
        <v>0</v>
      </c>
      <c r="AP67" s="107">
        <f t="shared" ref="AP67:AR67" si="129">IF(AP4-AO4&gt;0,AP4-AO4,0)+IF(AP5-AO5&gt;0,AP5-AO5,0)+IF(AP6-AO6&gt;0,AP6-AO6,0)+IF(AP7-AO7&gt;0,AP7-AO7,0)+IF(AP8-AO8&gt;0,AP8-AO8,0)+IF(AP9-AO9&gt;0,AP9-AO9,0)+IF(AP10-AO10&gt;0,AP10-AO10,0)+IF(AP11-AO11&gt;0,AP11-AO11,0)+IF(AP12-AO12&gt;0,AP12-AO12,0)++IF(AP13-AO13&gt;0,AP13-AO13,0)+IF(AP14-AO14&gt;0,AP14-AO14,0)+IF(AP15-AO15&gt;0,AP15-AO15,0)++IF(AP16-AO16&gt;0,AP16-AO16,0)+IF(AP17-AO17&gt;0,AP17-AO17,0)+IF(AP18-AO18&gt;0,AP18-AO18,0)+IF(AP19-AO19&gt;0,AP19-AO19,0)+IF(AP20-AO20&gt;0,AP20-AO20,0)+IF(AP21-AO21&gt;0,AP21-AO21,0)+IF(AP22-AO22&gt;0,AP22-AO22,0)+IF(AP23-AO23&gt;0,AP23-AO23,0)+IF(AP24-AO24&gt;0,AP24-AO24,0)+IF(AP25-AO25&gt;0,AP25-AO25,0)+IF(AP26-AO26&gt;0,AP226-AO26,0)+IF(AP27-AO27&gt;0,AP27-AO27,0)+IF(AP28-AO28&gt;0,AP28-AO28,0)+IF(AP29-AO29&gt;0,AP29-AO29,0)+IF(AP30-AO30&gt;0,AP30-AO30,0)+IF(AP32-AO32&gt;0,AP32-AO32,0)+IF(AP33-AO33&gt;0,AP33-AO33,0)+IF(AP34-AO34&gt;0,AP34-AO34,0)+IF(AP35-AO35&gt;0,AP35-AO35,0)+IF(AP36-AO36&gt;0,AP36-AO36,0)+IF(AP37-AO37&gt;0,AP37-AO37,0)+IF(AP38-AO38&gt;0,AP38-AO38,0)+IF(AP39-AO39&gt;0,AP39-AO39,0)+IF(AP40-AO40&gt;0,AP40-AO40,0)+IF(AP41-AO41&gt;0,AP41-AO41,0)+IF(AP42-AO42&gt;0,AP42-AO42,0)+IF(AP43-AO43&gt;0,AP43-AO43,0)+IF(AP44-AO44&gt;0,AP44-AO44,0)+IF(AP45-AO45&gt;0,AP45-AO45,0)+IF(AP46-AO46&gt;0,AP46-AO46,0)+IF(AP47-AO47&gt;0,AP47-AO47,0)+IF(AP48-AO48&gt;0,AP48-AO48,0)+IF(AP49-AO49&gt;0,AP49-AO49,0)+IF(AP50-AO50&gt;0,AP50-AO50,0)+IF(AP51-AO51&gt;0,AP51-AO51,0)+IF(AP52-AO52&gt;0,AP52-AO52,0)+IF(AP54-AO54&gt;0,AP54-AO54,0)+IF(AP55-AO55&gt;0,AP55-AO55,0)+IF(AP56-AO56&gt;0,AP56-AO56,0)+IF(AP57-AO57&gt;0,AP57-AO57,0)+IF(AP58-AO58&gt;0,AP58-AO58,0)+IF(AP59-AO59&gt;0,AP59-AO59,0)+IF(AP60-AO60&gt;0,AP60-AO60,0)+IF(AP31-AO31&gt;0,AP31-AO31,0)+IF(AP53-AO53&gt;0,AP53-AO53,0)</f>
        <v>3006</v>
      </c>
      <c r="AQ67" s="107">
        <f t="shared" si="129"/>
        <v>17</v>
      </c>
      <c r="AR67" s="107">
        <f t="shared" si="129"/>
        <v>0</v>
      </c>
      <c r="AS67" s="107">
        <f>IF(AS4-AR4&gt;0,AS4-AR4,0)+IF(AS5-AR5&gt;0,AS5-AR5,0)+IF(AS6-AR6&gt;0,AS6-AR6,0)+IF(AS7-AR7&gt;0,AS7-AR7,0)+IF(AS8-AR8&gt;0,AS8-AR8,0)+IF(AS9-AR9&gt;0,AS9-AR9,0)+IF(AS10-AR10&gt;0,AS10-AR10,0)+IF(AS11-AR11&gt;0,AS11-AR11,0)+IF(AS12-AR12&gt;0,AS12-AR12,0)++IF(AS13-AR13&gt;0,AS13-AR13,0)+IF(AS14-AR14&gt;0,AS14-AR14,0)+IF(AS15-AR15&gt;0,AS15-AR15,0)++IF(AS16-AR16&gt;0,AS16-AR16,0)+IF(AS17-AR17&gt;0,AS17-AR17,0)+IF(AS18-AR18&gt;0,AS18-AR18,0)+IF(AS19-AR19&gt;0,AS19-AR19,0)+IF(AS20-AR20&gt;0,AS20-AR20,0)+IF(AS21-AR21&gt;0,AS21-AR21,0)+IF(AS22-AR22&gt;0,AS22-AR22,0)+IF(AS23-AR23&gt;0,AS23-AR23,0)+IF(AS24-AR24&gt;0,AS24-AR24,0)+IF(AS25-AR25&gt;0,AS25-AR25,0)+IF(AS26-AR26&gt;0,AS226-AR26,0)+IF(AS27-AR27&gt;0,AS27-AR27,0)+IF(AS28-AR28&gt;0,AS28-AR28,0)+IF(AS29-AR29&gt;0,AS29-AR29,0)+IF(AS30-AR30&gt;0,AS30-AR30,0)+IF(AS32-AR32&gt;0,AS32-AR32,0)+IF(AS33-AR33&gt;0,AS33-AR33,0)+IF(AS34-AR34&gt;0,AS34-AR34,0)+IF(AS35-AR35&gt;0,AS35-AR35,0)+IF(AS36-AR36&gt;0,AS36-AR36,0)+IF(AS37-AR37&gt;0,AS37-AR37,0)+IF(AS38-AR38&gt;0,AS38-AR38,0)+IF(AS39-AR39&gt;0,AS39-AR39,0)+IF(AS40-AR40&gt;0,AS40-AR40,0)+IF(AS41-AR41&gt;0,AS41-AR41,0)+IF(AS42-AR42&gt;0,AS42-AR42,0)+IF(AS43-AR43&gt;0,AS43-AR43,0)+IF(AS44-AR44&gt;0,AS44-AR44,0)+IF(AS45-AR45&gt;0,AS45-AR45,0)+IF(AS46-AR46&gt;0,AS46-AR46,0)+IF(AS47-AR47&gt;0,AS47-AR47,0)+IF(AS48-AR48&gt;0,AS48-AR48,0)+IF(AS49-AR49&gt;0,AS49-AR49,0)+IF(AS50-AR50&gt;0,AS50-AR50,0)+IF(AS51-AR51&gt;0,AS51-AR51,0)+IF(AS52-AR52&gt;0,AS52-AR52,0)+IF(AS54-AR54&gt;0,AS54-AR54,0)+IF(AS55-AR55&gt;0,AS55-AR55,0)+IF(AS56-AR56&gt;0,AS56-AR56,0)+IF(AS57-AR57&gt;0,AS57-AR57,0)+IF(AS58-AR58&gt;0,AS58-AR58,0)+IF(AS59-AR59&gt;0,AS59-AR59,0)+IF(AS60-AR60&gt;0,AS60-AR60,0)+IF(AS31-AR31&gt;0,AS31-AR31,0)+IF(AS53-AR53&gt;0,AS53-AR53,0)</f>
        <v>9515</v>
      </c>
      <c r="AT67" s="111">
        <f>IF(AT4-AO4&gt;0,AT4-AO4,0)+IF(AT5-AO5&gt;0,AT5-AO5,0)+IF(AT6-AO6&gt;0,AT6-AO6,0)+IF(AT7-AO7&gt;0,AT7-AO7,0)+IF(AT8-AO8&gt;0,AT8-AO8,0)+IF(AT9-AO9&gt;0,AT9-AO9,0)+IF(AT10-AO10&gt;0,AT10-AO10,0)+IF(AT11-AO11&gt;0,AT11-AO11,0)+IF(AT12-AO12&gt;0,AT12-AO12,0)++IF(AT13-AO13&gt;0,AT13-AO13,0)+IF(AT14-AO14&gt;0,AT14-AO14,0)+IF(AT15-AO15&gt;0,AT15-AO15,0)++IF(AT16-AO16&gt;0,AT16-AO16,0)+IF(AT17-AO17&gt;0,AT17-AO17,0)+IF(AT18-AO18&gt;0,AT18-AO18,0)+IF(AT19-AO19&gt;0,AT19-AO19,0)+IF(AT20-AO20&gt;0,AT20-AO20,0)+IF(AT21-AO21&gt;0,AT21-AO21,0)+IF(AT22-AO22&gt;0,AT22-AO22,0)+IF(AT23-AO23&gt;0,AT23-AO23,0)+IF(AT24-AO24&gt;0,AT24-AO24,0)+IF(AT25-AO25&gt;0,AT25-AO25,0)+IF(AT26-AO26&gt;0,AT226-AO26,0)+IF(AT27-AO27&gt;0,AT27-AO27,0)+IF(AT28-AO28&gt;0,AT28-AO28,0)+IF(AT29-AO29&gt;0,AT29-AO29,0)+IF(AT30-AO30&gt;0,AT30-AO30,0)+IF(AT32-AO32&gt;0,AT32-AO32,0)+IF(AT33-AO33&gt;0,AT33-AO33,0)+IF(AT34-AO34&gt;0,AT34-AO34,0)+IF(AT35-AO35&gt;0,AT35-AO35,0)+IF(AT36-AO36&gt;0,AT36-AO36,0)+IF(AT37-AO37&gt;0,AT37-AO37,0)+IF(AT38-AO38&gt;0,AT38-AO38,0)+IF(AT39-AO39&gt;0,AT39-AO39,0)+IF(AT40-AO40&gt;0,AT40-AO40,0)+IF(AT41-AO41&gt;0,AT41-AO41,0)+IF(AT42-AO42&gt;0,AT42-AO42,0)+IF(AT43-AO43&gt;0,AT43-AO43,0)+IF(AT44-AO44&gt;0,AT44-AO44,0)+IF(AT45-AO45&gt;0,AT45-AO45,0)+IF(AT46-AO46&gt;0,AT46-AO46,0)+IF(AT47-AO47&gt;0,AT47-AO47,0)+IF(AT48-AO48&gt;0,AT48-AO48,0)+IF(AT49-AO49&gt;0,AT49-AO49,0)+IF(AT50-AO50&gt;0,AT50-AO50,0)+IF(AT51-AO51&gt;0,AT51-AO51,0)+IF(AT52-AO52&gt;0,AT52-AO52,0)+IF(AT54-AO54&gt;0,AT54-AO54,0)+IF(AT55-AO55&gt;0,AT55-AO55,0)+IF(AT56-AO56&gt;0,AT56-AO56,0)+IF(AT57-AO57&gt;0,AT57-AO57,0)+IF(AT58-AO58&gt;0,AT58-AO58,0)+IF(AT59-AO59&gt;0,AT59-AO59,0)+IF(AT60-AO60&gt;0,AT60-AO60,0)+IF(AT31-AO31&gt;0,AT31-AO31,0)+IF(AT53-AO53&gt;0,AT53-AO53,0)</f>
        <v>12519</v>
      </c>
      <c r="AU67" s="107">
        <f t="shared" ref="AU67:AW67" si="130">IF(AU4-AT4&gt;0,AU4-AT4,0)+IF(AU5-AT5&gt;0,AU5-AT5,0)+IF(AU6-AT6&gt;0,AU6-AT6,0)+IF(AU7-AT7&gt;0,AU7-AT7,0)+IF(AU8-AT8&gt;0,AU8-AT8,0)+IF(AU9-AT9&gt;0,AU9-AT9,0)+IF(AU10-AT10&gt;0,AU10-AT10,0)+IF(AU11-AT11&gt;0,AU11-AT11,0)+IF(AU12-AT12&gt;0,AU12-AT12,0)++IF(AU13-AT13&gt;0,AU13-AT13,0)+IF(AU14-AT14&gt;0,AU14-AT14,0)+IF(AU15-AT15&gt;0,AU15-AT15,0)++IF(AU16-AT16&gt;0,AU16-AT16,0)+IF(AU17-AT17&gt;0,AU17-AT17,0)+IF(AU18-AT18&gt;0,AU18-AT18,0)+IF(AU19-AT19&gt;0,AU19-AT19,0)+IF(AU20-AT20&gt;0,AU20-AT20,0)+IF(AU21-AT21&gt;0,AU21-AT21,0)+IF(AU22-AT22&gt;0,AU22-AT22,0)+IF(AU23-AT23&gt;0,AU23-AT23,0)+IF(AU24-AT24&gt;0,AU24-AT24,0)+IF(AU25-AT25&gt;0,AU25-AT25,0)+IF(AU26-AT26&gt;0,AU226-AT26,0)+IF(AU27-AT27&gt;0,AU27-AT27,0)+IF(AU28-AT28&gt;0,AU28-AT28,0)+IF(AU29-AT29&gt;0,AU29-AT29,0)+IF(AU30-AT30&gt;0,AU30-AT30,0)+IF(AU32-AT32&gt;0,AU32-AT32,0)+IF(AU33-AT33&gt;0,AU33-AT33,0)+IF(AU34-AT34&gt;0,AU34-AT34,0)+IF(AU35-AT35&gt;0,AU35-AT35,0)+IF(AU36-AT36&gt;0,AU36-AT36,0)+IF(AU37-AT37&gt;0,AU37-AT37,0)+IF(AU38-AT38&gt;0,AU38-AT38,0)+IF(AU39-AT39&gt;0,AU39-AT39,0)+IF(AU40-AT40&gt;0,AU40-AT40,0)+IF(AU41-AT41&gt;0,AU41-AT41,0)+IF(AU42-AT42&gt;0,AU42-AT42,0)+IF(AU43-AT43&gt;0,AU43-AT43,0)+IF(AU44-AT44&gt;0,AU44-AT44,0)+IF(AU45-AT45&gt;0,AU45-AT45,0)+IF(AU46-AT46&gt;0,AU46-AT46,0)+IF(AU47-AT47&gt;0,AU47-AT47,0)+IF(AU48-AT48&gt;0,AU48-AT48,0)+IF(AU49-AT49&gt;0,AU49-AT49,0)+IF(AU50-AT50&gt;0,AU50-AT50,0)+IF(AU51-AT51&gt;0,AU51-AT51,0)+IF(AU52-AT52&gt;0,AU52-AT52,0)+IF(AU54-AT54&gt;0,AU54-AT54,0)+IF(AU55-AT55&gt;0,AU55-AT55,0)+IF(AU56-AT56&gt;0,AU56-AT56,0)+IF(AU57-AT57&gt;0,AU57-AT57,0)+IF(AU58-AT58&gt;0,AU58-AT58,0)+IF(AU59-AT59&gt;0,AU59-AT59,0)+IF(AU60-AT60&gt;0,AU60-AT60,0)+IF(AU31-AT31&gt;0,AU31-AT31,0)+IF(AU53-AT53&gt;0,AU53-AT53,0)</f>
        <v>0</v>
      </c>
      <c r="AV67" s="107">
        <f t="shared" si="130"/>
        <v>2</v>
      </c>
      <c r="AW67" s="107">
        <f t="shared" si="130"/>
        <v>25</v>
      </c>
      <c r="AX67" s="107">
        <f>IF(AX4-AW4&gt;0,AX4-AW4,0)+IF(AX5-AW5&gt;0,AX5-AW5,0)+IF(AX6-AW6&gt;0,AX6-AW6,0)+IF(AX7-AW7&gt;0,AX7-AW7,0)+IF(AX8-AW8&gt;0,AX8-AW8,0)+IF(AX9-AW9&gt;0,AX9-AW9,0)+IF(AX10-AW10&gt;0,AX10-AW10,0)+IF(AX11-AW11&gt;0,AX11-AW11,0)+IF(AX12-AW12&gt;0,AX12-AW12,0)++IF(AX13-AW13&gt;0,AX13-AW13,0)+IF(AX14-AW14&gt;0,AX14-AW14,0)+IF(AX15-AW15&gt;0,AX15-AW15,0)++IF(AX16-AW16&gt;0,AX16-AW16,0)+IF(AX17-AW17&gt;0,AX17-AW17,0)+IF(AX18-AW18&gt;0,AX18-AW18,0)+IF(AX19-AW19&gt;0,AX19-AW19,0)+IF(AX20-AW20&gt;0,AX20-AW20,0)+IF(AX21-AW21&gt;0,AX21-AW21,0)+IF(AX22-AW22&gt;0,AX22-AW22,0)+IF(AX23-AW23&gt;0,AX23-AW23,0)+IF(AX24-AW24&gt;0,AX24-AW24,0)+IF(AX25-AW25&gt;0,AX25-AW25,0)+IF(AX26-AW26&gt;0,AX226-AW26,0)+IF(AX27-AW27&gt;0,AX27-AW27,0)+IF(AX28-AW28&gt;0,AX28-AW28,0)+IF(AX29-AW29&gt;0,AX29-AW29,0)+IF(AX30-AW30&gt;0,AX30-AW30,0)+IF(AX32-AW32&gt;0,AX32-AW32,0)+IF(AX33-AW33&gt;0,AX33-AW33,0)+IF(AX34-AW34&gt;0,AX34-AW34,0)+IF(AX35-AW35&gt;0,AX35-AW35,0)+IF(AX36-AW36&gt;0,AX36-AW36,0)+IF(AX37-AW37&gt;0,AX37-AW37,0)+IF(AX38-AW38&gt;0,AX38-AW38,0)+IF(AX39-AW39&gt;0,AX39-AW39,0)+IF(AX40-AW40&gt;0,AX40-AW40,0)+IF(AX41-AW41&gt;0,AX41-AW41,0)+IF(AX42-AW42&gt;0,AX42-AW42,0)+IF(AX43-AW43&gt;0,AX43-AW43,0)+IF(AX44-AW44&gt;0,AX44-AW44,0)+IF(AX45-AW45&gt;0,AX45-AW45,0)+IF(AX46-AW46&gt;0,AX46-AW46,0)+IF(AX47-AW47&gt;0,AX47-AW47,0)+IF(AX48-AW48&gt;0,AX48-AW48,0)+IF(AX49-AW49&gt;0,AX49-AW49,0)+IF(AX50-AW50&gt;0,AX50-AW50,0)+IF(AX51-AW51&gt;0,AX51-AW51,0)+IF(AX52-AW52&gt;0,AX52-AW52,0)+IF(AX54-AW54&gt;0,AX54-AW54,0)+IF(AX55-AW55&gt;0,AX55-AW55,0)+IF(AX56-AW56&gt;0,AX56-AW56,0)+IF(AX57-AW57&gt;0,AX57-AW57,0)+IF(AX58-AW58&gt;0,AX58-AW58,0)+IF(AX59-AW59&gt;0,AX59-AW59,0)+IF(AX60-AW60&gt;0,AX60-AW60,0)+IF(AX31-AW31&gt;0,AX31-AW31,0)+IF(AX53-AW53&gt;0,AX53-AW53,0)</f>
        <v>0</v>
      </c>
      <c r="AY67" s="111">
        <f>IF(AY4-AT4&gt;0,AY4-AT4,0)+IF(AY5-AT5&gt;0,AY5-AT5,0)+IF(AY6-AT6&gt;0,AY6-AT6,0)+IF(AY7-AT7&gt;0,AY7-AT7,0)+IF(AY8-AT8&gt;0,AY8-AT8,0)+IF(AY9-AT9&gt;0,AY9-AT9,0)+IF(AY10-AT10&gt;0,AY10-AT10,0)+IF(AY11-AT11&gt;0,AY11-AT11,0)+IF(AY12-AT12&gt;0,AY12-AT12,0)++IF(AY13-AT13&gt;0,AY13-AT13,0)+IF(AY14-AT14&gt;0,AY14-AT14,0)+IF(AY15-AT15&gt;0,AY15-AT15,0)++IF(AY16-AT16&gt;0,AY16-AT16,0)+IF(AY17-AT17&gt;0,AY17-AT17,0)+IF(AY18-AT18&gt;0,AY18-AT18,0)+IF(AY19-AT19&gt;0,AY19-AT19,0)+IF(AY20-AT20&gt;0,AY20-AT20,0)+IF(AY21-AT21&gt;0,AY21-AT21,0)+IF(AY22-AT22&gt;0,AY22-AT22,0)+IF(AY23-AT23&gt;0,AY23-AT23,0)+IF(AY24-AT24&gt;0,AY24-AT24,0)+IF(AY25-AT25&gt;0,AY25-AT25,0)+IF(AY26-AT26&gt;0,AY226-AT26,0)+IF(AY27-AT27&gt;0,AY27-AT27,0)+IF(AY28-AT28&gt;0,AY28-AT28,0)+IF(AY29-AT29&gt;0,AY29-AT29,0)+IF(AY30-AT30&gt;0,AY30-AT30,0)+IF(AY32-AT32&gt;0,AY32-AT32,0)+IF(AY33-AT33&gt;0,AY33-AT33,0)+IF(AY34-AT34&gt;0,AY34-AT34,0)+IF(AY35-AT35&gt;0,AY35-AT35,0)+IF(AY36-AT36&gt;0,AY36-AT36,0)+IF(AY37-AT37&gt;0,AY37-AT37,0)+IF(AY38-AT38&gt;0,AY38-AT38,0)+IF(AY39-AT39&gt;0,AY39-AT39,0)+IF(AY40-AT40&gt;0,AY40-AT40,0)+IF(AY41-AT41&gt;0,AY41-AT41,0)+IF(AY42-AT42&gt;0,AY42-AT42,0)+IF(AY43-AT43&gt;0,AY43-AT43,0)+IF(AY44-AT44&gt;0,AY44-AT44,0)+IF(AY45-AT45&gt;0,AY45-AT45,0)+IF(AY46-AT46&gt;0,AY46-AT46,0)+IF(AY47-AT47&gt;0,AY47-AT47,0)+IF(AY48-AT48&gt;0,AY48-AT48,0)+IF(AY49-AT49&gt;0,AY49-AT49,0)+IF(AY50-AT50&gt;0,AY50-AT50,0)+IF(AY51-AT51&gt;0,AY51-AT51,0)+IF(AY52-AT52&gt;0,AY52-AT52,0)+IF(AY54-AT54&gt;0,AY54-AT54,0)+IF(AY55-AT55&gt;0,AY55-AT55,0)+IF(AY56-AT56&gt;0,AY56-AT56,0)+IF(AY57-AT57&gt;0,AY57-AT57,0)+IF(AY58-AT58&gt;0,AY58-AT58,0)+IF(AY59-AT59&gt;0,AY59-AT59,0)+IF(AY60-AT60&gt;0,AY60-AT60,0)+IF(AY31-AT31&gt;0,AY31-AT31,0)+IF(AY53-AT53&gt;0,AY53-AT53,0)</f>
        <v>0</v>
      </c>
      <c r="AZ67" s="107">
        <f>IF(AZ4-AY4&gt;0,AZ4-AY4,0)+IF(AZ5-AY5&gt;0,AZ5-AY5,0)+IF(AZ6-AY6&gt;0,AZ6-AY6,0)+IF(AZ7-AY7&gt;0,AZ7-AY7,0)+IF(AZ8-AY8&gt;0,AZ8-AY8,0)+IF(AZ9-AY9&gt;0,AZ9-AY9,0)+IF(AZ10-AY10&gt;0,AZ10-AY10,0)+IF(AZ11-AY11&gt;0,AZ11-AY11,0)+IF(AZ12-AY12&gt;0,AZ12-AY12,0)++IF(AZ13-AY13&gt;0,AZ13-AY13,0)+IF(AZ14-AY14&gt;0,AZ14-AY14,0)+IF(AZ15-AY15&gt;0,AZ15-AY15,0)++IF(AZ16-AY16&gt;0,AZ16-AY16,0)+IF(AZ17-AY17&gt;0,AZ17-AY17,0)+IF(AZ18-AY18&gt;0,AZ18-AY18,0)+IF(AZ19-AY19&gt;0,AZ19-AY19,0)+IF(AZ20-AY20&gt;0,AZ20-AY20,0)+IF(AZ21-AY21&gt;0,AZ21-AY21,0)+IF(AZ22-AY22&gt;0,AZ22-AY22,0)+IF(AZ23-AY23&gt;0,AZ23-AY23,0)+IF(AZ24-AY24&gt;0,AZ24-AY24,0)+IF(AZ25-AY25&gt;0,AZ25-AY25,0)+IF(AZ26-AY26&gt;0,AZ226-AY26,0)+IF(AZ27-AY27&gt;0,AZ27-AY27,0)+IF(AZ28-AY28&gt;0,AZ28-AY28,0)+IF(AZ29-AY29&gt;0,AZ29-AY29,0)+IF(AZ30-AY30&gt;0,AZ30-AY30,0)+IF(AZ32-AY32&gt;0,AZ32-AY32,0)+IF(AZ33-AY33&gt;0,AZ33-AY33,0)+IF(AZ34-AY34&gt;0,AZ34-AY34,0)+IF(AZ35-AY35&gt;0,AZ35-AY35,0)+IF(AZ36-AY36&gt;0,AZ36-AY36,0)+IF(AZ37-AY37&gt;0,AZ37-AY37,0)+IF(AZ38-AY38&gt;0,AZ38-AY38,0)+IF(AZ39-AY39&gt;0,AZ39-AY39,0)+IF(AZ40-AY40&gt;0,AZ40-AY40,0)+IF(AZ41-AY41&gt;0,AZ41-AY41,0)+IF(AZ42-AY42&gt;0,AZ42-AY42,0)+IF(AZ43-AY43&gt;0,AZ43-AY43,0)+IF(AZ44-AY44&gt;0,AZ44-AY44,0)+IF(AZ45-AY45&gt;0,AZ45-AY45,0)+IF(AZ46-AY46&gt;0,AZ46-AY46,0)+IF(AZ47-AY47&gt;0,AZ47-AY47,0)+IF(AZ48-AY48&gt;0,AZ48-AY48,0)+IF(AZ49-AY49&gt;0,AZ49-AY49,0)+IF(AZ50-AY50&gt;0,AZ50-AY50,0)+IF(AZ51-AY51&gt;0,AZ51-AY51,0)+IF(AZ52-AY52&gt;0,AZ52-AY52,0)+IF(AZ54-AY54&gt;0,AZ54-AY54,0)+IF(AZ55-AY55&gt;0,AZ55-AY55,0)+IF(AZ56-AY56&gt;0,AZ56-AY56,0)+IF(AZ57-AY57&gt;0,AZ57-AY57,0)+IF(AZ58-AY58&gt;0,AZ58-AY58,0)+IF(AZ59-AY59&gt;0,AZ59-AY59,0)+IF(AZ60-AY60&gt;0,AZ60-AY60,0)+IF(AZ31-AY31&gt;0,AZ31-AY31,0)+IF(AZ53-AY53&gt;0,AZ53-AY53,0)</f>
        <v>21</v>
      </c>
      <c r="BA67" s="107">
        <f t="shared" ref="BA67:BB67" si="131">IF(BA4-AZ4&gt;0,BA4-AZ4,0)+IF(BA5-AZ5&gt;0,BA5-AZ5,0)+IF(BA6-AZ6&gt;0,BA6-AZ6,0)+IF(BA7-AZ7&gt;0,BA7-AZ7,0)+IF(BA8-AZ8&gt;0,BA8-AZ8,0)+IF(BA9-AZ9&gt;0,BA9-AZ9,0)+IF(BA10-AZ10&gt;0,BA10-AZ10,0)+IF(BA11-AZ11&gt;0,BA11-AZ11,0)+IF(BA12-AZ12&gt;0,BA12-AZ12,0)++IF(BA13-AZ13&gt;0,BA13-AZ13,0)+IF(BA14-AZ14&gt;0,BA14-AZ14,0)+IF(BA15-AZ15&gt;0,BA15-AZ15,0)++IF(BA16-AZ16&gt;0,BA16-AZ16,0)+IF(BA17-AZ17&gt;0,BA17-AZ17,0)+IF(BA18-AZ18&gt;0,BA18-AZ18,0)+IF(BA19-AZ19&gt;0,BA19-AZ19,0)+IF(BA20-AZ20&gt;0,BA20-AZ20,0)+IF(BA21-AZ21&gt;0,BA21-AZ21,0)+IF(BA22-AZ22&gt;0,BA22-AZ22,0)+IF(BA23-AZ23&gt;0,BA23-AZ23,0)+IF(BA24-AZ24&gt;0,BA24-AZ24,0)+IF(BA25-AZ25&gt;0,BA25-AZ25,0)+IF(BA26-AZ26&gt;0,BA226-AZ26,0)+IF(BA27-AZ27&gt;0,BA27-AZ27,0)+IF(BA28-AZ28&gt;0,BA28-AZ28,0)+IF(BA29-AZ29&gt;0,BA29-AZ29,0)+IF(BA30-AZ30&gt;0,BA30-AZ30,0)+IF(BA32-AZ32&gt;0,BA32-AZ32,0)+IF(BA33-AZ33&gt;0,BA33-AZ33,0)+IF(BA34-AZ34&gt;0,BA34-AZ34,0)+IF(BA35-AZ35&gt;0,BA35-AZ35,0)+IF(BA36-AZ36&gt;0,BA36-AZ36,0)+IF(BA37-AZ37&gt;0,BA37-AZ37,0)+IF(BA38-AZ38&gt;0,BA38-AZ38,0)+IF(BA39-AZ39&gt;0,BA39-AZ39,0)+IF(BA40-AZ40&gt;0,BA40-AZ40,0)+IF(BA41-AZ41&gt;0,BA41-AZ41,0)+IF(BA42-AZ42&gt;0,BA42-AZ42,0)+IF(BA43-AZ43&gt;0,BA43-AZ43,0)+IF(BA44-AZ44&gt;0,BA44-AZ44,0)+IF(BA45-AZ45&gt;0,BA45-AZ45,0)+IF(BA46-AZ46&gt;0,BA46-AZ46,0)+IF(BA47-AZ47&gt;0,BA47-AZ47,0)+IF(BA48-AZ48&gt;0,BA48-AZ48,0)+IF(BA49-AZ49&gt;0,BA49-AZ49,0)+IF(BA50-AZ50&gt;0,BA50-AZ50,0)+IF(BA51-AZ51&gt;0,BA51-AZ51,0)+IF(BA52-AZ52&gt;0,BA52-AZ52,0)+IF(BA54-AZ54&gt;0,BA54-AZ54,0)+IF(BA55-AZ55&gt;0,BA55-AZ55,0)+IF(BA56-AZ56&gt;0,BA56-AZ56,0)+IF(BA57-AZ57&gt;0,BA57-AZ57,0)+IF(BA58-AZ58&gt;0,BA58-AZ58,0)+IF(BA59-AZ59&gt;0,BA59-AZ59,0)+IF(BA60-AZ60&gt;0,BA60-AZ60,0)+IF(BA31-AZ31&gt;0,BA31-AZ31,0)+IF(BA53-AZ53&gt;0,BA53-AZ53,0)</f>
        <v>1471</v>
      </c>
      <c r="BB67" s="107">
        <f t="shared" si="131"/>
        <v>5</v>
      </c>
      <c r="BC67" s="107">
        <f>IF(BC4-BB4&gt;0,BC4-BB4,0)+IF(BC5-BB5&gt;0,BC5-BB5,0)+IF(BC6-BB6&gt;0,BC6-BB6,0)+IF(BC7-BB7&gt;0,BC7-BB7,0)+IF(BC8-BB8&gt;0,BC8-BB8,0)+IF(BC9-BB9&gt;0,BC9-BB9,0)+IF(BC10-BB10&gt;0,BC10-BB10,0)+IF(BC11-BB11&gt;0,BC11-BB11,0)+IF(BC12-BB12&gt;0,BC12-BB12,0)++IF(BC13-BB13&gt;0,BC13-BB13,0)+IF(BC14-BB14&gt;0,BC14-BB14,0)+IF(BC15-BB15&gt;0,BC15-BB15,0)++IF(BC16-BB16&gt;0,BC16-BB16,0)+IF(BC17-BB17&gt;0,BC17-BB17,0)+IF(BC18-BB18&gt;0,BC18-BB18,0)+IF(BC19-BB19&gt;0,BC19-BB19,0)+IF(BC20-BB20&gt;0,BC20-BB20,0)+IF(BC21-BB21&gt;0,BC21-BB21,0)+IF(BC22-BB22&gt;0,BC22-BB22,0)+IF(BC23-BB23&gt;0,BC23-BB23,0)+IF(BC24-BB24&gt;0,BC24-BB24,0)+IF(BC25-BB25&gt;0,BC25-BB25,0)+IF(BC26-BB26&gt;0,BC226-BB26,0)+IF(BC27-BB27&gt;0,BC27-BB27,0)+IF(BC28-BB28&gt;0,BC28-BB28,0)+IF(BC29-BB29&gt;0,BC29-BB29,0)+IF(BC30-BB30&gt;0,BC30-BB30,0)+IF(BC32-BB32&gt;0,BC32-BB32,0)+IF(BC33-BB33&gt;0,BC33-BB33,0)+IF(BC34-BB34&gt;0,BC34-BB34,0)+IF(BC35-BB35&gt;0,BC35-BB35,0)+IF(BC36-BB36&gt;0,BC36-BB36,0)+IF(BC37-BB37&gt;0,BC37-BB37,0)+IF(BC38-BB38&gt;0,BC38-BB38,0)+IF(BC39-BB39&gt;0,BC39-BB39,0)+IF(BC40-BB40&gt;0,BC40-BB40,0)+IF(BC41-BB41&gt;0,BC41-BB41,0)+IF(BC42-BB42&gt;0,BC42-BB42,0)+IF(BC43-BB43&gt;0,BC43-BB43,0)+IF(BC44-BB44&gt;0,BC44-BB44,0)+IF(BC45-BB45&gt;0,BC45-BB45,0)+IF(BC46-BB46&gt;0,BC46-BB46,0)+IF(BC47-BB47&gt;0,BC47-BB47,0)+IF(BC48-BB48&gt;0,BC48-BB48,0)+IF(BC49-BB49&gt;0,BC49-BB49,0)+IF(BC50-BB50&gt;0,BC50-BB50,0)+IF(BC51-BB51&gt;0,BC51-BB51,0)+IF(BC52-BB52&gt;0,BC52-BB52,0)+IF(BC54-BB54&gt;0,BC54-BB54,0)+IF(BC55-BB55&gt;0,BC55-BB55,0)+IF(BC56-BB56&gt;0,BC56-BB56,0)+IF(BC57-BB57&gt;0,BC57-BB57,0)+IF(BC58-BB58&gt;0,BC58-BB58,0)+IF(BC59-BB59&gt;0,BC59-BB59,0)+IF(BC60-BB60&gt;0,BC60-BB60,0)+IF(BC31-BB31&gt;0,BC31-BB31,0)+IF(BC53-BB53&gt;0,BC53-BB53,0)</f>
        <v>2</v>
      </c>
      <c r="BD67" s="111">
        <f>IF(BD4-AY4&gt;0,BD4-AY4,0)+IF(BD5-AY5&gt;0,BD5-AY5,0)+IF(BD6-AY6&gt;0,BD6-AY6,0)+IF(BD7-AY7&gt;0,BD7-AY7,0)+IF(BD8-AY8&gt;0,BD8-AY8,0)+IF(BD9-AY9&gt;0,BD9-AY9,0)+IF(BD10-AY10&gt;0,BD10-AY10,0)+IF(BD11-AY11&gt;0,BD11-AY11,0)+IF(BD12-AY12&gt;0,BD12-AY12,0)++IF(BD13-AY13&gt;0,BD13-AY13,0)+IF(BD14-AY14&gt;0,BD14-AY14,0)+IF(BD15-AY15&gt;0,BD15-AY15,0)++IF(BD16-AY16&gt;0,BD16-AY16,0)+IF(BD17-AY17&gt;0,BD17-AY17,0)+IF(BD18-AY18&gt;0,BD18-AY18,0)+IF(BD19-AY19&gt;0,BD19-AY19,0)+IF(BD20-AY20&gt;0,BD20-AY20,0)+IF(BD21-AY21&gt;0,BD21-AY21,0)+IF(BD22-AY22&gt;0,BD22-AY22,0)+IF(BD23-AY23&gt;0,BD23-AY23,0)+IF(BD24-AY24&gt;0,BD24-AY24,0)+IF(BD25-AY25&gt;0,BD25-AY25,0)+IF(BD26-AY26&gt;0,BD226-AY26,0)+IF(BD27-AY27&gt;0,BD27-AY27,0)+IF(BD28-AY28&gt;0,BD28-AY28,0)+IF(BD29-AY29&gt;0,BD29-AY29,0)+IF(BD30-AY30&gt;0,BD30-AY30,0)+IF(BD32-AY32&gt;0,BD32-AY32,0)+IF(BD33-AY33&gt;0,BD33-AY33,0)+IF(BD34-AY34&gt;0,BD34-AY34,0)+IF(BD35-AY35&gt;0,BD35-AY35,0)+IF(BD36-AY36&gt;0,BD36-AY36,0)+IF(BD37-AY37&gt;0,BD37-AY37,0)+IF(BD38-AY38&gt;0,BD38-AY38,0)+IF(BD39-AY39&gt;0,BD39-AY39,0)+IF(BD40-AY40&gt;0,BD40-AY40,0)+IF(BD41-AY41&gt;0,BD41-AY41,0)+IF(BD42-AY42&gt;0,BD42-AY42,0)+IF(BD43-AY43&gt;0,BD43-AY43,0)+IF(BD44-AY44&gt;0,BD44-AY44,0)+IF(BD45-AY45&gt;0,BD45-AY45,0)+IF(BD46-AY46&gt;0,BD46-AY46,0)+IF(BD47-AY47&gt;0,BD47-AY47,0)+IF(BD48-AY48&gt;0,BD48-AY48,0)+IF(BD49-AY49&gt;0,BD49-AY49,0)+IF(BD50-AY50&gt;0,BD50-AY50,0)+IF(BD51-AY51&gt;0,BD51-AY51,0)+IF(BD52-AY52&gt;0,BD52-AY52,0)+IF(BD54-AY54&gt;0,BD54-AY54,0)+IF(BD55-AY55&gt;0,BD55-AY55,0)+IF(BD56-AY56&gt;0,BD56-AY56,0)+IF(BD57-AY57&gt;0,BD57-AY57,0)+IF(BD58-AY58&gt;0,BD58-AY58,0)+IF(BD59-AY59&gt;0,BD59-AY59,0)+IF(BD60-AY60&gt;0,BD60-AY60,0)+IF(BD31-AY31&gt;0,BD31-AY31,0)+IF(BD53-AY53&gt;0,BD53-AY53,0)</f>
        <v>67</v>
      </c>
      <c r="BE67" s="107">
        <f t="shared" ref="BE67:BG67" si="132">IF(BE4-BD4&gt;0,BE4-BD4,0)+IF(BE5-BD5&gt;0,BE5-BD5,0)+IF(BE6-BD6&gt;0,BE6-BD6,0)+IF(BE7-BD7&gt;0,BE7-BD7,0)+IF(BE8-BD8&gt;0,BE8-BD8,0)+IF(BE9-BD9&gt;0,BE9-BD9,0)+IF(BE10-BD10&gt;0,BE10-BD10,0)+IF(BE11-BD11&gt;0,BE11-BD11,0)+IF(BE12-BD12&gt;0,BE12-BD12,0)++IF(BE13-BD13&gt;0,BE13-BD13,0)+IF(BE14-BD14&gt;0,BE14-BD14,0)+IF(BE15-BD15&gt;0,BE15-BD15,0)++IF(BE16-BD16&gt;0,BE16-BD16,0)+IF(BE17-BD17&gt;0,BE17-BD17,0)+IF(BE18-BD18&gt;0,BE18-BD18,0)+IF(BE19-BD19&gt;0,BE19-BD19,0)+IF(BE20-BD20&gt;0,BE20-BD20,0)+IF(BE21-BD21&gt;0,BE21-BD21,0)+IF(BE22-BD22&gt;0,BE22-BD22,0)+IF(BE23-BD23&gt;0,BE23-BD23,0)+IF(BE24-BD24&gt;0,BE24-BD24,0)+IF(BE25-BD25&gt;0,BE25-BD25,0)+IF(BE26-BD26&gt;0,BE226-BD26,0)+IF(BE27-BD27&gt;0,BE27-BD27,0)+IF(BE28-BD28&gt;0,BE28-BD28,0)+IF(BE29-BD29&gt;0,BE29-BD29,0)+IF(BE30-BD30&gt;0,BE30-BD30,0)+IF(BE32-BD32&gt;0,BE32-BD32,0)+IF(BE33-BD33&gt;0,BE33-BD33,0)+IF(BE34-BD34&gt;0,BE34-BD34,0)+IF(BE35-BD35&gt;0,BE35-BD35,0)+IF(BE36-BD36&gt;0,BE36-BD36,0)+IF(BE37-BD37&gt;0,BE37-BD37,0)+IF(BE38-BD38&gt;0,BE38-BD38,0)+IF(BE39-BD39&gt;0,BE39-BD39,0)+IF(BE40-BD40&gt;0,BE40-BD40,0)+IF(BE41-BD41&gt;0,BE41-BD41,0)+IF(BE42-BD42&gt;0,BE42-BD42,0)+IF(BE43-BD43&gt;0,BE43-BD43,0)+IF(BE44-BD44&gt;0,BE44-BD44,0)+IF(BE45-BD45&gt;0,BE45-BD45,0)+IF(BE46-BD46&gt;0,BE46-BD46,0)+IF(BE47-BD47&gt;0,BE47-BD47,0)+IF(BE48-BD48&gt;0,BE48-BD48,0)+IF(BE49-BD49&gt;0,BE49-BD49,0)+IF(BE50-BD50&gt;0,BE50-BD50,0)+IF(BE51-BD51&gt;0,BE51-BD51,0)+IF(BE52-BD52&gt;0,BE52-BD52,0)+IF(BE54-BD54&gt;0,BE54-BD54,0)+IF(BE55-BD55&gt;0,BE55-BD55,0)+IF(BE56-BD56&gt;0,BE56-BD56,0)+IF(BE57-BD57&gt;0,BE57-BD57,0)+IF(BE58-BD58&gt;0,BE58-BD58,0)+IF(BE59-BD59&gt;0,BE59-BD59,0)+IF(BE60-BD60&gt;0,BE60-BD60,0)+IF(BE31-BD31&gt;0,BE31-BD31,0)+IF(BE53-BD53&gt;0,BE53-BD53,0)</f>
        <v>0</v>
      </c>
      <c r="BF67" s="107">
        <f t="shared" si="132"/>
        <v>0</v>
      </c>
      <c r="BG67" s="107">
        <f t="shared" si="132"/>
        <v>0</v>
      </c>
      <c r="BH67" s="107">
        <f>IF(BH4-BG4&gt;0,BH4-BG4,0)+IF(BH5-BG5&gt;0,BH5-BG5,0)+IF(BH6-BG6&gt;0,BH6-BG6,0)+IF(BH7-BG7&gt;0,BH7-BG7,0)+IF(BH8-BG8&gt;0,BH8-BG8,0)+IF(BH9-BG9&gt;0,BH9-BG9,0)+IF(BH10-BG10&gt;0,BH10-BG10,0)+IF(BH11-BG11&gt;0,BH11-BG11,0)+IF(BH12-BG12&gt;0,BH12-BG12,0)++IF(BH13-BG13&gt;0,BH13-BG13,0)+IF(BH14-BG14&gt;0,BH14-BG14,0)+IF(BH15-BG15&gt;0,BH15-BG15,0)++IF(BH16-BG16&gt;0,BH16-BG16,0)+IF(BH17-BG17&gt;0,BH17-BG17,0)+IF(BH18-BG18&gt;0,BH18-BG18,0)+IF(BH19-BG19&gt;0,BH19-BG19,0)+IF(BH20-BG20&gt;0,BH20-BG20,0)+IF(BH21-BG21&gt;0,BH21-BG21,0)+IF(BH22-BG22&gt;0,BH22-BG22,0)+IF(BH23-BG23&gt;0,BH23-BG23,0)+IF(BH24-BG24&gt;0,BH24-BG24,0)+IF(BH25-BG25&gt;0,BH25-BG25,0)+IF(BH26-BG26&gt;0,BH226-BG26,0)+IF(BH27-BG27&gt;0,BH27-BG27,0)+IF(BH28-BG28&gt;0,BH28-BG28,0)+IF(BH29-BG29&gt;0,BH29-BG29,0)+IF(BH30-BG30&gt;0,BH30-BG30,0)+IF(BH32-BG32&gt;0,BH32-BG32,0)+IF(BH33-BG33&gt;0,BH33-BG33,0)+IF(BH34-BG34&gt;0,BH34-BG34,0)+IF(BH35-BG35&gt;0,BH35-BG35,0)+IF(BH36-BG36&gt;0,BH36-BG36,0)+IF(BH37-BG37&gt;0,BH37-BG37,0)+IF(BH38-BG38&gt;0,BH38-BG38,0)+IF(BH39-BG39&gt;0,BH39-BG39,0)+IF(BH40-BG40&gt;0,BH40-BG40,0)+IF(BH41-BG41&gt;0,BH41-BG41,0)+IF(BH42-BG42&gt;0,BH42-BG42,0)+IF(BH43-BG43&gt;0,BH43-BG43,0)+IF(BH44-BG44&gt;0,BH44-BG44,0)+IF(BH45-BG45&gt;0,BH45-BG45,0)+IF(BH46-BG46&gt;0,BH46-BG46,0)+IF(BH47-BG47&gt;0,BH47-BG47,0)+IF(BH48-BG48&gt;0,BH48-BG48,0)+IF(BH49-BG49&gt;0,BH49-BG49,0)+IF(BH50-BG50&gt;0,BH50-BG50,0)+IF(BH51-BG51&gt;0,BH51-BG51,0)+IF(BH52-BG52&gt;0,BH52-BG52,0)+IF(BH54-BG54&gt;0,BH54-BG54,0)+IF(BH55-BG55&gt;0,BH55-BG55,0)+IF(BH56-BG56&gt;0,BH56-BG56,0)+IF(BH57-BG57&gt;0,BH57-BG57,0)+IF(BH58-BG58&gt;0,BH58-BG58,0)+IF(BH59-BG59&gt;0,BH59-BG59,0)+IF(BH60-BG60&gt;0,BH60-BG60,0)+IF(BH31-BG31&gt;0,BH31-BG31,0)+IF(BH53-BG53&gt;0,BH53-BG53,0)</f>
        <v>0</v>
      </c>
      <c r="BI67" s="111">
        <f>IF(BI4-BD4&gt;0,BI4-BD4,0)+IF(BI5-BD5&gt;0,BI5-BD5,0)+IF(BI6-BD6&gt;0,BI6-BD6,0)+IF(BI7-BD7&gt;0,BI7-BD7,0)+IF(BI8-BD8&gt;0,BI8-BD8,0)+IF(BI9-BD9&gt;0,BI9-BD9,0)+IF(BI10-BD10&gt;0,BI10-BD10,0)+IF(BI11-BD11&gt;0,BI11-BD11,0)+IF(BI12-BD12&gt;0,BI12-BD12,0)++IF(BI13-BD13&gt;0,BI13-BD13,0)+IF(BI14-BD14&gt;0,BI14-BD14,0)+IF(BI15-BD15&gt;0,BI15-BD15,0)++IF(BI16-BD16&gt;0,BI16-BD16,0)+IF(BI17-BD17&gt;0,BI17-BD17,0)+IF(BI18-BD18&gt;0,BI18-BD18,0)+IF(BI19-BD19&gt;0,BI19-BD19,0)+IF(BI20-BD20&gt;0,BI20-BD20,0)+IF(BI21-BD21&gt;0,BI21-BD21,0)+IF(BI22-BD22&gt;0,BI22-BD22,0)+IF(BI23-BD23&gt;0,BI23-BD23,0)+IF(BI24-BD24&gt;0,BI24-BD24,0)+IF(BI25-BD25&gt;0,BI25-BD25,0)+IF(BI26-BD26&gt;0,BI226-BD26,0)+IF(BI27-BD27&gt;0,BI27-BD27,0)+IF(BI28-BD28&gt;0,BI28-BD28,0)+IF(BI29-BD29&gt;0,BI29-BD29,0)+IF(BI30-BD30&gt;0,BI30-BD30,0)+IF(BI32-BD32&gt;0,BI32-BD32,0)+IF(BI33-BD33&gt;0,BI33-BD33,0)+IF(BI34-BD34&gt;0,BI34-BD34,0)+IF(BI35-BD35&gt;0,BI35-BD35,0)+IF(BI36-BD36&gt;0,BI36-BD36,0)+IF(BI37-BD37&gt;0,BI37-BD37,0)+IF(BI38-BD38&gt;0,BI38-BD38,0)+IF(BI39-BD39&gt;0,BI39-BD39,0)+IF(BI40-BD40&gt;0,BI40-BD40,0)+IF(BI41-BD41&gt;0,BI41-BD41,0)+IF(BI42-BD42&gt;0,BI42-BD42,0)+IF(BI43-BD43&gt;0,BI43-BD43,0)+IF(BI44-BD44&gt;0,BI44-BD44,0)+IF(BI45-BD45&gt;0,BI45-BD45,0)+IF(BI46-BD46&gt;0,BI46-BD46,0)+IF(BI47-BD47&gt;0,BI47-BD47,0)+IF(BI48-BD48&gt;0,BI48-BD48,0)+IF(BI49-BD49&gt;0,BI49-BD49,0)+IF(BI50-BD50&gt;0,BI50-BD50,0)+IF(BI51-BD51&gt;0,BI51-BD51,0)+IF(BI52-BD52&gt;0,BI52-BD52,0)+IF(BI54-BD54&gt;0,BI54-BD54,0)+IF(BI55-BD55&gt;0,BI55-BD55,0)+IF(BI56-BD56&gt;0,BI56-BD56,0)+IF(BI57-BD57&gt;0,BI57-BD57,0)+IF(BI58-BD58&gt;0,BI58-BD58,0)+IF(BI59-BD59&gt;0,BI59-BD59,0)+IF(BI60-BD60&gt;0,BI60-BD60,0)+IF(BI31-BD31&gt;0,BI31-BD31,0)+IF(BI53-BD53&gt;0,BI53-BD53,0)</f>
        <v>0</v>
      </c>
      <c r="BJ67" s="21"/>
      <c r="BK67" s="21"/>
      <c r="BL67" s="21"/>
    </row>
    <row r="68" spans="1:64" s="25" customFormat="1">
      <c r="A68" s="11" t="s">
        <v>211</v>
      </c>
      <c r="E68" s="98"/>
      <c r="F68" s="111"/>
      <c r="J68" s="98"/>
      <c r="K68" s="111"/>
      <c r="O68" s="98"/>
      <c r="P68" s="111"/>
      <c r="Q68" s="39"/>
      <c r="R68" s="39"/>
      <c r="S68" s="39"/>
      <c r="T68" s="39"/>
      <c r="U68" s="111"/>
      <c r="V68" s="39"/>
      <c r="W68" s="39"/>
      <c r="X68" s="39"/>
      <c r="Y68" s="39"/>
      <c r="Z68" s="111"/>
      <c r="AA68" s="39"/>
      <c r="AB68" s="39"/>
      <c r="AC68" s="39">
        <f>IF(AC4-AB4&lt;0,AC4-AB4,0)+IF(AC5-AB5&lt;0,AC5-AB5,0)+IF(AC6-AB6&lt;0,AC6-AB6,0)+IF(AC7-AB7&lt;0,AC7-AB7,0)+IF(AC8-AB8&lt;0,AC8-AB8,0)+IF(AC9-AB9&lt;0,AC9-AB9,0)+IF(AC10-AB10&lt;0,AC10-AB10,0)+IF(AC11-AB11&lt;0,AC11-AB11,0)+IF(AC12-AB12&lt;0,AC12-AB12,0)+IF(AC14-AB14&lt;0,AC14-AB14,0)+IF(AC15-AB15&lt;0,AC15-AB15,0)+IF(AC19-AB19&lt;0,AC19-AB19,0)+IF(AC20-AB20&lt;0,AC20-AB20,0)+IF(AC21-AB21&lt;0,AC21-AB21,0)+IF(AC22-AB22&lt;0,AC22-AB22,0)+IF(AC23-AB23&lt;0,AC23-AB23,0)+IF(AC24-AB24&lt;0,AC24-AB24,0)+IF(AC25-AB25&lt;0,AC25-AB25,0)+IF(AC27-AB27&lt;0,AC27-AB27,0)+IF(AC28-AB28&lt;0,AC28-AB28,0)+IF(AC29-AB29&lt;0,AC29-AB29,0)+IF(AC35-AB35&lt;0,AC35-AB35,0)+IF(AC36-AB36&lt;0,AC36-AB36,0)+IF(AC37-AB37&lt;0,AC37-AB37,0)+IF(AC38-AB38&lt;0,AC38-AB38,0)+IF(AC39-AB39&lt;0,AC39-AB39,0)+IF(AC40-AB40&lt;0,AC40-AB40,0)+IF(AC41-AB41&lt;0,AC41-AB41,0)+IF(AC42-AB42&lt;0,AC42-AB42,0)+IF(AC43-AB43&lt;0,AC43-AB43,0)+IF(AC44-AB44&lt;0,AC44-AB44,0)+IF(AC45-AB45&lt;0,AC45-AB45,0)+IF(AC46-AB46&lt;0,AC46-AB46,0)+IF(AC47-AB47&lt;0,AC47-AB47,0)+IF(AC48-AB48&lt;0,AC48-AB48,0)+IF(AC49-AB49&lt;0,AC49-AB49,0)+IF(AC50-AB50&lt;0,AC50-AB50,0)+IF(AC51-AB51&lt;0,AC51-AB51,0)+IF(AC52-AB52&lt;0,AC52-AB52,0)+IF(AC57-AB57&lt;0,AC57-AB57,0)+IF(AC58-AB58&lt;0,AC58-AB58,0)+IF(AC59-AB59&lt;0,AC59-AB59,0)+IF(AC60-AB60&lt;0,AC60-AB60,0)</f>
        <v>0</v>
      </c>
      <c r="AD68" s="39">
        <f>IF(AD4-AC4&lt;0,AD4-AC4,0)+IF(AD5-AC5&lt;0,AD5-AC5,0)+IF(AD6-AC6&lt;0,AD6-AC6,0)+IF(AD7-AC7&lt;0,AD7-AC7,0)+IF(AD8-AC8&lt;0,AD8-AC8,0)+IF(AD9-AC9&lt;0,AD9-AC9,0)+IF(AD10-AC10&lt;0,AD10-AC10,0)+IF(AD11-AC11&lt;0,AD11-AC11,0)+IF(AD12-AC12&lt;0,AD12-AC12,0)+IF(AD14-AC14&lt;0,AD14-AC14,0)+IF(AD15-AC15&lt;0,AD15-AC15,0)+IF(AD19-AC19&lt;0,AD19-AC19,0)+IF(AD20-AC20&lt;0,AD20-AC20,0)+IF(AD21-AC21&lt;0,AD21-AC21,0)+IF(AD22-AC22&lt;0,AD22-AC22,0)+IF(AD23-AC23&lt;0,AD23-AC23,0)+IF(AD24-AC24&lt;0,AD24-AC24,0)+IF(AD25-AC25&lt;0,AD25-AC25,0)+IF(AD27-AC27&lt;0,AD27-AC27,0)+IF(AD28-AC28&lt;0,AD28-AC28,0)+IF(AD29-AC29&lt;0,AD29-AC29,0)+IF(AD35-AC35&lt;0,AD35-AC35,0)+IF(AD36-AC36&lt;0,AD36-AC36,0)+IF(AD37-AC37&lt;0,AD37-AC37,0)+IF(AD38-AC38&lt;0,AD38-AC38,0)+IF(AD39-AC39&lt;0,AD39-AC39,0)+IF(AD40-AC40&lt;0,AD40-AC40,0)+IF(AD41-AC41&lt;0,AD41-AC41,0)+IF(AD42-AC42&lt;0,AD42-AC42,0)+IF(AD43-AC43&lt;0,AD43-AC43,0)+IF(AD44-AC44&lt;0,AD44-AC44,0)+IF(AD45-AC45&lt;0,AD45-AC45,0)+IF(AD46-AC46&lt;0,AD46-AC46,0)+IF(AD47-AC47&lt;0,AD47-AC47,0)+IF(AD48-AC48&lt;0,AD48-AC48,0)+IF(AD49-AC49&lt;0,AD49-AC49,0)+IF(AD50-AC50&lt;0,AD50-AC50,0)+IF(AD51-AC51&lt;0,AD51-AC51,0)+IF(AD52-AC52&lt;0,AD52-AC52,0)+IF(AD57-AC57&lt;0,AD57-AC57,0)+IF(AD58-AC58&lt;0,AD58-AC58,0)+IF(AD59-AC59&lt;0,AD59-AC59,0)+IF(AD60-AC60&lt;0,AD60-AC60,0)</f>
        <v>-1000</v>
      </c>
      <c r="AE68" s="111">
        <f>IF(AE4-Z4&lt;0,AE4-Z4,0)+IF(AE5-Z5&lt;0,AE5-Z5,0)+IF(AE6-Z6&lt;0,AE6-Z6,0)+IF(AE7-Z7&lt;0,AE7-Z7,0)+IF(AE8-Z8&lt;0,AE8-Z8,0)+IF(AE9-Z9&lt;0,AE9-Z9,0)+IF(AE10-Z10&lt;0,AE10-Z10,0)+IF(AE11-Z11&lt;0,AE11-Z11,0)+IF(AE12-Z12&lt;0,AE12-Z12,0)+IF(AE14-Z14&lt;0,AE14-Z14,0)+IF(AE15-Z15&lt;0,AE15-Z15,0)+IF(AE19-Z19&lt;0,AE19-Z19,0)+IF(AE20-Z20&lt;0,AE20-Z20,0)+IF(AE21-Z21&lt;0,AE21-Z21,0)+IF(AE22-Z22&lt;0,AE22-Z22,0)+IF(AE23-Z23&lt;0,AE23-Z23,0)+IF(AE24-Z24&lt;0,AE24-Z24,0)+IF(AE25-Z25&lt;0,AE25-Z25,0)+IF(AE27-Z27&lt;0,AE27-Z27,0)+IF(AE28-Z28&lt;0,AE28-Z28,0)+IF(AE29-Z29&lt;0,AE29-Z29,0)+IF(AE35-Z35&lt;0,AE35-Z35,0)+IF(AE36-Z36&lt;0,AE36-Z36,0)+IF(AE37-Z37&lt;0,AE37-Z37,0)+IF(AE38-Z38&lt;0,AE38-Z38,0)+IF(AE39-Z39&lt;0,AE39-Z39,0)+IF(AE40-Z40&lt;0,AE40-Z40,0)+IF(AE41-Z41&lt;0,AE41-Z41,0)+IF(AE42-Z42&lt;0,AE42-Z42,0)+IF(AE43-Z43&lt;0,AE43-Z43,0)+IF(AE44-Z44&lt;0,AE44-Z44,0)+IF(AE45-Z45&lt;0,AE45-Z45,0)+IF(AE46-Z46&lt;0,AE46-Z46,0)+IF(AE47-Z47&lt;0,AE47-Z47,0)+IF(AE48-Z48&lt;0,AE48-Z48,0)+IF(AE49-Z49&lt;0,AE49-Z49,0)+IF(AE50-Z50&lt;0,AE50-Z50,0)+IF(AE51-Z51&lt;0,AE51-Z51,0)+IF(AE52-Z52&lt;0,AE52-Z52,0)+IF(AE57-Z57&lt;0,AE57-Z57,0)+IF(AE58-Z58&lt;0,AE58-Z58,0)+IF(AE59-Z59&lt;0,AE59-Z59,0)+IF(AE60-Z60&lt;0,AE60-Z60,0)+IF(AE31-Z31&lt;0,AE31-Z31,0)+IF(AE53-Z53&lt;0,AE53-Z53,0)</f>
        <v>0</v>
      </c>
      <c r="AF68" s="39">
        <f>IF(AF4-AE4&lt;0,AF4-AE4,0)+IF(AF5-AE5&lt;0,AF5-AE5,0)+IF(AF6-AE6&lt;0,AF6-AE6,0)+IF(AF7-AE7&lt;0,AF7-AE7,0)+IF(AF8-AE8&lt;0,AF8-AE8,0)+IF(AF9-AE9&lt;0,AF9-AE9,0)+IF(AF10-AE10&lt;0,AF10-AE10,0)+IF(AF11-AE11&lt;0,AF11-AE11,0)+IF(AF12-AE12&lt;0,AF12-AE12,0)+IF(AF14-AE14&lt;0,AF14-AE14,0)+IF(AF15-AE15&lt;0,AF15-AE15,0)+IF(AF19-AE19&lt;0,AF19-AE19,0)+IF(AF20-AE20&lt;0,AF20-AE20,0)+IF(AF21-AE21&lt;0,AF21-AE21,0)+IF(AF22-AE22&lt;0,AF22-AE22,0)+IF(AF23-AE23&lt;0,AF23-AE23,0)+IF(AF24-AE24&lt;0,AF24-AE24,0)+IF(AF25-AE25&lt;0,AF25-AE25,0)+IF(AF27-AE27&lt;0,AF27-AE27,0)+IF(AF28-AE28&lt;0,AF28-AE28,0)+IF(AF29-AE29&lt;0,AF29-AE29,0)+IF(AF35-AE35&lt;0,AF35-AE35,0)+IF(AF36-AE36&lt;0,AF36-AE36,0)+IF(AF37-AE37&lt;0,AF37-AE37,0)+IF(AF38-AE38&lt;0,AF38-AE38,0)+IF(AF39-AE39&lt;0,AF39-AE39,0)+IF(AF40-AE40&lt;0,AF40-AE40,0)+IF(AF41-AE41&lt;0,AF41-AE41,0)+IF(AF42-AE42&lt;0,AF42-AE42,0)+IF(AF43-AE43&lt;0,AF43-AE43,0)+IF(AF44-AE44&lt;0,AF44-AE44,0)+IF(AF45-AE45&lt;0,AF45-AE45,0)+IF(AF46-AE46&lt;0,AF46-AE46,0)+IF(AF47-AE47&lt;0,AF47-AE47,0)+IF(AF48-AE48&lt;0,AF48-AE48,0)+IF(AF49-AE49&lt;0,AF49-AE49,0)+IF(AF50-AE50&lt;0,AF50-AE50,0)+IF(AF51-AE51&lt;0,AF51-AE51,0)+IF(AF52-AE52&lt;0,AF52-AE52,0)+IF(AF57-AE57&lt;0,AF57-AE57,0)+IF(AF58-AE58&lt;0,AF58-AE58,0)+IF(AF59-AE59&lt;0,AF59-AE59,0)+IF(AF60-AE60&lt;0,AF60-AE60,0)+IF(AF31-AE31&lt;0,AF31-AE31,0)+IF(AF53-AE53&lt;0,AF53-AE53,0)</f>
        <v>-362</v>
      </c>
      <c r="AG68" s="39">
        <f>IF(AG4-AF4&lt;0,AG4-AF4,0)+IF(AG5-AF5&lt;0,AG5-AF5,0)+IF(AG6-AF6&lt;0,AG6-AF6,0)+IF(AG7-AF7&lt;0,AG7-AF7,0)+IF(AG8-AF8&lt;0,AG8-AF8,0)+IF(AG9-AF9&lt;0,AG9-AF9,0)+IF(AG10-AF10&lt;0,AG10-AF10,0)+IF(AG11-AF11&lt;0,AG11-AF11,0)+IF(AG12-AF12&lt;0,AG12-AF12,0)+IF(AG14-AF14&lt;0,AG14-AF14,0)+IF(AG15-AF15&lt;0,AG15-AF15,0)+IF(AG19-AF19&lt;0,AG19-AF19,0)+IF(AG20-AF20&lt;0,AG20-AF20,0)+IF(AG21-AF21&lt;0,AG21-AF21,0)+IF(AG22-AF22&lt;0,AG22-AF22,0)+IF(AG23-AF23&lt;0,AG23-AF23,0)+IF(AG24-AF24&lt;0,AG24-AF24,0)+IF(AG25-AF25&lt;0,AG25-AF25,0)+IF(AG27-AF27&lt;0,AG27-AF27,0)+IF(AG28-AF28&lt;0,AG28-AF28,0)+IF(AG29-AF29&lt;0,AG29-AF29,0)+IF(AG35-AF35&lt;0,AG35-AF35,0)+IF(AG36-AF36&lt;0,AG36-AF36,0)+IF(AG37-AF37&lt;0,AG37-AF37,0)+IF(AG38-AF38&lt;0,AG38-AF38,0)+IF(AG39-AF39&lt;0,AG39-AF39,0)+IF(AG40-AF40&lt;0,AG40-AF40,0)+IF(AG41-AF41&lt;0,AG41-AF41,0)+IF(AG42-AF42&lt;0,AG42-AF42,0)+IF(AG43-AF43&lt;0,AG43-AF43,0)+IF(AG44-AF44&lt;0,AG44-AF44,0)+IF(AG45-AF45&lt;0,AG45-AF45,0)+IF(AG46-AF46&lt;0,AG46-AF46,0)+IF(AG47-AF47&lt;0,AG47-AF47,0)+IF(AG48-AF48&lt;0,AG48-AF48,0)+IF(AG49-AF49&lt;0,AG49-AF49,0)+IF(AG50-AF50&lt;0,AG50-AF50,0)+IF(AG51-AF51&lt;0,AG51-AF51,0)+IF(AG52-AF52&lt;0,AG52-AF52,0)+IF(AG57-AF57&lt;0,AG57-AF57,0)+IF(AG58-AF58&lt;0,AG58-AF58,0)+IF(AG59-AF59&lt;0,AG59-AF59,0)+IF(AG60-AF60&lt;0,AG60-AF60,0)+IF(AG31-AF31&lt;0,AG31-AF31,0)+IF(AG53-AF53&lt;0,AG53-AF53,0)</f>
        <v>-257</v>
      </c>
      <c r="AH68" s="39">
        <f>IF(AH4-AG4&lt;0,AH4-AG4,0)+IF(AH5-AG5&lt;0,AH5-AG5,0)+IF(AH6-AG6&lt;0,AH6-AG6,0)+IF(AH7-AG7&lt;0,AH7-AG7,0)+IF(AH8-AG8&lt;0,AH8-AG8,0)+IF(AH9-AG9&lt;0,AH9-AG9,0)+IF(AH10-AG10&lt;0,AH10-AG10,0)+IF(AH11-AG11&lt;0,AH11-AG11,0)+IF(AH12-AG12&lt;0,AH12-AG12,0)+IF(AH14-AG14&lt;0,AH14-AG14,0)+IF(AH15-AG15&lt;0,AH15-AG15,0)+IF(AH19-AG19&lt;0,AH19-AG19,0)+IF(AH20-AG20&lt;0,AH20-AG20,0)+IF(AH21-AG21&lt;0,AH21-AG21,0)+IF(AH22-AG22&lt;0,AH22-AG22,0)+IF(AH23-AG23&lt;0,AH23-AG23,0)+IF(AH24-AG24&lt;0,AH24-AG24,0)+IF(AH25-AG25&lt;0,AH25-AG25,0)+IF(AH27-AG27&lt;0,AH27-AG27,0)+IF(AH28-AG28&lt;0,AH28-AG28,0)+IF(AH29-AG29&lt;0,AH29-AG29,0)+IF(AH35-AG35&lt;0,AH35-AG35,0)+IF(AH36-AG36&lt;0,AH36-AG36,0)+IF(AH37-AG37&lt;0,AH37-AG37,0)+IF(AH38-AG38&lt;0,AH38-AG38,0)+IF(AH39-AG39&lt;0,AH39-AG39,0)+IF(AH40-AG40&lt;0,AH40-AG40,0)+IF(AH41-AG41&lt;0,AH41-AG41,0)+IF(AH42-AG42&lt;0,AH42-AG42,0)+IF(AH43-AG43&lt;0,AH43-AG43,0)+IF(AH44-AG44&lt;0,AH44-AG44,0)+IF(AH45-AG45&lt;0,AH45-AG45,0)+IF(AH46-AG46&lt;0,AH46-AG46,0)+IF(AH47-AG47&lt;0,AH47-AG47,0)+IF(AH48-AG48&lt;0,AH48-AG48,0)+IF(AH49-AG49&lt;0,AH49-AG49,0)+IF(AH50-AG50&lt;0,AH50-AG50,0)+IF(AH51-AG51&lt;0,AH51-AG51,0)+IF(AH52-AG52&lt;0,AH52-AG52,0)+IF(AH57-AG57&lt;0,AH57-AG57,0)+IF(AH58-AG58&lt;0,AH58-AG58,0)+IF(AH59-AG59&lt;0,AH59-AG59,0)+IF(AH60-AG60&lt;0,AH60-AG60,0)+IF(AH31-AG31&lt;0,AH31-AG31,0)+IF(AH53-AG53&lt;0,AH53-AG53,0)</f>
        <v>-2214</v>
      </c>
      <c r="AI68" s="107">
        <f>IF(AI4-AD4&lt;0,AI4-AD4,0)+IF(AI5-AD5&lt;0,AI5-AD5,0)+IF(AI6-AD6&lt;0,AI6-AD6,0)+IF(AI7-AD7&lt;0,AI7-AD7,0)+IF(AI8-AD8&lt;0,AI8-AD8,0)+IF(AI9-AD9&lt;0,AI9-AD9,0)+IF(AI10-AD10&lt;0,AI10-AD10,0)+IF(AI11-AD11&lt;0,AI11-AD11,0)+IF(AI12-AD12&lt;0,AI12-AD12,0)+IF(AI14-AD14&lt;0,AI14-AD14,0)+IF(AI15-AD15&lt;0,AI15-AD15,0)+IF(AI19-AD19&lt;0,AI19-AD19,0)+IF(AI20-AD20&lt;0,AI20-AD20,0)+IF(AI21-AD21&lt;0,AI21-AD21,0)+IF(AI22-AD22&lt;0,AI22-AD22,0)+IF(AI23-AD23&lt;0,AI23-AD23,0)+IF(AI24-AD24&lt;0,AI24-AD24,0)+IF(AI25-AD25&lt;0,AI25-AD25,0)+IF(AI27-AD27&lt;0,AI27-AD27,0)+IF(AI28-AD28&lt;0,AI28-AD28,0)+IF(AI29-AD29&lt;0,AI29-AD29,0)+IF(AI35-AD35&lt;0,AI35-AD35,0)+IF(AI36-AD36&lt;0,AI36-AD36,0)+IF(AI37-AD37&lt;0,AI37-AD37,0)+IF(AI38-AD38&lt;0,AI38-AD38,0)+IF(AI39-AD39&lt;0,AI39-AD39,0)+IF(AI40-AD40&lt;0,AI40-AD40,0)+IF(AI41-AD41&lt;0,AI41-AD41,0)+IF(AI42-AD42&lt;0,AI42-AD42,0)+IF(AI43-AD43&lt;0,AI43-AD43,0)+IF(AI44-AD44&lt;0,AI44-AD44,0)+IF(AI45-AD45&lt;0,AI45-AD45,0)+IF(AI46-AD46&lt;0,AI46-AD46,0)+IF(AI47-AD47&lt;0,AI47-AD47,0)+IF(AI48-AD48&lt;0,AI48-AD48,0)+IF(AI49-AD49&lt;0,AI49-AD49,0)+IF(AI50-AD50&lt;0,AI50-AD50,0)+IF(AI51-AD51&lt;0,AI51-AD51,0)+IF(AI52-AD52&lt;0,AI52-AD52,0)+IF(AI57-AD57&lt;0,AI57-AD57,0)+IF(AI58-AD58&lt;0,AI58-AD58,0)+IF(AI59-AD59&lt;0,AI59-AD59,0)+IF(AI60-AD60&lt;0,AI60-AD60,0)+IF(AI31-AD31&lt;0,AI31-AD31,0)+IF(AI53-AD53&lt;0,AI53-AD53,0)+IF(AI32-AD32&lt;0,AI32-AD32,0)+IF(AI54-AD54&lt;0,AI54-AD54,0)</f>
        <v>-4573</v>
      </c>
      <c r="AJ68" s="111">
        <f>IF(AJ4-AE4&lt;0,AJ4-AE4,0)+IF(AJ5-AE5&lt;0,AJ5-AE5,0)+IF(AJ6-AE6&lt;0,AJ6-AE6,0)+IF(AJ7-AE7&lt;0,AJ7-AE7,0)+IF(AJ8-AE8&lt;0,AJ8-AE8,0)+IF(AJ9-AE9&lt;0,AJ9-AE9,0)+IF(AJ10-AE10&lt;0,AJ10-AE10,0)+IF(AJ11-AE11&lt;0,AJ11-AE11,0)+IF(AJ12-AE12&lt;0,AJ12-AE12,0)+IF(AJ14-AE14&lt;0,AJ14-AE14,0)+IF(AJ15-AE15&lt;0,AJ15-AE15,0)+IF(AJ19-AE19&lt;0,AJ19-AE19,0)+IF(AJ20-AE20&lt;0,AJ20-AE20,0)+IF(AJ21-AE21&lt;0,AJ21-AE21,0)+IF(AJ22-AE22&lt;0,AJ22-AE22,0)+IF(AJ23-AE23&lt;0,AJ23-AE23,0)+IF(AJ24-AE24&lt;0,AJ24-AE24,0)+IF(AJ25-AE25&lt;0,AJ25-AE25,0)+IF(AJ27-AE27&lt;0,AJ27-AE27,0)+IF(AJ28-AE28&lt;0,AJ28-AE28,0)+IF(AJ29-AE29&lt;0,AJ29-AE29,0)+IF(AJ35-AE35&lt;0,AJ35-AE35,0)+IF(AJ36-AE36&lt;0,AJ36-AE36,0)+IF(AJ37-AE37&lt;0,AJ37-AE37,0)+IF(AJ38-AE38&lt;0,AJ38-AE38,0)+IF(AJ39-AE39&lt;0,AJ39-AE39,0)+IF(AJ40-AE40&lt;0,AJ40-AE40,0)+IF(AJ41-AE41&lt;0,AJ41-AE41,0)+IF(AJ42-AE42&lt;0,AJ42-AE42,0)+IF(AJ43-AE43&lt;0,AJ43-AE43,0)+IF(AJ44-AE44&lt;0,AJ44-AE44,0)+IF(AJ45-AE45&lt;0,AJ45-AE45,0)+IF(AJ46-AE46&lt;0,AJ46-AE46,0)+IF(AJ47-AE47&lt;0,AJ47-AE47,0)+IF(AJ48-AE48&lt;0,AJ48-AE48,0)+IF(AJ49-AE49&lt;0,AJ49-AE49,0)+IF(AJ50-AE50&lt;0,AJ50-AE50,0)+IF(AJ51-AE51&lt;0,AJ51-AE51,0)+IF(AJ52-AE52&lt;0,AJ52-AE52,0)+IF(AJ57-AE57&lt;0,AJ57-AE57,0)+IF(AJ58-AE58&lt;0,AJ58-AE58,0)+IF(AJ59-AE59&lt;0,AJ59-AE59,0)+IF(AJ60-AE60&lt;0,AJ60-AE60,0)+IF(AJ31-AE31&lt;0,AJ31-AE31,0)+IF(AJ53-AE53&lt;0,AJ53-AE53,0)+IF(AJ32-AE32&lt;0,AJ32-AE32,0)+IF(AJ54-AE54&lt;0,AJ54-AE54,0)</f>
        <v>-4573</v>
      </c>
      <c r="AK68" s="107">
        <f>IF(AK4-AJ4&lt;0,AK4-AJ4,0)+IF(AK5-AJ5&lt;0,AK5-AJ5,0)+IF(AK6-AJ6&lt;0,AK6-AJ6,0)+IF(AK7-AJ7&lt;0,AK7-AJ7,0)+IF(AK8-AJ8&lt;0,AK8-AJ8,0)+IF(AK9-AJ9&lt;0,AK9-AJ9,0)+IF(AK10-AJ10&lt;0,AK10-AJ10,0)+IF(AK11-AJ11&lt;0,AK11-AJ11,0)+IF(AK12-AJ12&lt;0,AK12-AJ12,0)+IF(AK14-AJ14&lt;0,AK14-AJ14,0)+IF(AK15-AJ15&lt;0,AK15-AJ15,0)+IF(AK19-AJ19&lt;0,AK19-AJ19,0)+IF(AK20-AJ20&lt;0,AK20-AJ20,0)+IF(AK21-AJ21&lt;0,AK21-AJ21,0)+IF(AK22-AJ22&lt;0,AK22-AJ22,0)+IF(AK23-AJ23&lt;0,AK23-AJ23,0)+IF(AK24-AJ24&lt;0,AK24-AJ24,0)+IF(AK25-AJ25&lt;0,AK25-AJ25,0)+IF(AK27-AJ27&lt;0,AK27-AJ27,0)+IF(AK28-AJ28&lt;0,AK28-AJ28,0)+IF(AK29-AJ29&lt;0,AK29-AJ29,0)+IF(AK35-AJ35&lt;0,AK35-AJ35,0)+IF(AK36-AJ36&lt;0,AK36-AJ36,0)+IF(AK37-AJ37&lt;0,AK37-AJ37,0)+IF(AK38-AJ38&lt;0,AK38-AJ38,0)+IF(AK39-AJ39&lt;0,AK39-AJ39,0)+IF(AK40-AJ40&lt;0,AK40-AJ40,0)+IF(AK41-AJ41&lt;0,AK41-AJ41,0)+IF(AK42-AJ42&lt;0,AK42-AJ42,0)+IF(AK43-AJ43&lt;0,AK43-AJ43,0)+IF(AK44-AJ44&lt;0,AK44-AJ44,0)+IF(AK45-AJ45&lt;0,AK45-AJ45,0)+IF(AK46-AJ46&lt;0,AK46-AJ46,0)+IF(AK47-AJ47&lt;0,AK47-AJ47,0)+IF(AK48-AJ48&lt;0,AK48-AJ48,0)+IF(AK49-AJ49&lt;0,AK49-AJ49,0)+IF(AK50-AJ50&lt;0,AK50-AJ50,0)+IF(AK51-AJ51&lt;0,AK51-AJ51,0)+IF(AK52-AJ52&lt;0,AK52-AJ52,0)+IF(AK57-AJ57&lt;0,AK57-AJ57,0)+IF(AK58-AJ58&lt;0,AK58-AJ58,0)+IF(AK59-AJ59&lt;0,AK59-AJ59,0)+IF(AK60-AJ60&lt;0,AK60-AJ60,0)+IF(AK31-AJ31&lt;0,AK31-AJ31,0)+IF(AK53-AJ53&lt;0,AK53-AJ53,0)</f>
        <v>-15</v>
      </c>
      <c r="AL68" s="107">
        <f>IF(AL4-AK4&lt;0,AL4-AK4,0)+IF(AL5-AK5&lt;0,AL5-AK5,0)+IF(AL6-AK6&lt;0,AL6-AK6,0)+IF(AL7-AK7&lt;0,AL7-AK7,0)+IF(AL8-AK8&lt;0,AL8-AK8,0)+IF(AL9-AK9&lt;0,AL9-AK9,0)+IF(AL10-AK10&lt;0,AL10-AK10,0)+IF(AL11-AK11&lt;0,AL11-AK11,0)+IF(AL12-AK12&lt;0,AL12-AK12,0)+IF(AL14-AK14&lt;0,AL14-AK14,0)+IF(AL15-AK15&lt;0,AL15-AK15,0)+IF(AL19-AK19&lt;0,AL19-AK19,0)+IF(AL20-AK20&lt;0,AL20-AK20,0)+IF(AL21-AK21&lt;0,AL21-AK21,0)+IF(AL22-AK22&lt;0,AL22-AK22,0)+IF(AL23-AK23&lt;0,AL23-AK23,0)+IF(AL24-AK24&lt;0,AL24-AK24,0)+IF(AL25-AK25&lt;0,AL25-AK25,0)+IF(AL27-AK27&lt;0,AL27-AK27,0)+IF(AL28-AK28&lt;0,AL28-AK28,0)+IF(AL29-AK29&lt;0,AL29-AK29,0)+IF(AL35-AK35&lt;0,AL35-AK35,0)+IF(AL36-AK36&lt;0,AL36-AK36,0)+IF(AL37-AK37&lt;0,AL37-AK37,0)+IF(AL38-AK38&lt;0,AL38-AK38,0)+IF(AL39-AK39&lt;0,AL39-AK39,0)+IF(AL40-AK40&lt;0,AL40-AK40,0)+IF(AL41-AK41&lt;0,AL41-AK41,0)+IF(AL42-AK42&lt;0,AL42-AK42,0)+IF(AL43-AK43&lt;0,AL43-AK43,0)+IF(AL44-AK44&lt;0,AL44-AK44,0)+IF(AL45-AK45&lt;0,AL45-AK45,0)+IF(AL46-AK46&lt;0,AL46-AK46,0)+IF(AL47-AK47&lt;0,AL47-AK47,0)+IF(AL48-AK48&lt;0,AL48-AK48,0)+IF(AL49-AK49&lt;0,AL49-AK49,0)+IF(AL50-AK50&lt;0,AL50-AK50,0)+IF(AL51-AK51&lt;0,AL51-AK51,0)+IF(AL52-AK52&lt;0,AL52-AK52,0)+IF(AL57-AK57&lt;0,AL57-AK57,0)+IF(AL58-AK58&lt;0,AL58-AK58,0)+IF(AL59-AK59&lt;0,AL59-AK59,0)+IF(AL60-AK60&lt;0,AL60-AK60,0)+IF(AL31-AK31&lt;0,AL31-AK31,0)+IF(AL53-AK53&lt;0,AL53-AK53,0)</f>
        <v>-31</v>
      </c>
      <c r="AM68" s="107">
        <f>IF(AM4-AL4&lt;0,AM4-AL4,0)+IF(AM5-AL5&lt;0,AM5-AL5,0)+IF(AM6-AL6&lt;0,AM6-AL6,0)+IF(AM7-AL7&lt;0,AM7-AL7,0)+IF(AM8-AL8&lt;0,AM8-AL8,0)+IF(AM9-AL9&lt;0,AM9-AL9,0)+IF(AM10-AL10&lt;0,AM10-AL10,0)+IF(AM11-AL11&lt;0,AM11-AL11,0)+IF(AM12-AL12&lt;0,AM12-AL12,0)+IF(AM14-AL14&lt;0,AM14-AL14,0)+IF(AM15-AL15&lt;0,AM15-AL15,0)+IF(AM19-AL19&lt;0,AM19-AL19,0)+IF(AM20-AL20&lt;0,AM20-AL20,0)+IF(AM21-AL21&lt;0,AM21-AL21,0)+IF(AM22-AL22&lt;0,AM22-AL22,0)+IF(AM23-AL23&lt;0,AM23-AL23,0)+IF(AM24-AL24&lt;0,AM24-AL24,0)+IF(AM25-AL25&lt;0,AM25-AL25,0)+IF(AM27-AL27&lt;0,AM27-AL27,0)+IF(AM28-AL28&lt;0,AM28-AL28,0)+IF(AM29-AL29&lt;0,AM29-AL29,0)+IF(AM35-AL35&lt;0,AM35-AL35,0)+IF(AM36-AL36&lt;0,AM36-AL36,0)+IF(AM37-AL37&lt;0,AM37-AL37,0)+IF(AM38-AL38&lt;0,AM38-AL38,0)+IF(AM39-AL39&lt;0,AM39-AL39,0)+IF(AM40-AL40&lt;0,AM40-AL40,0)+IF(AM41-AL41&lt;0,AM41-AL41,0)+IF(AM42-AL42&lt;0,AM42-AL42,0)+IF(AM43-AL43&lt;0,AM43-AL43,0)+IF(AM44-AL44&lt;0,AM44-AL44,0)+IF(AM45-AL45&lt;0,AM45-AL45,0)+IF(AM46-AL46&lt;0,AM46-AL46,0)+IF(AM47-AL47&lt;0,AM47-AL47,0)+IF(AM48-AL48&lt;0,AM48-AL48,0)+IF(AM49-AL49&lt;0,AM49-AL49,0)+IF(AM50-AL50&lt;0,AM50-AL50,0)+IF(AM51-AL51&lt;0,AM51-AL51,0)+IF(AM52-AL52&lt;0,AM52-AL52,0)+IF(AM57-AL57&lt;0,AM57-AL57,0)+IF(AM58-AL58&lt;0,AM58-AL58,0)+IF(AM59-AL59&lt;0,AM59-AL59,0)+IF(AM60-AL60&lt;0,AM60-AL60,0)+IF(AM31-AL31&lt;0,AM31-AL31,0)+IF(AM53-AL53&lt;0,AM53-AL53,0)</f>
        <v>-45</v>
      </c>
      <c r="AN68" s="107">
        <f>IF(AN4-AM4&lt;0,AN4-AM4,0)+IF(AN5-AM5&lt;0,AN5-AM5,0)+IF(AN6-AM6&lt;0,AN6-AM6,0)+IF(AN7-AM7&lt;0,AN7-AM7,0)+IF(AN8-AM8&lt;0,AN8-AM8,0)+IF(AN9-AM9&lt;0,AN9-AM9,0)+IF(AN10-AM10&lt;0,AN10-AM10,0)+IF(AN11-AM11&lt;0,AN11-AM11,0)+IF(AN12-AM12&lt;0,AN12-AM12,0)+IF(AN14-AM14&lt;0,AN14-AM14,0)+IF(AN15-AM15&lt;0,AN15-AM15,0)+IF(AN19-AM19&lt;0,AN19-AM19,0)+IF(AN20-AM20&lt;0,AN20-AM20,0)+IF(AN21-AM21&lt;0,AN21-AM21,0)+IF(AN22-AM22&lt;0,AN22-AM22,0)+IF(AN23-AM23&lt;0,AN23-AM23,0)+IF(AN24-AM24&lt;0,AN24-AM24,0)+IF(AN25-AM25&lt;0,AN25-AM25,0)+IF(AN27-AM27&lt;0,AN27-AM27,0)+IF(AN28-AM28&lt;0,AN28-AM28,0)+IF(AN29-AM29&lt;0,AN29-AM29,0)+IF(AN35-AM35&lt;0,AN35-AM35,0)+IF(AN36-AM36&lt;0,AN36-AM36,0)+IF(AN37-AM37&lt;0,AN37-AM37,0)+IF(AN38-AM38&lt;0,AN38-AM38,0)+IF(AN39-AM39&lt;0,AN39-AM39,0)+IF(AN40-AM40&lt;0,AN40-AM40,0)+IF(AN41-AM41&lt;0,AN41-AM41,0)+IF(AN42-AM42&lt;0,AN42-AM42,0)+IF(AN43-AM43&lt;0,AN43-AM43,0)+IF(AN44-AM44&lt;0,AN44-AM44,0)+IF(AN45-AM45&lt;0,AN45-AM45,0)+IF(AN46-AM46&lt;0,AN46-AM46,0)+IF(AN47-AM47&lt;0,AN47-AM47,0)+IF(AN48-AM48&lt;0,AN48-AM48,0)+IF(AN49-AM49&lt;0,AN49-AM49,0)+IF(AN50-AM50&lt;0,AN50-AM50,0)+IF(AN51-AM51&lt;0,AN51-AM51,0)+IF(AN52-AM52&lt;0,AN52-AM52,0)+IF(AN57-AM57&lt;0,AN57-AM57,0)+IF(AN58-AM58&lt;0,AN58-AM58,0)+IF(AN59-AM59&lt;0,AN59-AM59,0)+IF(AN60-AM60&lt;0,AN60-AM60,0)+IF(AN31-AM31&lt;0,AN31-AM31,0)+IF(AN53-AM53&lt;0,AN53-AM53,0)</f>
        <v>-3</v>
      </c>
      <c r="AO68" s="111">
        <f>IF(AO4-AJ4&lt;0,AO4-AJ4,0)+IF(AO5-AJ5&lt;0,AO5-AJ5,0)+IF(AO6-AJ6&lt;0,AO6-AJ6,0)+IF(AO7-AJ7&lt;0,AO7-AJ7,0)+IF(AO8-AJ8&lt;0,AO8-AJ8,0)+IF(AO9-AJ9&lt;0,AO9-AJ9,0)+IF(AO10-AJ10&lt;0,AO10-AJ10,0)+IF(AO11-AJ11&lt;0,AO11-AJ11,0)+IF(AO12-AJ12&lt;0,AO12-AJ12,0)+IF(AO14-AJ14&lt;0,AO14-AJ14,0)+IF(AO15-AJ15&lt;0,AO15-AJ15,0)+IF(AO19-AJ19&lt;0,AO19-AJ19,0)+IF(AO20-AJ20&lt;0,AO20-AJ20,0)+IF(AO21-AJ21&lt;0,AO21-AJ21,0)+IF(AO22-AJ22&lt;0,AO22-AJ22,0)+IF(AO23-AJ23&lt;0,AO23-AJ23,0)+IF(AO24-AJ24&lt;0,AO24-AJ24,0)+IF(AO25-AJ25&lt;0,AO25-AJ25,0)+IF(AO27-AJ27&lt;0,AO27-AJ27,0)+IF(AO28-AJ28&lt;0,AO28-AJ28,0)+IF(AO29-AJ29&lt;0,AO29-AJ29,0)+IF(AO35-AJ35&lt;0,AO35-AJ35,0)+IF(AO36-AJ36&lt;0,AO36-AJ36,0)+IF(AO37-AJ37&lt;0,AO37-AJ37,0)+IF(AO38-AJ38&lt;0,AO38-AJ38,0)+IF(AO39-AJ39&lt;0,AO39-AJ39,0)+IF(AO40-AJ40&lt;0,AO40-AJ40,0)+IF(AO41-AJ41&lt;0,AO41-AJ41,0)+IF(AO42-AJ42&lt;0,AO42-AJ42,0)+IF(AO43-AJ43&lt;0,AO43-AJ43,0)+IF(AO44-AJ44&lt;0,AO44-AJ44,0)+IF(AO45-AJ45&lt;0,AO45-AJ45,0)+IF(AO46-AJ46&lt;0,AO46-AJ46,0)+IF(AO47-AJ47&lt;0,AO47-AJ47,0)+IF(AO48-AJ48&lt;0,AO48-AJ48,0)+IF(AO49-AJ49&lt;0,AO49-AJ49,0)+IF(AO50-AJ50&lt;0,AO50-AJ50,0)+IF(AO51-AJ51&lt;0,AO51-AJ51,0)+IF(AO52-AJ52&lt;0,AO52-AJ52,0)+IF(AO57-AJ57&lt;0,AO57-AJ57,0)+IF(AO58-AJ58&lt;0,AO58-AJ58,0)+IF(AO59-AJ59&lt;0,AO59-AJ59,0)+IF(AO60-AJ60&lt;0,AO60-AJ60,0)+IF(AO31-AJ31&lt;0,AO31-AJ31,0)+IF(AO53-AJ53&lt;0,AO53-AJ53,0)</f>
        <v>-51</v>
      </c>
      <c r="AP68" s="107" cm="1">
        <f t="array" ref="AP68">IF(AP4-AO4&lt;0,AP4-AO4,0)+IF(AP5-AO5&lt;0,AP5-AO5,0)+IF(AP6-AO6&lt;0,AP6-AO6,0)+IF(AP7-AO7&lt;0,AP7-AO7,0)+IF(AP8-AO8&lt;0,AP8-AO8,0)+IF(AP9-AO9&lt;0,AP9-AO9,0)+IF(AP10-AO10&lt;0,AP10-AO10,0)+IF(AP11-AO11&lt;0,AP11-AO11,0)+IF(AP12-AO12&lt;0,AP12-AO12,0)+IF(AP13-AO13&lt;0,AP13-AO13,0)+IF(AP14-AO14&lt;0,AP14-AO14,0)+IF(AP15-AO15&lt;0,AP15-AO15,0)+IF(AP16-AO16&lt;0,AP16-AO16,0)+IF(AP17-AO17&lt;0,AP17-AO17,0)+IF(AP18-AO18&lt;0,AP18-AO18,0)+IF(AP19-AO19&lt;0,AP19-AO19,0)+IF(AP20-AO20&lt;0,AP20-AO20,0)+IF(AP21-AO21&lt;0,AP21-AO21,0)+IF(AP22-AO22&lt;0,AP22-AO22,0)+IF(AP23-AO23&lt;0,AP23-AO23,0)+IF(AP24-AO24&lt;0,AP24-AO24,0)+IF(AP25-AO25&lt;0,AP25-AO25,0)+IF(AP26-AO26&lt;0,AP26-AO26,0)+IF(AP27-AO27&lt;0,AP27-AO27,0)+IF(AP28-AO28&lt;0,AP28-AO28,0)+IF(AP29-AO29&lt;0,AP29-AO29,0)+IF(AP30-AO30&lt;0,AP30-AO30,0)+IF(AP32-AO32&lt;0,AP32-AO32,0)+IF(AP33-AO33&lt;0,AP33-AO33,0)+IF(AP34-AO34&lt;0,AP34-AO34,0)+IF(AP35-AO35&lt;0,AP35-AO35,0)+IF(AP36-AO36&lt;0,AP36-AO36,0)+IF(AP37-AO37&lt;0,AP37-AO37,0)+IF(AP38-AO38&lt;0,AP38-AO38,0)+IF(AP39-AO39&lt;0,AP39-AO39,0)+IF(AP40-AO40&lt;0,AP40-AO40,0)+IF(AP41-AO41&lt;0,AP41-AO41,0)+IF(AP42-AO42&lt;0,AP42-AO42,0)+IF(AP43-AO43&lt;0,AP43-AO43,0)+IF(AP44-AO44&lt;0,AP44-AO44,0)+IF(AP45-AO45&lt;0,AP45-AO45,0)+IF(AP46-AO46&lt;0,AP46-AO46,0)+IF(AP47-AO47&lt;0,AP47-AO47,0)+IF(AP48-AO48&lt;0,AP48-AO48,0)+IF(AP49-AO49&lt;0,AP49-AO49,0)+IF(AP50-AO50&lt;0,AP50-AO50,0)+IF(AP51-AO51&lt;0,AP51-AO51,0)+IF(AP52-AO52&lt;0,AP52-AO52,0)+IF(AP54-AO54&lt;0,A5S4-AO54,0)+IF(AP55-AO55&lt;0,AP55-AO55,0)+IF(AP56-AO56&lt;0,AP56-AO56,0)+IF(AP57-AO57&lt;0,AP57-AO57,0)+IF(AP58-AO58&lt;0,AP58-AO58,0)+IF(AP59-AO59&lt;0,AP59-AO59,0)+IF(AP60-AO60&lt;0,AP60-AO60,0)+IF(AP31-AO31&lt;0,AP31-AO31,0)+IF(AP53-AO53&lt;0,AP53-AO53,0)</f>
        <v>-1</v>
      </c>
      <c r="AQ68" s="107" cm="1">
        <f t="array" ref="AQ68">IF(AQ4-AP4&lt;0,AQ4-AP4,0)+IF(AQ5-AP5&lt;0,AQ5-AP5,0)+IF(AQ6-AP6&lt;0,AQ6-AP6,0)+IF(AQ7-AP7&lt;0,AQ7-AP7,0)+IF(AQ8-AP8&lt;0,AQ8-AP8,0)+IF(AQ9-AP9&lt;0,AQ9-AP9,0)+IF(AQ10-AP10&lt;0,AQ10-AP10,0)+IF(AQ11-AP11&lt;0,AQ11-AP11,0)+IF(AQ12-AP12&lt;0,AQ12-AP12,0)+IF(AQ13-AP13&lt;0,AQ13-AP13,0)+IF(AQ14-AP14&lt;0,AQ14-AP14,0)+IF(AQ15-AP15&lt;0,AQ15-AP15,0)+IF(AQ16-AP16&lt;0,AQ16-AP16,0)+IF(AQ17-AP17&lt;0,AQ17-AP17,0)+IF(AQ18-AP18&lt;0,AQ18-AP18,0)+IF(AQ19-AP19&lt;0,AQ19-AP19,0)+IF(AQ20-AP20&lt;0,AQ20-AP20,0)+IF(AQ21-AP21&lt;0,AQ21-AP21,0)+IF(AQ22-AP22&lt;0,AQ22-AP22,0)+IF(AQ23-AP23&lt;0,AQ23-AP23,0)+IF(AQ24-AP24&lt;0,AQ24-AP24,0)+IF(AQ25-AP25&lt;0,AQ25-AP25,0)+IF(AQ26-AP26&lt;0,AQ26-AP26,0)+IF(AQ27-AP27&lt;0,AQ27-AP27,0)+IF(AQ28-AP28&lt;0,AQ28-AP28,0)+IF(AQ29-AP29&lt;0,AQ29-AP29,0)+IF(AQ30-AP30&lt;0,AQ30-AP30,0)+IF(AQ32-AP32&lt;0,AQ32-AP32,0)+IF(AQ33-AP33&lt;0,AQ33-AP33,0)+IF(AQ34-AP34&lt;0,AQ34-AP34,0)+IF(AQ35-AP35&lt;0,AQ35-AP35,0)+IF(AQ36-AP36&lt;0,AQ36-AP36,0)+IF(AQ37-AP37&lt;0,AQ37-AP37,0)+IF(AQ38-AP38&lt;0,AQ38-AP38,0)+IF(AQ39-AP39&lt;0,AQ39-AP39,0)+IF(AQ40-AP40&lt;0,AQ40-AP40,0)+IF(AQ41-AP41&lt;0,AQ41-AP41,0)+IF(AQ42-AP42&lt;0,AQ42-AP42,0)+IF(AQ43-AP43&lt;0,AQ43-AP43,0)+IF(AQ44-AP44&lt;0,AQ44-AP44,0)+IF(AQ45-AP45&lt;0,AQ45-AP45,0)+IF(AQ46-AP46&lt;0,AQ46-AP46,0)+IF(AQ47-AP47&lt;0,AQ47-AP47,0)+IF(AQ48-AP48&lt;0,AQ48-AP48,0)+IF(AQ49-AP49&lt;0,AQ49-AP49,0)+IF(AQ50-AP50&lt;0,AQ50-AP50,0)+IF(AQ51-AP51&lt;0,AQ51-AP51,0)+IF(AQ52-AP52&lt;0,AQ52-AP52,0)+IF(AQ54-AP54&lt;0,A5S4-AP54,0)+IF(AQ55-AP55&lt;0,AQ55-AP55,0)+IF(AQ56-AP56&lt;0,AQ56-AP56,0)+IF(AQ57-AP57&lt;0,AQ57-AP57,0)+IF(AQ58-AP58&lt;0,AQ58-AP58,0)+IF(AQ59-AP59&lt;0,AQ59-AP59,0)+IF(AQ60-AP60&lt;0,AQ60-AP60,0)+IF(AQ31-AP31&lt;0,AQ31-AP31,0)+IF(AQ53-AP53&lt;0,AQ53-AP53,0)</f>
        <v>0</v>
      </c>
      <c r="AR68" s="107" cm="1">
        <f t="array" ref="AR68">IF(AR4-AQ4&lt;0,AR4-AQ4,0)+IF(AR5-AQ5&lt;0,AR5-AQ5,0)+IF(AR6-AQ6&lt;0,AR6-AQ6,0)+IF(AR7-AQ7&lt;0,AR7-AQ7,0)+IF(AR8-AQ8&lt;0,AR8-AQ8,0)+IF(AR9-AQ9&lt;0,AR9-AQ9,0)+IF(AR10-AQ10&lt;0,AR10-AQ10,0)+IF(AR11-AQ11&lt;0,AR11-AQ11,0)+IF(AR12-AQ12&lt;0,AR12-AQ12,0)+IF(AR13-AQ13&lt;0,AR13-AQ13,0)+IF(AR14-AQ14&lt;0,AR14-AQ14,0)+IF(AR15-AQ15&lt;0,AR15-AQ15,0)+IF(AR16-AQ16&lt;0,AR16-AQ16,0)+IF(AR17-AQ17&lt;0,AR17-AQ17,0)+IF(AR18-AQ18&lt;0,AR18-AQ18,0)+IF(AR19-AQ19&lt;0,AR19-AQ19,0)+IF(AR20-AQ20&lt;0,AR20-AQ20,0)+IF(AR21-AQ21&lt;0,AR21-AQ21,0)+IF(AR22-AQ22&lt;0,AR22-AQ22,0)+IF(AR23-AQ23&lt;0,AR23-AQ23,0)+IF(AR24-AQ24&lt;0,AR24-AQ24,0)+IF(AR25-AQ25&lt;0,AR25-AQ25,0)+IF(AR26-AQ26&lt;0,AR26-AQ26,0)+IF(AR27-AQ27&lt;0,AR27-AQ27,0)+IF(AR28-AQ28&lt;0,AR28-AQ28,0)+IF(AR29-AQ29&lt;0,AR29-AQ29,0)+IF(AR30-AQ30&lt;0,AR30-AQ30,0)+IF(AR32-AQ32&lt;0,AR32-AQ32,0)+IF(AR33-AQ33&lt;0,AR33-AQ33,0)+IF(AR34-AQ34&lt;0,AR34-AQ34,0)+IF(AR35-AQ35&lt;0,AR35-AQ35,0)+IF(AR36-AQ36&lt;0,AR36-AQ36,0)+IF(AR37-AQ37&lt;0,AR37-AQ37,0)+IF(AR38-AQ38&lt;0,AR38-AQ38,0)+IF(AR39-AQ39&lt;0,AR39-AQ39,0)+IF(AR40-AQ40&lt;0,AR40-AQ40,0)+IF(AR41-AQ41&lt;0,AR41-AQ41,0)+IF(AR42-AQ42&lt;0,AR42-AQ42,0)+IF(AR43-AQ43&lt;0,AR43-AQ43,0)+IF(AR44-AQ44&lt;0,AR44-AQ44,0)+IF(AR45-AQ45&lt;0,AR45-AQ45,0)+IF(AR46-AQ46&lt;0,AR46-AQ46,0)+IF(AR47-AQ47&lt;0,AR47-AQ47,0)+IF(AR48-AQ48&lt;0,AR48-AQ48,0)+IF(AR49-AQ49&lt;0,AR49-AQ49,0)+IF(AR50-AQ50&lt;0,AR50-AQ50,0)+IF(AR51-AQ51&lt;0,AR51-AQ51,0)+IF(AR52-AQ52&lt;0,AR52-AQ52,0)+IF(AR54-AQ54&lt;0,A5S4-AQ54,0)+IF(AR55-AQ55&lt;0,AR55-AQ55,0)+IF(AR56-AQ56&lt;0,AR56-AQ56,0)+IF(AR57-AQ57&lt;0,AR57-AQ57,0)+IF(AR58-AQ58&lt;0,AR58-AQ58,0)+IF(AR59-AQ59&lt;0,AR59-AQ59,0)+IF(AR60-AQ60&lt;0,AR60-AQ60,0)+IF(AR31-AQ31&lt;0,AR31-AQ31,0)+IF(AR53-AQ53&lt;0,AR53-AQ53,0)</f>
        <v>-184</v>
      </c>
      <c r="AS68" s="107" cm="1">
        <f t="array" ref="AS68">IF(AS4-AR4&lt;0,AS4-AR4,0)+IF(AS5-AR5&lt;0,AS5-AR5,0)+IF(AS6-AR6&lt;0,AS6-AR6,0)+IF(AS7-AR7&lt;0,AS7-AR7,0)+IF(AS8-AR8&lt;0,AS8-AR8,0)+IF(AS9-AR9&lt;0,AS9-AR9,0)+IF(AS10-AR10&lt;0,AS10-AR10,0)+IF(AS11-AR11&lt;0,AS11-AR11,0)+IF(AS12-AR12&lt;0,AS12-AR12,0)+IF(AS13-AR13&lt;0,AS13-AR13,0)+IF(AS14-AR14&lt;0,AS14-AR14,0)+IF(AS15-AR15&lt;0,AS15-AR15,0)+IF(AS16-AR16&lt;0,AS16-AR16,0)+IF(AS17-AR17&lt;0,AS17-AR17,0)+IF(AS18-AR18&lt;0,AS18-AR18,0)+IF(AS19-AR19&lt;0,AS19-AR19,0)+IF(AS20-AR20&lt;0,AS20-AR20,0)+IF(AS21-AR21&lt;0,AS21-AR21,0)+IF(AS22-AR22&lt;0,AS22-AR22,0)+IF(AS23-AR23&lt;0,AS23-AR23,0)+IF(AS24-AR24&lt;0,AS24-AR24,0)+IF(AS25-AR25&lt;0,AS25-AR25,0)+IF(AS26-AR26&lt;0,AS26-AR26,0)+IF(AS27-AR27&lt;0,AS27-AR27,0)+IF(AS28-AR28&lt;0,AS28-AR28,0)+IF(AS29-AR29&lt;0,AS29-AR29,0)+IF(AS30-AR30&lt;0,AS30-AR30,0)+IF(AS32-AR32&lt;0,AS32-AR32,0)+IF(AS33-AR33&lt;0,AS33-AR33,0)+IF(AS34-AR34&lt;0,AS34-AR34,0)+IF(AS35-AR35&lt;0,AS35-AR35,0)+IF(AS36-AR36&lt;0,AS36-AR36,0)+IF(AS37-AR37&lt;0,AS37-AR37,0)+IF(AS38-AR38&lt;0,AS38-AR38,0)+IF(AS39-AR39&lt;0,AS39-AR39,0)+IF(AS40-AR40&lt;0,AS40-AR40,0)+IF(AS41-AR41&lt;0,AS41-AR41,0)+IF(AS42-AR42&lt;0,AS42-AR42,0)+IF(AS43-AR43&lt;0,AS43-AR43,0)+IF(AS44-AR44&lt;0,AS44-AR44,0)+IF(AS45-AR45&lt;0,AS45-AR45,0)+IF(AS46-AR46&lt;0,AS46-AR46,0)+IF(AS47-AR47&lt;0,AS47-AR47,0)+IF(AS48-AR48&lt;0,AS48-AR48,0)+IF(AS49-AR49&lt;0,AS49-AR49,0)+IF(AS50-AR50&lt;0,AS50-AR50,0)+IF(AS51-AR51&lt;0,AS51-AR51,0)+IF(AS52-AR52&lt;0,AS52-AR52,0)+IF(AS54-AR54&lt;0,A5S4-AR54,0)+IF(AS55-AR55&lt;0,AS55-AR55,0)+IF(AS56-AR56&lt;0,AS56-AR56,0)+IF(AS57-AR57&lt;0,AS57-AR57,0)+IF(AS58-AR58&lt;0,AS58-AR58,0)+IF(AS59-AR59&lt;0,AS59-AR59,0)+IF(AS60-AR60&lt;0,AS60-AR60,0)+IF(AS31-AR31&lt;0,AS31-AR31,0)+IF(AS53-AR53&lt;0,AS53-AR53,0)</f>
        <v>-405</v>
      </c>
      <c r="AT68" s="111" cm="1">
        <f t="array" ref="AT68">IF(AT4-AO4&lt;0,AT4-AO4,0)+IF(AT5-AO5&lt;0,AT5-AO5,0)+IF(AT6-AO6&lt;0,AT6-AO6,0)+IF(AT7-AO7&lt;0,AT7-AO7,0)+IF(AT8-AO8&lt;0,AT8-AO8,0)+IF(AT9-AO9&lt;0,AT9-AO9,0)+IF(AT10-AO10&lt;0,AT10-AO10,0)+IF(AT11-AO11&lt;0,AT11-AO11,0)+IF(AT12-AO12&lt;0,AT12-AO12,0)+IF(AT13-AO13&lt;0,AT13-AO13,0)+IF(AT14-AO14&lt;0,AT14-AO14,0)+IF(AT15-AO15&lt;0,AT15-AO15,0)+IF(AT16-AO16&lt;0,AT16-AO16,0)+IF(AT17-AO17&lt;0,AT17-AO17,0)+IF(AT18-AO18&lt;0,AT18-AO18,0)+IF(AT19-AO19&lt;0,AT19-AO19,0)+IF(AT20-AO20&lt;0,AT20-AO20,0)+IF(AT21-AO21&lt;0,AT21-AO21,0)+IF(AT22-AO22&lt;0,AT22-AO22,0)+IF(AT23-AO23&lt;0,AT23-AO23,0)+IF(AT24-AO24&lt;0,AT24-AO24,0)+IF(AT25-AO25&lt;0,AT25-AO25,0)+IF(AT26-AO26&lt;0,AT26-AO26,0)+IF(AT27-AO27&lt;0,AT27-AO27,0)+IF(AT28-AO28&lt;0,AT28-AO28,0)+IF(AT29-AO29&lt;0,AT29-AO29,0)+IF(AT30-AO30&lt;0,AT30-AO30,0)+IF(AT32-AO32&lt;0,AT32-AO32,0)+IF(AT33-AO33&lt;0,AT33-AO33,0)+IF(AT34-AO34&lt;0,AT34-AO34,0)+IF(AT35-AO35&lt;0,AT35-AO35,0)+IF(AT36-AO36&lt;0,AT36-AO36,0)+IF(AT37-AO37&lt;0,AT37-AO37,0)+IF(AT38-AO38&lt;0,AT38-AO38,0)+IF(AT39-AO39&lt;0,AT39-AO39,0)+IF(AT40-AO40&lt;0,AT40-AO40,0)+IF(AT41-AO41&lt;0,AT41-AO41,0)+IF(AT42-AO42&lt;0,AT42-AO42,0)+IF(AT43-AO43&lt;0,AT43-AO43,0)+IF(AT44-AO44&lt;0,AT44-AO44,0)+IF(AT45-AO45&lt;0,AT45-AO45,0)+IF(AT46-AO46&lt;0,AT46-AO46,0)+IF(AT47-AO47&lt;0,AT47-AO47,0)+IF(AT48-AO48&lt;0,AT48-AO48,0)+IF(AT49-AO49&lt;0,AT49-AO49,0)+IF(AT50-AO50&lt;0,AT50-AO50,0)+IF(AT51-AO51&lt;0,AT51-AO51,0)+IF(AT52-AO52&lt;0,AT52-AO52,0)+IF(AT54-AO54&lt;0,A5S4-AO54,0)+IF(AT55-AO55&lt;0,AT55-AO55,0)+IF(AT56-AO56&lt;0,AT56-AO56,0)+IF(AT57-AO57&lt;0,AT57-AO57,0)+IF(AT58-AO58&lt;0,AT58-AO58,0)+IF(AT59-AO59&lt;0,AT59-AO59,0)+IF(AT60-AO60&lt;0,AT60-AO60,0)+IF(AT31-AO31&lt;0,AT31-AO31,0)+IF(AT53-AO53&lt;0,AT53-AO53,0)</f>
        <v>-571</v>
      </c>
      <c r="AU68" s="107" cm="1">
        <f t="array" ref="AU68">IF(AU4-AT4&lt;0,AU4-AT4,0)+IF(AU5-AT5&lt;0,AU5-AT5,0)+IF(AU6-AT6&lt;0,AU6-AT6,0)+IF(AU7-AT7&lt;0,AU7-AT7,0)+IF(AU8-AT8&lt;0,AU8-AT8,0)+IF(AU9-AT9&lt;0,AU9-AT9,0)+IF(AU10-AT10&lt;0,AU10-AT10,0)+IF(AU11-AT11&lt;0,AU11-AT11,0)+IF(AU12-AT12&lt;0,AU12-AT12,0)+IF(AU13-AT13&lt;0,AU13-AT13,0)+IF(AU14-AT14&lt;0,AU14-AT14,0)+IF(AU15-AT15&lt;0,AU15-AT15,0)+IF(AU16-AT16&lt;0,AU16-AT16,0)+IF(AU17-AT17&lt;0,AU17-AT17,0)+IF(AU18-AT18&lt;0,AU18-AT18,0)+IF(AU19-AT19&lt;0,AU19-AT19,0)+IF(AU20-AT20&lt;0,AU20-AT20,0)+IF(AU21-AT21&lt;0,AU21-AT21,0)+IF(AU22-AT22&lt;0,AU22-AT22,0)+IF(AU23-AT23&lt;0,AU23-AT23,0)+IF(AU24-AT24&lt;0,AU24-AT24,0)+IF(AU25-AT25&lt;0,AU25-AT25,0)+IF(AU26-AT26&lt;0,AU26-AT26,0)+IF(AU27-AT27&lt;0,AU27-AT27,0)+IF(AU28-AT28&lt;0,AU28-AT28,0)+IF(AU29-AT29&lt;0,AU29-AT29,0)+IF(AU30-AT30&lt;0,AU30-AT30,0)+IF(AU32-AT32&lt;0,AU32-AT32,0)+IF(AU33-AT33&lt;0,AU33-AT33,0)+IF(AU34-AT34&lt;0,AU34-AT34,0)+IF(AU35-AT35&lt;0,AU35-AT35,0)+IF(AU36-AT36&lt;0,AU36-AT36,0)+IF(AU37-AT37&lt;0,AU37-AT37,0)+IF(AU38-AT38&lt;0,AU38-AT38,0)+IF(AU39-AT39&lt;0,AU39-AT39,0)+IF(AU40-AT40&lt;0,AU40-AT40,0)+IF(AU41-AT41&lt;0,AU41-AT41,0)+IF(AU42-AT42&lt;0,AU42-AT42,0)+IF(AU43-AT43&lt;0,AU43-AT43,0)+IF(AU44-AT44&lt;0,AU44-AT44,0)+IF(AU45-AT45&lt;0,AU45-AT45,0)+IF(AU46-AT46&lt;0,AU46-AT46,0)+IF(AU47-AT47&lt;0,AU47-AT47,0)+IF(AU48-AT48&lt;0,AU48-AT48,0)+IF(AU49-AT49&lt;0,AU49-AT49,0)+IF(AU50-AT50&lt;0,AU50-AT50,0)+IF(AU51-AT51&lt;0,AU51-AT51,0)+IF(AU52-AT52&lt;0,AU52-AT52,0)+IF(AU54-AT54&lt;0,A5S4-AT54,0)+IF(AU55-AT55&lt;0,AU55-AT55,0)+IF(AU56-AT56&lt;0,AU56-AT56,0)+IF(AU57-AT57&lt;0,AU57-AT57,0)+IF(AU58-AT58&lt;0,AU58-AT58,0)+IF(AU59-AT59&lt;0,AU59-AT59,0)+IF(AU60-AT60&lt;0,AU60-AT60,0)+IF(AU31-AT31&lt;0,AU31-AT31,0)+IF(AU53-AT53&lt;0,AU53-AT53,0)</f>
        <v>-959</v>
      </c>
      <c r="AV68" s="107" cm="1">
        <f t="array" ref="AV68">IF(AV4-AU4&lt;0,AV4-AU4,0)+IF(AV5-AU5&lt;0,AV5-AU5,0)+IF(AV6-AU6&lt;0,AV6-AU6,0)+IF(AV7-AU7&lt;0,AV7-AU7,0)+IF(AV8-AU8&lt;0,AV8-AU8,0)+IF(AV9-AU9&lt;0,AV9-AU9,0)+IF(AV10-AU10&lt;0,AV10-AU10,0)+IF(AV11-AU11&lt;0,AV11-AU11,0)+IF(AV12-AU12&lt;0,AV12-AU12,0)+IF(AV13-AU13&lt;0,AV13-AU13,0)+IF(AV14-AU14&lt;0,AV14-AU14,0)+IF(AV15-AU15&lt;0,AV15-AU15,0)+IF(AV16-AU16&lt;0,AV16-AU16,0)+IF(AV17-AU17&lt;0,AV17-AU17,0)+IF(AV18-AU18&lt;0,AV18-AU18,0)+IF(AV19-AU19&lt;0,AV19-AU19,0)+IF(AV20-AU20&lt;0,AV20-AU20,0)+IF(AV21-AU21&lt;0,AV21-AU21,0)+IF(AV22-AU22&lt;0,AV22-AU22,0)+IF(AV23-AU23&lt;0,AV23-AU23,0)+IF(AV24-AU24&lt;0,AV24-AU24,0)+IF(AV25-AU25&lt;0,AV25-AU25,0)+IF(AV26-AU26&lt;0,AV26-AU26,0)+IF(AV27-AU27&lt;0,AV27-AU27,0)+IF(AV28-AU28&lt;0,AV28-AU28,0)+IF(AV29-AU29&lt;0,AV29-AU29,0)+IF(AV30-AU30&lt;0,AV30-AU30,0)+IF(AV32-AU32&lt;0,AV32-AU32,0)+IF(AV33-AU33&lt;0,AV33-AU33,0)+IF(AV34-AU34&lt;0,AV34-AU34,0)+IF(AV35-AU35&lt;0,AV35-AU35,0)+IF(AV36-AU36&lt;0,AV36-AU36,0)+IF(AV37-AU37&lt;0,AV37-AU37,0)+IF(AV38-AU38&lt;0,AV38-AU38,0)+IF(AV39-AU39&lt;0,AV39-AU39,0)+IF(AV40-AU40&lt;0,AV40-AU40,0)+IF(AV41-AU41&lt;0,AV41-AU41,0)+IF(AV42-AU42&lt;0,AV42-AU42,0)+IF(AV43-AU43&lt;0,AV43-AU43,0)+IF(AV44-AU44&lt;0,AV44-AU44,0)+IF(AV45-AU45&lt;0,AV45-AU45,0)+IF(AV46-AU46&lt;0,AV46-AU46,0)+IF(AV47-AU47&lt;0,AV47-AU47,0)+IF(AV48-AU48&lt;0,AV48-AU48,0)+IF(AV49-AU49&lt;0,AV49-AU49,0)+IF(AV50-AU50&lt;0,AV50-AU50,0)+IF(AV51-AU51&lt;0,AV51-AU51,0)+IF(AV52-AU52&lt;0,AV52-AU52,0)+IF(AV54-AU54&lt;0,A5S4-AU54,0)+IF(AV55-AU55&lt;0,AV55-AU55,0)+IF(AV56-AU56&lt;0,AV56-AU56,0)+IF(AV57-AU57&lt;0,AV57-AU57,0)+IF(AV58-AU58&lt;0,AV58-AU58,0)+IF(AV59-AU59&lt;0,AV59-AU59,0)+IF(AV60-AU60&lt;0,AV60-AU60,0)+IF(AV31-AU31&lt;0,AV31-AU31,0)+IF(AV53-AU53&lt;0,AV53-AU53,0)</f>
        <v>-757</v>
      </c>
      <c r="AW68" s="107" cm="1">
        <f t="array" ref="AW68">IF(AW4-AV4&lt;0,AW4-AV4,0)+IF(AW5-AV5&lt;0,AW5-AV5,0)+IF(AW6-AV6&lt;0,AW6-AV6,0)+IF(AW7-AV7&lt;0,AW7-AV7,0)+IF(AW8-AV8&lt;0,AW8-AV8,0)+IF(AW9-AV9&lt;0,AW9-AV9,0)+IF(AW10-AV10&lt;0,AW10-AV10,0)+IF(AW11-AV11&lt;0,AW11-AV11,0)+IF(AW12-AV12&lt;0,AW12-AV12,0)+IF(AW13-AV13&lt;0,AW13-AV13,0)+IF(AW14-AV14&lt;0,AW14-AV14,0)+IF(AW15-AV15&lt;0,AW15-AV15,0)+IF(AW16-AV16&lt;0,AW16-AV16,0)+IF(AW17-AV17&lt;0,AW17-AV17,0)+IF(AW18-AV18&lt;0,AW18-AV18,0)+IF(AW19-AV19&lt;0,AW19-AV19,0)+IF(AW20-AV20&lt;0,AW20-AV20,0)+IF(AW21-AV21&lt;0,AW21-AV21,0)+IF(AW22-AV22&lt;0,AW22-AV22,0)+IF(AW23-AV23&lt;0,AW23-AV23,0)+IF(AW24-AV24&lt;0,AW24-AV24,0)+IF(AW25-AV25&lt;0,AW25-AV25,0)+IF(AW26-AV26&lt;0,AW26-AV26,0)+IF(AW27-AV27&lt;0,AW27-AV27,0)+IF(AW28-AV28&lt;0,AW28-AV28,0)+IF(AW29-AV29&lt;0,AW29-AV29,0)+IF(AW30-AV30&lt;0,AW30-AV30,0)+IF(AW32-AV32&lt;0,AW32-AV32,0)+IF(AW33-AV33&lt;0,AW33-AV33,0)+IF(AW34-AV34&lt;0,AW34-AV34,0)+IF(AW35-AV35&lt;0,AW35-AV35,0)+IF(AW36-AV36&lt;0,AW36-AV36,0)+IF(AW37-AV37&lt;0,AW37-AV37,0)+IF(AW38-AV38&lt;0,AW38-AV38,0)+IF(AW39-AV39&lt;0,AW39-AV39,0)+IF(AW40-AV40&lt;0,AW40-AV40,0)+IF(AW41-AV41&lt;0,AW41-AV41,0)+IF(AW42-AV42&lt;0,AW42-AV42,0)+IF(AW43-AV43&lt;0,AW43-AV43,0)+IF(AW44-AV44&lt;0,AW44-AV44,0)+IF(AW45-AV45&lt;0,AW45-AV45,0)+IF(AW46-AV46&lt;0,AW46-AV46,0)+IF(AW47-AV47&lt;0,AW47-AV47,0)+IF(AW48-AV48&lt;0,AW48-AV48,0)+IF(AW49-AV49&lt;0,AW49-AV49,0)+IF(AW50-AV50&lt;0,AW50-AV50,0)+IF(AW51-AV51&lt;0,AW51-AV51,0)+IF(AW52-AV52&lt;0,AW52-AV52,0)+IF(AW54-AV54&lt;0,A5S4-AV54,0)+IF(AW55-AV55&lt;0,AW55-AV55,0)+IF(AW56-AV56&lt;0,AW56-AV56,0)+IF(AW57-AV57&lt;0,AW57-AV57,0)+IF(AW58-AV58&lt;0,AW58-AV58,0)+IF(AW59-AV59&lt;0,AW59-AV59,0)+IF(AW60-AV60&lt;0,AW60-AV60,0)+IF(AW31-AV31&lt;0,AW31-AV31,0)+IF(AW53-AV53&lt;0,AW53-AV53,0)</f>
        <v>-6</v>
      </c>
      <c r="AX68" s="107" cm="1">
        <f t="array" ref="AX68">IF(AX4-AW4&lt;0,AX4-AW4,0)+IF(AX5-AW5&lt;0,AX5-AW5,0)+IF(AX6-AW6&lt;0,AX6-AW6,0)+IF(AX7-AW7&lt;0,AX7-AW7,0)+IF(AX8-AW8&lt;0,AX8-AW8,0)+IF(AX9-AW9&lt;0,AX9-AW9,0)+IF(AX10-AW10&lt;0,AX10-AW10,0)+IF(AX11-AW11&lt;0,AX11-AW11,0)+IF(AX12-AW12&lt;0,AX12-AW12,0)+IF(AX13-AW13&lt;0,AX13-AW13,0)+IF(AX14-AW14&lt;0,AX14-AW14,0)+IF(AX15-AW15&lt;0,AX15-AW15,0)+IF(AX16-AW16&lt;0,AX16-AW16,0)+IF(AX17-AW17&lt;0,AX17-AW17,0)+IF(AX18-AW18&lt;0,AX18-AW18,0)+IF(AX19-AW19&lt;0,AX19-AW19,0)+IF(AX20-AW20&lt;0,AX20-AW20,0)+IF(AX21-AW21&lt;0,AX21-AW21,0)+IF(AX22-AW22&lt;0,AX22-AW22,0)+IF(AX23-AW23&lt;0,AX23-AW23,0)+IF(AX24-AW24&lt;0,AX24-AW24,0)+IF(AX25-AW25&lt;0,AX25-AW25,0)+IF(AX26-AW26&lt;0,AX26-AW26,0)+IF(AX27-AW27&lt;0,AX27-AW27,0)+IF(AX28-AW28&lt;0,AX28-AW28,0)+IF(AX29-AW29&lt;0,AX29-AW29,0)+IF(AX30-AW30&lt;0,AX30-AW30,0)+IF(AX32-AW32&lt;0,AX32-AW32,0)+IF(AX33-AW33&lt;0,AX33-AW33,0)+IF(AX34-AW34&lt;0,AX34-AW34,0)+IF(AX35-AW35&lt;0,AX35-AW35,0)+IF(AX36-AW36&lt;0,AX36-AW36,0)+IF(AX37-AW37&lt;0,AX37-AW37,0)+IF(AX38-AW38&lt;0,AX38-AW38,0)+IF(AX39-AW39&lt;0,AX39-AW39,0)+IF(AX40-AW40&lt;0,AX40-AW40,0)+IF(AX41-AW41&lt;0,AX41-AW41,0)+IF(AX42-AW42&lt;0,AX42-AW42,0)+IF(AX43-AW43&lt;0,AX43-AW43,0)+IF(AX44-AW44&lt;0,AX44-AW44,0)+IF(AX45-AW45&lt;0,AX45-AW45,0)+IF(AX46-AW46&lt;0,AX46-AW46,0)+IF(AX47-AW47&lt;0,AX47-AW47,0)+IF(AX48-AW48&lt;0,AX48-AW48,0)+IF(AX49-AW49&lt;0,AX49-AW49,0)+IF(AX50-AW50&lt;0,AX50-AW50,0)+IF(AX51-AW51&lt;0,AX51-AW51,0)+IF(AX52-AW52&lt;0,AX52-AW52,0)+IF(AX54-AW54&lt;0,A5S4-AW54,0)+IF(AX55-AW55&lt;0,AX55-AW55,0)+IF(AX56-AW56&lt;0,AX56-AW56,0)+IF(AX57-AW57&lt;0,AX57-AW57,0)+IF(AX58-AW58&lt;0,AX58-AW58,0)+IF(AX59-AW59&lt;0,AX59-AW59,0)+IF(AX60-AW60&lt;0,AX60-AW60,0)+IF(AX31-AW31&lt;0,AX31-AW31,0)+IF(AX53-AW53&lt;0,AX53-AW53,0)</f>
        <v>-856</v>
      </c>
      <c r="AY68" s="111" cm="1">
        <f t="array" ref="AY68">IF(AY4-AT4&lt;0,AY4-AT4,0)+IF(AY5-AT5&lt;0,AY5-AT5,0)+IF(AY6-AT6&lt;0,AY6-AT6,0)+IF(AY7-AT7&lt;0,AY7-AT7,0)+IF(AY8-AT8&lt;0,AY8-AT8,0)+IF(AY9-AT9&lt;0,AY9-AT9,0)+IF(AY10-AT10&lt;0,AY10-AT10,0)+IF(AY11-AT11&lt;0,AY11-AT11,0)+IF(AY12-AT12&lt;0,AY12-AT12,0)+IF(AY13-AT13&lt;0,AY13-AT13,0)+IF(AY14-AT14&lt;0,AY14-AT14,0)+IF(AY15-AT15&lt;0,AY15-AT15,0)+IF(AY16-AT16&lt;0,AY16-AT16,0)+IF(AY17-AT17&lt;0,AY17-AT17,0)+IF(AY18-AT18&lt;0,AY18-AT18,0)+IF(AY19-AT19&lt;0,AY19-AT19,0)+IF(AY20-AT20&lt;0,AY20-AT20,0)+IF(AY21-AT21&lt;0,AY21-AT21,0)+IF(AY22-AT22&lt;0,AY22-AT22,0)+IF(AY23-AT23&lt;0,AY23-AT23,0)+IF(AY24-AT24&lt;0,AY24-AT24,0)+IF(AY25-AT25&lt;0,AY25-AT25,0)+IF(AY26-AT26&lt;0,AY26-AT26,0)+IF(AY27-AT27&lt;0,AY27-AT27,0)+IF(AY28-AT28&lt;0,AY28-AT28,0)+IF(AY29-AT29&lt;0,AY29-AT29,0)+IF(AY30-AT30&lt;0,AY30-AT30,0)+IF(AY32-AT32&lt;0,AY32-AT32,0)+IF(AY33-AT33&lt;0,AY33-AT33,0)+IF(AY34-AT34&lt;0,AY34-AT34,0)+IF(AY35-AT35&lt;0,AY35-AT35,0)+IF(AY36-AT36&lt;0,AY36-AT36,0)+IF(AY37-AT37&lt;0,AY37-AT37,0)+IF(AY38-AT38&lt;0,AY38-AT38,0)+IF(AY39-AT39&lt;0,AY39-AT39,0)+IF(AY40-AT40&lt;0,AY40-AT40,0)+IF(AY41-AT41&lt;0,AY41-AT41,0)+IF(AY42-AT42&lt;0,AY42-AT42,0)+IF(AY43-AT43&lt;0,AY43-AT43,0)+IF(AY44-AT44&lt;0,AY44-AT44,0)+IF(AY45-AT45&lt;0,AY45-AT45,0)+IF(AY46-AT46&lt;0,AY46-AT46,0)+IF(AY47-AT47&lt;0,AY47-AT47,0)+IF(AY48-AT48&lt;0,AY48-AT48,0)+IF(AY49-AT49&lt;0,AY49-AT49,0)+IF(AY50-AT50&lt;0,AY50-AT50,0)+IF(AY51-AT51&lt;0,AY51-AT51,0)+IF(AY52-AT52&lt;0,AY52-AT52,0)+IF(AY54-AT54&lt;0,A5S4-AT54,0)+IF(AY55-AT55&lt;0,AY55-AT55,0)+IF(AY56-AT56&lt;0,AY56-AT56,0)+IF(AY57-AT57&lt;0,AY57-AT57,0)+IF(AY58-AT58&lt;0,AY58-AT58,0)+IF(AY59-AT59&lt;0,AY59-AT59,0)+IF(AY60-AT60&lt;0,AY60-AT60,0)+IF(AY31-AT31&lt;0,AY31-AT31,0)+IF(AY53-AT53&lt;0,AY53-AT53,0)</f>
        <v>-2551</v>
      </c>
      <c r="AZ68" s="107" cm="1">
        <f t="array" ref="AZ68">IF(AZ4-AY4&lt;0,AZ4-AY4,0)+IF(AZ5-AY5&lt;0,AZ5-AY5,0)+IF(AZ6-AY6&lt;0,AZ6-AY6,0)+IF(AZ7-AY7&lt;0,AZ7-AY7,0)+IF(AZ8-AY8&lt;0,AZ8-AY8,0)+IF(AZ9-AY9&lt;0,AZ9-AY9,0)+IF(AZ10-AY10&lt;0,AZ10-AY10,0)+IF(AZ11-AY11&lt;0,AZ11-AY11,0)+IF(AZ12-AY12&lt;0,AZ12-AY12,0)+IF(AZ13-AY13&lt;0,AZ13-AY13,0)+IF(AZ14-AY14&lt;0,AZ14-AY14,0)+IF(AZ15-AY15&lt;0,AZ15-AY15,0)+IF(AZ16-AY16&lt;0,AZ16-AY16,0)+IF(AZ17-AY17&lt;0,AZ17-AY17,0)+IF(AZ18-AY18&lt;0,AZ18-AY18,0)+IF(AZ19-AY19&lt;0,AZ19-AY19,0)+IF(AZ20-AY20&lt;0,AZ20-AY20,0)+IF(AZ21-AY21&lt;0,AZ21-AY21,0)+IF(AZ22-AY22&lt;0,AZ22-AY22,0)+IF(AZ23-AY23&lt;0,AZ23-AY23,0)+IF(AZ24-AY24&lt;0,AZ24-AY24,0)+IF(AZ25-AY25&lt;0,AZ25-AY25,0)+IF(AZ26-AY26&lt;0,AZ26-AY26,0)+IF(AZ27-AY27&lt;0,AZ27-AY27,0)+IF(AZ28-AY28&lt;0,AZ28-AY28,0)+IF(AZ29-AY29&lt;0,AZ29-AY29,0)+IF(AZ30-AY30&lt;0,AZ30-AY30,0)+IF(AZ32-AY32&lt;0,AZ32-AY32,0)+IF(AZ33-AY33&lt;0,AZ33-AY33,0)+IF(AZ34-AY34&lt;0,AZ34-AY34,0)+IF(AZ35-AY35&lt;0,AZ35-AY35,0)+IF(AZ36-AY36&lt;0,AZ36-AY36,0)+IF(AZ37-AY37&lt;0,AZ37-AY37,0)+IF(AZ38-AY38&lt;0,AZ38-AY38,0)+IF(AZ39-AY39&lt;0,AZ39-AY39,0)+IF(AZ40-AY40&lt;0,AZ40-AY40,0)+IF(AZ41-AY41&lt;0,AZ41-AY41,0)+IF(AZ42-AY42&lt;0,AZ42-AY42,0)+IF(AZ43-AY43&lt;0,AZ43-AY43,0)+IF(AZ44-AY44&lt;0,AZ44-AY44,0)+IF(AZ45-AY45&lt;0,AZ45-AY45,0)+IF(AZ46-AY46&lt;0,AZ46-AY46,0)+IF(AZ47-AY47&lt;0,AZ47-AY47,0)+IF(AZ48-AY48&lt;0,AZ48-AY48,0)+IF(AZ49-AY49&lt;0,AZ49-AY49,0)+IF(AZ50-AY50&lt;0,AZ50-AY50,0)+IF(AZ51-AY51&lt;0,AZ51-AY51,0)+IF(AZ52-AY52&lt;0,AZ52-AY52,0)+IF(AZ54-AY54&lt;0,A5S4-AY54,0)+IF(AZ55-AY55&lt;0,AZ55-AY55,0)+IF(AZ56-AY56&lt;0,AZ56-AY56,0)+IF(AZ57-AY57&lt;0,AZ57-AY57,0)+IF(AZ58-AY58&lt;0,AZ58-AY58,0)+IF(AZ59-AY59&lt;0,AZ59-AY59,0)+IF(AZ60-AY60&lt;0,AZ60-AY60,0)+IF(AZ31-AY31&lt;0,AZ31-AY31,0)+IF(AZ53-AY53&lt;0,AZ53-AY53,0)</f>
        <v>-9</v>
      </c>
      <c r="BA68" s="107" cm="1">
        <f t="array" ref="BA68">IF(BA4-AZ4&lt;0,BA4-AZ4,0)+IF(BA5-AZ5&lt;0,BA5-AZ5,0)+IF(BA6-AZ6&lt;0,BA6-AZ6,0)+IF(BA7-AZ7&lt;0,BA7-AZ7,0)+IF(BA8-AZ8&lt;0,BA8-AZ8,0)+IF(BA9-AZ9&lt;0,BA9-AZ9,0)+IF(BA10-AZ10&lt;0,BA10-AZ10,0)+IF(BA11-AZ11&lt;0,BA11-AZ11,0)+IF(BA12-AZ12&lt;0,BA12-AZ12,0)+IF(BA13-AZ13&lt;0,BA13-AZ13,0)+IF(BA14-AZ14&lt;0,BA14-AZ14,0)+IF(BA15-AZ15&lt;0,BA15-AZ15,0)+IF(BA16-AZ16&lt;0,BA16-AZ16,0)+IF(BA17-AZ17&lt;0,BA17-AZ17,0)+IF(BA18-AZ18&lt;0,BA18-AZ18,0)+IF(BA19-AZ19&lt;0,BA19-AZ19,0)+IF(BA20-AZ20&lt;0,BA20-AZ20,0)+IF(BA21-AZ21&lt;0,BA21-AZ21,0)+IF(BA22-AZ22&lt;0,BA22-AZ22,0)+IF(BA23-AZ23&lt;0,BA23-AZ23,0)+IF(BA24-AZ24&lt;0,BA24-AZ24,0)+IF(BA25-AZ25&lt;0,BA25-AZ25,0)+IF(BA26-AZ26&lt;0,BA26-AZ26,0)+IF(BA27-AZ27&lt;0,BA27-AZ27,0)+IF(BA28-AZ28&lt;0,BA28-AZ28,0)+IF(BA29-AZ29&lt;0,BA29-AZ29,0)+IF(BA30-AZ30&lt;0,BA30-AZ30,0)+IF(BA32-AZ32&lt;0,BA32-AZ32,0)+IF(BA33-AZ33&lt;0,BA33-AZ33,0)+IF(BA34-AZ34&lt;0,BA34-AZ34,0)+IF(BA35-AZ35&lt;0,BA35-AZ35,0)+IF(BA36-AZ36&lt;0,BA36-AZ36,0)+IF(BA37-AZ37&lt;0,BA37-AZ37,0)+IF(BA38-AZ38&lt;0,BA38-AZ38,0)+IF(BA39-AZ39&lt;0,BA39-AZ39,0)+IF(BA40-AZ40&lt;0,BA40-AZ40,0)+IF(BA41-AZ41&lt;0,BA41-AZ41,0)+IF(BA42-AZ42&lt;0,BA42-AZ42,0)+IF(BA43-AZ43&lt;0,BA43-AZ43,0)+IF(BA44-AZ44&lt;0,BA44-AZ44,0)+IF(BA45-AZ45&lt;0,BA45-AZ45,0)+IF(BA46-AZ46&lt;0,BA46-AZ46,0)+IF(BA47-AZ47&lt;0,BA47-AZ47,0)+IF(BA48-AZ48&lt;0,BA48-AZ48,0)+IF(BA49-AZ49&lt;0,BA49-AZ49,0)+IF(BA50-AZ50&lt;0,BA50-AZ50,0)+IF(BA51-AZ51&lt;0,BA51-AZ51,0)+IF(BA52-AZ52&lt;0,BA52-AZ52,0)+IF(BA54-AZ54&lt;0,A5S4-AZ54,0)+IF(BA55-AZ55&lt;0,BA55-AZ55,0)+IF(BA56-AZ56&lt;0,BA56-AZ56,0)+IF(BA57-AZ57&lt;0,BA57-AZ57,0)+IF(BA58-AZ58&lt;0,BA58-AZ58,0)+IF(BA59-AZ59&lt;0,BA59-AZ59,0)+IF(BA60-AZ60&lt;0,BA60-AZ60,0)+IF(BA31-AZ31&lt;0,BA31-AZ31,0)+IF(BA53-AZ53&lt;0,BA53-AZ53,0)</f>
        <v>-781</v>
      </c>
      <c r="BB68" s="107" cm="1">
        <f t="array" ref="BB68">IF(BB4-BA4&lt;0,BB4-BA4,0)+IF(BB5-BA5&lt;0,BB5-BA5,0)+IF(BB6-BA6&lt;0,BB6-BA6,0)+IF(BB7-BA7&lt;0,BB7-BA7,0)+IF(BB8-BA8&lt;0,BB8-BA8,0)+IF(BB9-BA9&lt;0,BB9-BA9,0)+IF(BB10-BA10&lt;0,BB10-BA10,0)+IF(BB11-BA11&lt;0,BB11-BA11,0)+IF(BB12-BA12&lt;0,BB12-BA12,0)+IF(BB13-BA13&lt;0,BB13-BA13,0)+IF(BB14-BA14&lt;0,BB14-BA14,0)+IF(BB15-BA15&lt;0,BB15-BA15,0)+IF(BB16-BA16&lt;0,BB16-BA16,0)+IF(BB17-BA17&lt;0,BB17-BA17,0)+IF(BB18-BA18&lt;0,BB18-BA18,0)+IF(BB19-BA19&lt;0,BB19-BA19,0)+IF(BB20-BA20&lt;0,BB20-BA20,0)+IF(BB21-BA21&lt;0,BB21-BA21,0)+IF(BB22-BA22&lt;0,BB22-BA22,0)+IF(BB23-BA23&lt;0,BB23-BA23,0)+IF(BB24-BA24&lt;0,BB24-BA24,0)+IF(BB25-BA25&lt;0,BB25-BA25,0)+IF(BB26-BA26&lt;0,BB26-BA26,0)+IF(BB27-BA27&lt;0,BB27-BA27,0)+IF(BB28-BA28&lt;0,BB28-BA28,0)+IF(BB29-BA29&lt;0,BB29-BA29,0)+IF(BB30-BA30&lt;0,BB30-BA30,0)+IF(BB32-BA32&lt;0,BB32-BA32,0)+IF(BB33-BA33&lt;0,BB33-BA33,0)+IF(BB34-BA34&lt;0,BB34-BA34,0)+IF(BB35-BA35&lt;0,BB35-BA35,0)+IF(BB36-BA36&lt;0,BB36-BA36,0)+IF(BB37-BA37&lt;0,BB37-BA37,0)+IF(BB38-BA38&lt;0,BB38-BA38,0)+IF(BB39-BA39&lt;0,BB39-BA39,0)+IF(BB40-BA40&lt;0,BB40-BA40,0)+IF(BB41-BA41&lt;0,BB41-BA41,0)+IF(BB42-BA42&lt;0,BB42-BA42,0)+IF(BB43-BA43&lt;0,BB43-BA43,0)+IF(BB44-BA44&lt;0,BB44-BA44,0)+IF(BB45-BA45&lt;0,BB45-BA45,0)+IF(BB46-BA46&lt;0,BB46-BA46,0)+IF(BB47-BA47&lt;0,BB47-BA47,0)+IF(BB48-BA48&lt;0,BB48-BA48,0)+IF(BB49-BA49&lt;0,BB49-BA49,0)+IF(BB50-BA50&lt;0,BB50-BA50,0)+IF(BB51-BA51&lt;0,BB51-BA51,0)+IF(BB52-BA52&lt;0,BB52-BA52,0)+IF(BB54-BA54&lt;0,A5S4-BA54,0)+IF(BB55-BA55&lt;0,BB55-BA55,0)+IF(BB56-BA56&lt;0,BB56-BA56,0)+IF(BB57-BA57&lt;0,BB57-BA57,0)+IF(BB58-BA58&lt;0,BB58-BA58,0)+IF(BB59-BA59&lt;0,BB59-BA59,0)+IF(BB60-BA60&lt;0,BB60-BA60,0)+IF(BB31-BA31&lt;0,BB31-BA31,0)+IF(BB53-BA53&lt;0,BB53-BA53,0)</f>
        <v>-2934</v>
      </c>
      <c r="BC68" s="107" cm="1">
        <f t="array" ref="BC68">IF(BC4-BB4&lt;0,BC4-BB4,0)+IF(BC5-BB5&lt;0,BC5-BB5,0)+IF(BC6-BB6&lt;0,BC6-BB6,0)+IF(BC7-BB7&lt;0,BC7-BB7,0)+IF(BC8-BB8&lt;0,BC8-BB8,0)+IF(BC9-BB9&lt;0,BC9-BB9,0)+IF(BC10-BB10&lt;0,BC10-BB10,0)+IF(BC11-BB11&lt;0,BC11-BB11,0)+IF(BC12-BB12&lt;0,BC12-BB12,0)+IF(BC13-BB13&lt;0,BC13-BB13,0)+IF(BC14-BB14&lt;0,BC14-BB14,0)+IF(BC15-BB15&lt;0,BC15-BB15,0)+IF(BC16-BB16&lt;0,BC16-BB16,0)+IF(BC17-BB17&lt;0,BC17-BB17,0)+IF(BC18-BB18&lt;0,BC18-BB18,0)+IF(BC19-BB19&lt;0,BC19-BB19,0)+IF(BC20-BB20&lt;0,BC20-BB20,0)+IF(BC21-BB21&lt;0,BC21-BB21,0)+IF(BC22-BB22&lt;0,BC22-BB22,0)+IF(BC23-BB23&lt;0,BC23-BB23,0)+IF(BC24-BB24&lt;0,BC24-BB24,0)+IF(BC25-BB25&lt;0,BC25-BB25,0)+IF(BC26-BB26&lt;0,BC26-BB26,0)+IF(BC27-BB27&lt;0,BC27-BB27,0)+IF(BC28-BB28&lt;0,BC28-BB28,0)+IF(BC29-BB29&lt;0,BC29-BB29,0)+IF(BC30-BB30&lt;0,BC30-BB30,0)+IF(BC32-BB32&lt;0,BC32-BB32,0)+IF(BC33-BB33&lt;0,BC33-BB33,0)+IF(BC34-BB34&lt;0,BC34-BB34,0)+IF(BC35-BB35&lt;0,BC35-BB35,0)+IF(BC36-BB36&lt;0,BC36-BB36,0)+IF(BC37-BB37&lt;0,BC37-BB37,0)+IF(BC38-BB38&lt;0,BC38-BB38,0)+IF(BC39-BB39&lt;0,BC39-BB39,0)+IF(BC40-BB40&lt;0,BC40-BB40,0)+IF(BC41-BB41&lt;0,BC41-BB41,0)+IF(BC42-BB42&lt;0,BC42-BB42,0)+IF(BC43-BB43&lt;0,BC43-BB43,0)+IF(BC44-BB44&lt;0,BC44-BB44,0)+IF(BC45-BB45&lt;0,BC45-BB45,0)+IF(BC46-BB46&lt;0,BC46-BB46,0)+IF(BC47-BB47&lt;0,BC47-BB47,0)+IF(BC48-BB48&lt;0,BC48-BB48,0)+IF(BC49-BB49&lt;0,BC49-BB49,0)+IF(BC50-BB50&lt;0,BC50-BB50,0)+IF(BC51-BB51&lt;0,BC51-BB51,0)+IF(BC52-BB52&lt;0,BC52-BB52,0)+IF(BC54-BB54&lt;0,A5S4-BB54,0)+IF(BC55-BB55&lt;0,BC55-BB55,0)+IF(BC56-BB56&lt;0,BC56-BB56,0)+IF(BC57-BB57&lt;0,BC57-BB57,0)+IF(BC58-BB58&lt;0,BC58-BB58,0)+IF(BC59-BB59&lt;0,BC59-BB59,0)+IF(BC60-BB60&lt;0,BC60-BB60,0)+IF(BC31-BB31&lt;0,BC31-BB31,0)+IF(BC53-BB53&lt;0,BC53-BB53,0)</f>
        <v>-1144</v>
      </c>
      <c r="BD68" s="111" cm="1">
        <f t="array" ref="BD68">IF(BD4-AY4&lt;0,BD4-AY4,0)+IF(BD5-AY5&lt;0,BD5-AY5,0)+IF(BD6-AY6&lt;0,BD6-AY6,0)+IF(BD7-AY7&lt;0,BD7-AY7,0)+IF(BD8-AY8&lt;0,BD8-AY8,0)+IF(BD9-AY9&lt;0,BD9-AY9,0)+IF(BD10-AY10&lt;0,BD10-AY10,0)+IF(BD11-AY11&lt;0,BD11-AY11,0)+IF(BD12-AY12&lt;0,BD12-AY12,0)+IF(BD13-AY13&lt;0,BD13-AY13,0)+IF(BD14-AY14&lt;0,BD14-AY14,0)+IF(BD15-AY15&lt;0,BD15-AY15,0)+IF(BD16-AY16&lt;0,BD16-AY16,0)+IF(BD17-AY17&lt;0,BD17-AY17,0)+IF(BD18-AY18&lt;0,BD18-AY18,0)+IF(BD19-AY19&lt;0,BD19-AY19,0)+IF(BD20-AY20&lt;0,BD20-AY20,0)+IF(BD21-AY21&lt;0,BD21-AY21,0)+IF(BD22-AY22&lt;0,BD22-AY22,0)+IF(BD23-AY23&lt;0,BD23-AY23,0)+IF(BD24-AY24&lt;0,BD24-AY24,0)+IF(BD25-AY25&lt;0,BD25-AY25,0)+IF(BD26-AY26&lt;0,BD26-AY26,0)+IF(BD27-AY27&lt;0,BD27-AY27,0)+IF(BD28-AY28&lt;0,BD28-AY28,0)+IF(BD29-AY29&lt;0,BD29-AY29,0)+IF(BD30-AY30&lt;0,BD30-AY30,0)+IF(BD32-AY32&lt;0,BD32-AY32,0)+IF(BD33-AY33&lt;0,BD33-AY33,0)+IF(BD34-AY34&lt;0,BD34-AY34,0)+IF(BD35-AY35&lt;0,BD35-AY35,0)+IF(BD36-AY36&lt;0,BD36-AY36,0)+IF(BD37-AY37&lt;0,BD37-AY37,0)+IF(BD38-AY38&lt;0,BD38-AY38,0)+IF(BD39-AY39&lt;0,BD39-AY39,0)+IF(BD40-AY40&lt;0,BD40-AY40,0)+IF(BD41-AY41&lt;0,BD41-AY41,0)+IF(BD42-AY42&lt;0,BD42-AY42,0)+IF(BD43-AY43&lt;0,BD43-AY43,0)+IF(BD44-AY44&lt;0,BD44-AY44,0)+IF(BD45-AY45&lt;0,BD45-AY45,0)+IF(BD46-AY46&lt;0,BD46-AY46,0)+IF(BD47-AY47&lt;0,BD47-AY47,0)+IF(BD48-AY48&lt;0,BD48-AY48,0)+IF(BD49-AY49&lt;0,BD49-AY49,0)+IF(BD50-AY50&lt;0,BD50-AY50,0)+IF(BD51-AY51&lt;0,BD51-AY51,0)+IF(BD52-AY52&lt;0,BD52-AY52,0)+IF(BD54-AY54&lt;0,A5S4-AY54,0)+IF(BD55-AY55&lt;0,BD55-AY55,0)+IF(BD56-AY56&lt;0,BD56-AY56,0)+IF(BD57-AY57&lt;0,BD57-AY57,0)+IF(BD58-AY58&lt;0,BD58-AY58,0)+IF(BD59-AY59&lt;0,BD59-AY59,0)+IF(BD60-AY60&lt;0,BD60-AY60,0)+IF(BD31-AY31&lt;0,BD31-AY31,0)+IF(BD53-AY53&lt;0,BD53-AY53,0)</f>
        <v>-3436</v>
      </c>
      <c r="BE68" s="107" cm="1">
        <f t="array" ref="BE68">IF(BE4-BD4&lt;0,BE4-BD4,0)+IF(BE5-BD5&lt;0,BE5-BD5,0)+IF(BE6-BD6&lt;0,BE6-BD6,0)+IF(BE7-BD7&lt;0,BE7-BD7,0)+IF(BE8-BD8&lt;0,BE8-BD8,0)+IF(BE9-BD9&lt;0,BE9-BD9,0)+IF(BE10-BD10&lt;0,BE10-BD10,0)+IF(BE11-BD11&lt;0,BE11-BD11,0)+IF(BE12-BD12&lt;0,BE12-BD12,0)+IF(BE13-BD13&lt;0,BE13-BD13,0)+IF(BE14-BD14&lt;0,BE14-BD14,0)+IF(BE15-BD15&lt;0,BE15-BD15,0)+IF(BE16-BD16&lt;0,BE16-BD16,0)+IF(BE17-BD17&lt;0,BE17-BD17,0)+IF(BE18-BD18&lt;0,BE18-BD18,0)+IF(BE19-BD19&lt;0,BE19-BD19,0)+IF(BE20-BD20&lt;0,BE20-BD20,0)+IF(BE21-BD21&lt;0,BE21-BD21,0)+IF(BE22-BD22&lt;0,BE22-BD22,0)+IF(BE23-BD23&lt;0,BE23-BD23,0)+IF(BE24-BD24&lt;0,BE24-BD24,0)+IF(BE25-BD25&lt;0,BE25-BD25,0)+IF(BE26-BD26&lt;0,BE26-BD26,0)+IF(BE27-BD27&lt;0,BE27-BD27,0)+IF(BE28-BD28&lt;0,BE28-BD28,0)+IF(BE29-BD29&lt;0,BE29-BD29,0)+IF(BE30-BD30&lt;0,BE30-BD30,0)+IF(BE32-BD32&lt;0,BE32-BD32,0)+IF(BE33-BD33&lt;0,BE33-BD33,0)+IF(BE34-BD34&lt;0,BE34-BD34,0)+IF(BE35-BD35&lt;0,BE35-BD35,0)+IF(BE36-BD36&lt;0,BE36-BD36,0)+IF(BE37-BD37&lt;0,BE37-BD37,0)+IF(BE38-BD38&lt;0,BE38-BD38,0)+IF(BE39-BD39&lt;0,BE39-BD39,0)+IF(BE40-BD40&lt;0,BE40-BD40,0)+IF(BE41-BD41&lt;0,BE41-BD41,0)+IF(BE42-BD42&lt;0,BE42-BD42,0)+IF(BE43-BD43&lt;0,BE43-BD43,0)+IF(BE44-BD44&lt;0,BE44-BD44,0)+IF(BE45-BD45&lt;0,BE45-BD45,0)+IF(BE46-BD46&lt;0,BE46-BD46,0)+IF(BE47-BD47&lt;0,BE47-BD47,0)+IF(BE48-BD48&lt;0,BE48-BD48,0)+IF(BE49-BD49&lt;0,BE49-BD49,0)+IF(BE50-BD50&lt;0,BE50-BD50,0)+IF(BE51-BD51&lt;0,BE51-BD51,0)+IF(BE52-BD52&lt;0,BE52-BD52,0)+IF(BE54-BD54&lt;0,A5S4-BD54,0)+IF(BE55-BD55&lt;0,BE55-BD55,0)+IF(BE56-BD56&lt;0,BE56-BD56,0)+IF(BE57-BD57&lt;0,BE57-BD57,0)+IF(BE58-BD58&lt;0,BE58-BD58,0)+IF(BE59-BD59&lt;0,BE59-BD59,0)+IF(BE60-BD60&lt;0,BE60-BD60,0)+IF(BE31-BD31&lt;0,BE31-BD31,0)+IF(BE53-BD53&lt;0,BE53-BD53,0)</f>
        <v>-510</v>
      </c>
      <c r="BF68" s="107" cm="1">
        <f t="array" ref="BF68">IF(BF4-BE4&lt;0,BF4-BE4,0)+IF(BF5-BE5&lt;0,BF5-BE5,0)+IF(BF6-BE6&lt;0,BF6-BE6,0)+IF(BF7-BE7&lt;0,BF7-BE7,0)+IF(BF8-BE8&lt;0,BF8-BE8,0)+IF(BF9-BE9&lt;0,BF9-BE9,0)+IF(BF10-BE10&lt;0,BF10-BE10,0)+IF(BF11-BE11&lt;0,BF11-BE11,0)+IF(BF12-BE12&lt;0,BF12-BE12,0)+IF(BF13-BE13&lt;0,BF13-BE13,0)+IF(BF14-BE14&lt;0,BF14-BE14,0)+IF(BF15-BE15&lt;0,BF15-BE15,0)+IF(BF16-BE16&lt;0,BF16-BE16,0)+IF(BF17-BE17&lt;0,BF17-BE17,0)+IF(BF18-BE18&lt;0,BF18-BE18,0)+IF(BF19-BE19&lt;0,BF19-BE19,0)+IF(BF20-BE20&lt;0,BF20-BE20,0)+IF(BF21-BE21&lt;0,BF21-BE21,0)+IF(BF22-BE22&lt;0,BF22-BE22,0)+IF(BF23-BE23&lt;0,BF23-BE23,0)+IF(BF24-BE24&lt;0,BF24-BE24,0)+IF(BF25-BE25&lt;0,BF25-BE25,0)+IF(BF26-BE26&lt;0,BF26-BE26,0)+IF(BF27-BE27&lt;0,BF27-BE27,0)+IF(BF28-BE28&lt;0,BF28-BE28,0)+IF(BF29-BE29&lt;0,BF29-BE29,0)+IF(BF30-BE30&lt;0,BF30-BE30,0)+IF(BF32-BE32&lt;0,BF32-BE32,0)+IF(BF33-BE33&lt;0,BF33-BE33,0)+IF(BF34-BE34&lt;0,BF34-BE34,0)+IF(BF35-BE35&lt;0,BF35-BE35,0)+IF(BF36-BE36&lt;0,BF36-BE36,0)+IF(BF37-BE37&lt;0,BF37-BE37,0)+IF(BF38-BE38&lt;0,BF38-BE38,0)+IF(BF39-BE39&lt;0,BF39-BE39,0)+IF(BF40-BE40&lt;0,BF40-BE40,0)+IF(BF41-BE41&lt;0,BF41-BE41,0)+IF(BF42-BE42&lt;0,BF42-BE42,0)+IF(BF43-BE43&lt;0,BF43-BE43,0)+IF(BF44-BE44&lt;0,BF44-BE44,0)+IF(BF45-BE45&lt;0,BF45-BE45,0)+IF(BF46-BE46&lt;0,BF46-BE46,0)+IF(BF47-BE47&lt;0,BF47-BE47,0)+IF(BF48-BE48&lt;0,BF48-BE48,0)+IF(BF49-BE49&lt;0,BF49-BE49,0)+IF(BF50-BE50&lt;0,BF50-BE50,0)+IF(BF51-BE51&lt;0,BF51-BE51,0)+IF(BF52-BE52&lt;0,BF52-BE52,0)+IF(BF54-BE54&lt;0,A5S4-BE54,0)+IF(BF55-BE55&lt;0,BF55-BE55,0)+IF(BF56-BE56&lt;0,BF56-BE56,0)+IF(BF57-BE57&lt;0,BF57-BE57,0)+IF(BF58-BE58&lt;0,BF58-BE58,0)+IF(BF59-BE59&lt;0,BF59-BE59,0)+IF(BF60-BE60&lt;0,BF60-BE60,0)+IF(BF31-BE31&lt;0,BF31-BE31,0)+IF(BF53-BE53&lt;0,BF53-BE53,0)</f>
        <v>-31</v>
      </c>
      <c r="BG68" s="107" cm="1">
        <f t="array" ref="BG68">IF(BG4-BF4&lt;0,BG4-BF4,0)+IF(BG5-BF5&lt;0,BG5-BF5,0)+IF(BG6-BF6&lt;0,BG6-BF6,0)+IF(BG7-BF7&lt;0,BG7-BF7,0)+IF(BG8-BF8&lt;0,BG8-BF8,0)+IF(BG9-BF9&lt;0,BG9-BF9,0)+IF(BG10-BF10&lt;0,BG10-BF10,0)+IF(BG11-BF11&lt;0,BG11-BF11,0)+IF(BG12-BF12&lt;0,BG12-BF12,0)+IF(BG13-BF13&lt;0,BG13-BF13,0)+IF(BG14-BF14&lt;0,BG14-BF14,0)+IF(BG15-BF15&lt;0,BG15-BF15,0)+IF(BG16-BF16&lt;0,BG16-BF16,0)+IF(BG17-BF17&lt;0,BG17-BF17,0)+IF(BG18-BF18&lt;0,BG18-BF18,0)+IF(BG19-BF19&lt;0,BG19-BF19,0)+IF(BG20-BF20&lt;0,BG20-BF20,0)+IF(BG21-BF21&lt;0,BG21-BF21,0)+IF(BG22-BF22&lt;0,BG22-BF22,0)+IF(BG23-BF23&lt;0,BG23-BF23,0)+IF(BG24-BF24&lt;0,BG24-BF24,0)+IF(BG25-BF25&lt;0,BG25-BF25,0)+IF(BG26-BF26&lt;0,BG26-BF26,0)+IF(BG27-BF27&lt;0,BG27-BF27,0)+IF(BG28-BF28&lt;0,BG28-BF28,0)+IF(BG29-BF29&lt;0,BG29-BF29,0)+IF(BG30-BF30&lt;0,BG30-BF30,0)+IF(BG32-BF32&lt;0,BG32-BF32,0)+IF(BG33-BF33&lt;0,BG33-BF33,0)+IF(BG34-BF34&lt;0,BG34-BF34,0)+IF(BG35-BF35&lt;0,BG35-BF35,0)+IF(BG36-BF36&lt;0,BG36-BF36,0)+IF(BG37-BF37&lt;0,BG37-BF37,0)+IF(BG38-BF38&lt;0,BG38-BF38,0)+IF(BG39-BF39&lt;0,BG39-BF39,0)+IF(BG40-BF40&lt;0,BG40-BF40,0)+IF(BG41-BF41&lt;0,BG41-BF41,0)+IF(BG42-BF42&lt;0,BG42-BF42,0)+IF(BG43-BF43&lt;0,BG43-BF43,0)+IF(BG44-BF44&lt;0,BG44-BF44,0)+IF(BG45-BF45&lt;0,BG45-BF45,0)+IF(BG46-BF46&lt;0,BG46-BF46,0)+IF(BG47-BF47&lt;0,BG47-BF47,0)+IF(BG48-BF48&lt;0,BG48-BF48,0)+IF(BG49-BF49&lt;0,BG49-BF49,0)+IF(BG50-BF50&lt;0,BG50-BF50,0)+IF(BG51-BF51&lt;0,BG51-BF51,0)+IF(BG52-BF52&lt;0,BG52-BF52,0)+IF(BG54-BF54&lt;0,A5S4-BF54,0)+IF(BG55-BF55&lt;0,BG55-BF55,0)+IF(BG56-BF56&lt;0,BG56-BF56,0)+IF(BG57-BF57&lt;0,BG57-BF57,0)+IF(BG58-BF58&lt;0,BG58-BF58,0)+IF(BG59-BF59&lt;0,BG59-BF59,0)+IF(BG60-BF60&lt;0,BG60-BF60,0)+IF(BG31-BF31&lt;0,BG31-BF31,0)+IF(BG53-BF53&lt;0,BG53-BF53,0)</f>
        <v>0</v>
      </c>
      <c r="BH68" s="107" cm="1">
        <f t="array" ref="BH68">IF(BH4-BG4&lt;0,BH4-BG4,0)+IF(BH5-BG5&lt;0,BH5-BG5,0)+IF(BH6-BG6&lt;0,BH6-BG6,0)+IF(BH7-BG7&lt;0,BH7-BG7,0)+IF(BH8-BG8&lt;0,BH8-BG8,0)+IF(BH9-BG9&lt;0,BH9-BG9,0)+IF(BH10-BG10&lt;0,BH10-BG10,0)+IF(BH11-BG11&lt;0,BH11-BG11,0)+IF(BH12-BG12&lt;0,BH12-BG12,0)+IF(BH13-BG13&lt;0,BH13-BG13,0)+IF(BH14-BG14&lt;0,BH14-BG14,0)+IF(BH15-BG15&lt;0,BH15-BG15,0)+IF(BH16-BG16&lt;0,BH16-BG16,0)+IF(BH17-BG17&lt;0,BH17-BG17,0)+IF(BH18-BG18&lt;0,BH18-BG18,0)+IF(BH19-BG19&lt;0,BH19-BG19,0)+IF(BH20-BG20&lt;0,BH20-BG20,0)+IF(BH21-BG21&lt;0,BH21-BG21,0)+IF(BH22-BG22&lt;0,BH22-BG22,0)+IF(BH23-BG23&lt;0,BH23-BG23,0)+IF(BH24-BG24&lt;0,BH24-BG24,0)+IF(BH25-BG25&lt;0,BH25-BG25,0)+IF(BH26-BG26&lt;0,BH26-BG26,0)+IF(BH27-BG27&lt;0,BH27-BG27,0)+IF(BH28-BG28&lt;0,BH28-BG28,0)+IF(BH29-BG29&lt;0,BH29-BG29,0)+IF(BH30-BG30&lt;0,BH30-BG30,0)+IF(BH32-BG32&lt;0,BH32-BG32,0)+IF(BH33-BG33&lt;0,BH33-BG33,0)+IF(BH34-BG34&lt;0,BH34-BG34,0)+IF(BH35-BG35&lt;0,BH35-BG35,0)+IF(BH36-BG36&lt;0,BH36-BG36,0)+IF(BH37-BG37&lt;0,BH37-BG37,0)+IF(BH38-BG38&lt;0,BH38-BG38,0)+IF(BH39-BG39&lt;0,BH39-BG39,0)+IF(BH40-BG40&lt;0,BH40-BG40,0)+IF(BH41-BG41&lt;0,BH41-BG41,0)+IF(BH42-BG42&lt;0,BH42-BG42,0)+IF(BH43-BG43&lt;0,BH43-BG43,0)+IF(BH44-BG44&lt;0,BH44-BG44,0)+IF(BH45-BG45&lt;0,BH45-BG45,0)+IF(BH46-BG46&lt;0,BH46-BG46,0)+IF(BH47-BG47&lt;0,BH47-BG47,0)+IF(BH48-BG48&lt;0,BH48-BG48,0)+IF(BH49-BG49&lt;0,BH49-BG49,0)+IF(BH50-BG50&lt;0,BH50-BG50,0)+IF(BH51-BG51&lt;0,BH51-BG51,0)+IF(BH52-BG52&lt;0,BH52-BG52,0)+IF(BH54-BG54&lt;0,A5S4-BG54,0)+IF(BH55-BG55&lt;0,BH55-BG55,0)+IF(BH56-BG56&lt;0,BH56-BG56,0)+IF(BH57-BG57&lt;0,BH57-BG57,0)+IF(BH58-BG58&lt;0,BH58-BG58,0)+IF(BH59-BG59&lt;0,BH59-BG59,0)+IF(BH60-BG60&lt;0,BH60-BG60,0)+IF(BH31-BG31&lt;0,BH31-BG31,0)+IF(BH53-BG53&lt;0,BH53-BG53,0)</f>
        <v>-2869</v>
      </c>
      <c r="BI68" s="111" cm="1">
        <f t="array" ref="BI68">IF(BI4-BD4&lt;0,BI4-BD4,0)+IF(BI5-BD5&lt;0,BI5-BD5,0)+IF(BI6-BD6&lt;0,BI6-BD6,0)+IF(BI7-BD7&lt;0,BI7-BD7,0)+IF(BI8-BD8&lt;0,BI8-BD8,0)+IF(BI9-BD9&lt;0,BI9-BD9,0)+IF(BI10-BD10&lt;0,BI10-BD10,0)+IF(BI11-BD11&lt;0,BI11-BD11,0)+IF(BI12-BD12&lt;0,BI12-BD12,0)+IF(BI13-BD13&lt;0,BI13-BD13,0)+IF(BI14-BD14&lt;0,BI14-BD14,0)+IF(BI15-BD15&lt;0,BI15-BD15,0)+IF(BI16-BD16&lt;0,BI16-BD16,0)+IF(BI17-BD17&lt;0,BI17-BD17,0)+IF(BI18-BD18&lt;0,BI18-BD18,0)+IF(BI19-BD19&lt;0,BI19-BD19,0)+IF(BI20-BD20&lt;0,BI20-BD20,0)+IF(BI21-BD21&lt;0,BI21-BD21,0)+IF(BI22-BD22&lt;0,BI22-BD22,0)+IF(BI23-BD23&lt;0,BI23-BD23,0)+IF(BI24-BD24&lt;0,BI24-BD24,0)+IF(BI25-BD25&lt;0,BI25-BD25,0)+IF(BI26-BD26&lt;0,BI26-BD26,0)+IF(BI27-BD27&lt;0,BI27-BD27,0)+IF(BI28-BD28&lt;0,BI28-BD28,0)+IF(BI29-BD29&lt;0,BI29-BD29,0)+IF(BI30-BD30&lt;0,BI30-BD30,0)+IF(BI32-BD32&lt;0,BI32-BD32,0)+IF(BI33-BD33&lt;0,BI33-BD33,0)+IF(BI34-BD34&lt;0,BI34-BD34,0)+IF(BI35-BD35&lt;0,BI35-BD35,0)+IF(BI36-BD36&lt;0,BI36-BD36,0)+IF(BI37-BD37&lt;0,BI37-BD37,0)+IF(BI38-BD38&lt;0,BI38-BD38,0)+IF(BI39-BD39&lt;0,BI39-BD39,0)+IF(BI40-BD40&lt;0,BI40-BD40,0)+IF(BI41-BD41&lt;0,BI41-BD41,0)+IF(BI42-BD42&lt;0,BI42-BD42,0)+IF(BI43-BD43&lt;0,BI43-BD43,0)+IF(BI44-BD44&lt;0,BI44-BD44,0)+IF(BI45-BD45&lt;0,BI45-BD45,0)+IF(BI46-BD46&lt;0,BI46-BD46,0)+IF(BI47-BD47&lt;0,BI47-BD47,0)+IF(BI48-BD48&lt;0,BI48-BD48,0)+IF(BI49-BD49&lt;0,BI49-BD49,0)+IF(BI50-BD50&lt;0,BI50-BD50,0)+IF(BI51-BD51&lt;0,BI51-BD51,0)+IF(BI52-BD52&lt;0,BI52-BD52,0)+IF(BI54-BD54&lt;0,A5S4-BD54,0)+IF(BI55-BD55&lt;0,BI55-BD55,0)+IF(BI56-BD56&lt;0,BI56-BD56,0)+IF(BI57-BD57&lt;0,BI57-BD57,0)+IF(BI58-BD58&lt;0,BI58-BD58,0)+IF(BI59-BD59&lt;0,BI59-BD59,0)+IF(BI60-BD60&lt;0,BI60-BD60,0)+IF(BI31-BD31&lt;0,BI31-BD31,0)+IF(BI53-BD53&lt;0,BI53-BD53,0)</f>
        <v>-3410</v>
      </c>
      <c r="BJ68" s="21"/>
      <c r="BK68" s="21"/>
      <c r="BL68" s="21"/>
    </row>
    <row r="69" spans="1:64" s="25" customFormat="1">
      <c r="A69" s="11" t="s">
        <v>212</v>
      </c>
      <c r="E69" s="98"/>
      <c r="F69" s="111"/>
      <c r="J69" s="98"/>
      <c r="K69" s="111"/>
      <c r="O69" s="98"/>
      <c r="P69" s="111"/>
      <c r="Q69" s="96"/>
      <c r="R69" s="96"/>
      <c r="S69" s="96"/>
      <c r="T69" s="96"/>
      <c r="U69" s="97"/>
      <c r="V69" s="96"/>
      <c r="W69" s="96"/>
      <c r="X69" s="96"/>
      <c r="Y69" s="96"/>
      <c r="Z69" s="97"/>
      <c r="AA69" s="96"/>
      <c r="AB69" s="96"/>
      <c r="AC69" s="96">
        <f t="shared" ref="AC69:AF69" si="133">AC68+AC67</f>
        <v>0</v>
      </c>
      <c r="AD69" s="96">
        <f t="shared" si="133"/>
        <v>-927</v>
      </c>
      <c r="AE69" s="97">
        <f t="shared" si="133"/>
        <v>31769</v>
      </c>
      <c r="AF69" s="96">
        <f t="shared" si="133"/>
        <v>-333</v>
      </c>
      <c r="AG69" s="96">
        <f t="shared" ref="AG69:AJ69" si="134">AG68+AG67</f>
        <v>-249</v>
      </c>
      <c r="AH69" s="96">
        <f t="shared" si="134"/>
        <v>-214</v>
      </c>
      <c r="AI69" s="96">
        <f t="shared" si="134"/>
        <v>-469</v>
      </c>
      <c r="AJ69" s="97">
        <f t="shared" si="134"/>
        <v>-469</v>
      </c>
      <c r="AK69" s="96">
        <f t="shared" ref="AK69:AR69" si="135">AK68+AK67</f>
        <v>-15</v>
      </c>
      <c r="AL69" s="96">
        <f t="shared" si="135"/>
        <v>-31</v>
      </c>
      <c r="AM69" s="96">
        <f t="shared" si="135"/>
        <v>-45</v>
      </c>
      <c r="AN69" s="96">
        <f t="shared" si="135"/>
        <v>40</v>
      </c>
      <c r="AO69" s="97">
        <f t="shared" si="135"/>
        <v>-51</v>
      </c>
      <c r="AP69" s="96">
        <f t="shared" si="135"/>
        <v>3005</v>
      </c>
      <c r="AQ69" s="96">
        <f t="shared" si="135"/>
        <v>17</v>
      </c>
      <c r="AR69" s="96">
        <f t="shared" si="135"/>
        <v>-184</v>
      </c>
      <c r="AS69" s="96">
        <f t="shared" ref="AS69:AW69" si="136">AS68+AS67</f>
        <v>9110</v>
      </c>
      <c r="AT69" s="97">
        <f t="shared" si="136"/>
        <v>11948</v>
      </c>
      <c r="AU69" s="96">
        <f t="shared" si="136"/>
        <v>-959</v>
      </c>
      <c r="AV69" s="96">
        <f t="shared" si="136"/>
        <v>-755</v>
      </c>
      <c r="AW69" s="96">
        <f t="shared" si="136"/>
        <v>19</v>
      </c>
      <c r="AX69" s="96">
        <f t="shared" ref="AX69:BB69" si="137">AX68+AX67</f>
        <v>-856</v>
      </c>
      <c r="AY69" s="97">
        <f t="shared" si="137"/>
        <v>-2551</v>
      </c>
      <c r="AZ69" s="96">
        <f t="shared" si="137"/>
        <v>12</v>
      </c>
      <c r="BA69" s="96">
        <f t="shared" si="137"/>
        <v>690</v>
      </c>
      <c r="BB69" s="96">
        <f t="shared" si="137"/>
        <v>-2929</v>
      </c>
      <c r="BC69" s="96">
        <f t="shared" ref="BC69:BG69" si="138">BC68+BC67</f>
        <v>-1142</v>
      </c>
      <c r="BD69" s="97">
        <f t="shared" si="138"/>
        <v>-3369</v>
      </c>
      <c r="BE69" s="96">
        <f t="shared" si="138"/>
        <v>-510</v>
      </c>
      <c r="BF69" s="96">
        <f t="shared" si="138"/>
        <v>-31</v>
      </c>
      <c r="BG69" s="96">
        <f t="shared" si="138"/>
        <v>0</v>
      </c>
      <c r="BH69" s="96">
        <f t="shared" ref="BH69:BI69" si="139">BH68+BH67</f>
        <v>-2869</v>
      </c>
      <c r="BI69" s="97">
        <f t="shared" si="139"/>
        <v>-3410</v>
      </c>
      <c r="BJ69" s="21"/>
      <c r="BK69" s="21"/>
      <c r="BL69" s="21"/>
    </row>
    <row r="70" spans="1:64" s="25" customFormat="1">
      <c r="A70" s="11"/>
      <c r="E70" s="98"/>
      <c r="F70" s="111"/>
      <c r="J70" s="98"/>
      <c r="K70" s="111"/>
      <c r="O70" s="98"/>
      <c r="P70" s="111"/>
      <c r="T70" s="98"/>
      <c r="U70" s="111"/>
      <c r="Y70" s="98"/>
      <c r="Z70" s="111"/>
      <c r="AA70" s="21"/>
      <c r="AE70" s="26"/>
      <c r="AJ70" s="26"/>
      <c r="AO70" s="26"/>
      <c r="AT70" s="26"/>
      <c r="AY70" s="26"/>
      <c r="BD70" s="26"/>
      <c r="BI70" s="26"/>
      <c r="BJ70" s="21"/>
      <c r="BK70" s="21"/>
      <c r="BL70" s="21"/>
    </row>
    <row r="71" spans="1:64" s="25" customFormat="1">
      <c r="A71" s="8" t="s">
        <v>213</v>
      </c>
      <c r="B71" s="124"/>
      <c r="C71" s="124"/>
      <c r="D71" s="124"/>
      <c r="E71" s="124"/>
      <c r="F71" s="125"/>
      <c r="G71" s="124"/>
      <c r="H71" s="124"/>
      <c r="I71" s="124"/>
      <c r="J71" s="124"/>
      <c r="K71" s="125"/>
      <c r="L71" s="124"/>
      <c r="M71" s="124"/>
      <c r="N71" s="124"/>
      <c r="O71" s="124"/>
      <c r="P71" s="125"/>
      <c r="Q71" s="124"/>
      <c r="R71" s="124"/>
      <c r="S71" s="124"/>
      <c r="T71" s="124"/>
      <c r="U71" s="125"/>
      <c r="V71" s="124"/>
      <c r="W71" s="124"/>
      <c r="X71" s="124"/>
      <c r="Y71" s="124"/>
      <c r="Z71" s="125"/>
      <c r="AA71" s="124"/>
      <c r="AB71" s="124"/>
      <c r="AC71" s="124"/>
      <c r="AD71" s="124"/>
      <c r="AE71" s="125"/>
      <c r="AF71" s="124"/>
      <c r="AG71" s="124"/>
      <c r="AH71" s="124"/>
      <c r="AI71" s="124"/>
      <c r="AJ71" s="125"/>
      <c r="AK71" s="124"/>
      <c r="AL71" s="124"/>
      <c r="AM71" s="124"/>
      <c r="AN71" s="124"/>
      <c r="AO71" s="125"/>
      <c r="AP71" s="124"/>
      <c r="AQ71" s="124"/>
      <c r="AR71" s="124"/>
      <c r="AS71" s="124"/>
      <c r="AT71" s="125"/>
      <c r="AU71" s="124"/>
      <c r="AV71" s="124"/>
      <c r="AW71" s="124"/>
      <c r="AX71" s="124"/>
      <c r="AY71" s="125"/>
      <c r="AZ71" s="124"/>
      <c r="BA71" s="124"/>
      <c r="BB71" s="124"/>
      <c r="BC71" s="124"/>
      <c r="BD71" s="125"/>
      <c r="BE71" s="124"/>
      <c r="BF71" s="124"/>
      <c r="BG71" s="124"/>
      <c r="BH71" s="124"/>
      <c r="BI71" s="125"/>
      <c r="BJ71" s="21"/>
      <c r="BK71" s="21"/>
      <c r="BL71" s="21"/>
    </row>
    <row r="72" spans="1:64" s="25" customFormat="1">
      <c r="A72" s="3" t="str">
        <f t="shared" ref="A72:A80" si="140">A4</f>
        <v>3.125% Notes due 2020</v>
      </c>
      <c r="B72" s="217"/>
      <c r="C72" s="217"/>
      <c r="D72" s="217"/>
      <c r="E72" s="31"/>
      <c r="F72" s="218"/>
      <c r="G72" s="217"/>
      <c r="H72" s="217"/>
      <c r="I72" s="217"/>
      <c r="J72" s="31"/>
      <c r="K72" s="218"/>
      <c r="L72" s="217"/>
      <c r="M72" s="217"/>
      <c r="N72" s="217"/>
      <c r="O72" s="31"/>
      <c r="P72" s="220"/>
      <c r="Q72" s="31"/>
      <c r="R72" s="31"/>
      <c r="S72" s="31"/>
      <c r="T72" s="31"/>
      <c r="U72" s="220"/>
      <c r="V72" s="31"/>
      <c r="W72" s="31"/>
      <c r="X72" s="31"/>
      <c r="Y72" s="31"/>
      <c r="Z72" s="218"/>
      <c r="AA72" s="217"/>
      <c r="AB72" s="217">
        <v>3.125E-2</v>
      </c>
      <c r="AC72" s="217">
        <f t="shared" ref="AC72:AJ74" si="141">AB72</f>
        <v>3.125E-2</v>
      </c>
      <c r="AD72" s="217">
        <f t="shared" si="141"/>
        <v>3.125E-2</v>
      </c>
      <c r="AE72" s="220">
        <f t="shared" si="141"/>
        <v>3.125E-2</v>
      </c>
      <c r="AF72" s="217">
        <f t="shared" si="141"/>
        <v>3.125E-2</v>
      </c>
      <c r="AG72" s="217">
        <f t="shared" si="141"/>
        <v>3.125E-2</v>
      </c>
      <c r="AH72" s="217">
        <f t="shared" si="141"/>
        <v>3.125E-2</v>
      </c>
      <c r="AI72" s="217">
        <f t="shared" si="141"/>
        <v>3.125E-2</v>
      </c>
      <c r="AJ72" s="220">
        <f t="shared" si="141"/>
        <v>3.125E-2</v>
      </c>
      <c r="AK72" s="217">
        <f t="shared" ref="AK72:AK128" si="142">AJ72</f>
        <v>3.125E-2</v>
      </c>
      <c r="AL72" s="217">
        <f t="shared" ref="AL72:AL128" si="143">AK72</f>
        <v>3.125E-2</v>
      </c>
      <c r="AM72" s="217">
        <f t="shared" ref="AM72:AM128" si="144">AL72</f>
        <v>3.125E-2</v>
      </c>
      <c r="AN72" s="217">
        <f t="shared" ref="AN72:AO128" si="145">AM72</f>
        <v>3.125E-2</v>
      </c>
      <c r="AO72" s="220">
        <f t="shared" si="145"/>
        <v>3.125E-2</v>
      </c>
      <c r="AP72" s="217">
        <f t="shared" ref="AP72:AP128" si="146">AO72</f>
        <v>3.125E-2</v>
      </c>
      <c r="AQ72" s="217">
        <f t="shared" ref="AQ72:AQ128" si="147">AP72</f>
        <v>3.125E-2</v>
      </c>
      <c r="AR72" s="217">
        <f t="shared" ref="AR72:AR128" si="148">AQ72</f>
        <v>3.125E-2</v>
      </c>
      <c r="AS72" s="217">
        <f t="shared" ref="AS72:AS127" si="149">AR72</f>
        <v>3.125E-2</v>
      </c>
      <c r="AT72" s="220">
        <f t="shared" ref="AT72:AT128" si="150">AS72</f>
        <v>3.125E-2</v>
      </c>
      <c r="AU72" s="217">
        <f t="shared" ref="AU72:AU128" si="151">AT72</f>
        <v>3.125E-2</v>
      </c>
      <c r="AV72" s="217">
        <f t="shared" ref="AV72:AV128" si="152">AU72</f>
        <v>3.125E-2</v>
      </c>
      <c r="AW72" s="217">
        <f t="shared" ref="AW72:AW128" si="153">AV72</f>
        <v>3.125E-2</v>
      </c>
      <c r="AX72" s="217">
        <f t="shared" ref="AX72:AX131" si="154">AW72</f>
        <v>3.125E-2</v>
      </c>
      <c r="AY72" s="220">
        <f t="shared" ref="AY72:AY128" si="155">AX72</f>
        <v>3.125E-2</v>
      </c>
      <c r="AZ72" s="217">
        <f t="shared" ref="AZ72:AZ128" si="156">AY72</f>
        <v>3.125E-2</v>
      </c>
      <c r="BA72" s="217">
        <f t="shared" ref="BA72:BA128" si="157">AZ72</f>
        <v>3.125E-2</v>
      </c>
      <c r="BB72" s="217">
        <f t="shared" ref="BB72:BB128" si="158">BA72</f>
        <v>3.125E-2</v>
      </c>
      <c r="BC72" s="217">
        <f t="shared" ref="BC72:BC128" si="159">BB72</f>
        <v>3.125E-2</v>
      </c>
      <c r="BD72" s="220">
        <f t="shared" ref="BD72:BD128" si="160">BC72</f>
        <v>3.125E-2</v>
      </c>
      <c r="BE72" s="217">
        <f t="shared" ref="BE72:BE128" si="161">BD72</f>
        <v>3.125E-2</v>
      </c>
      <c r="BF72" s="217">
        <f t="shared" ref="BF72:BF128" si="162">BE72</f>
        <v>3.125E-2</v>
      </c>
      <c r="BG72" s="217">
        <f t="shared" ref="BG72:BG128" si="163">BF72</f>
        <v>3.125E-2</v>
      </c>
      <c r="BH72" s="217">
        <f t="shared" ref="BH72:BH128" si="164">BG72</f>
        <v>3.125E-2</v>
      </c>
      <c r="BI72" s="220">
        <f t="shared" ref="BI72:BI128" si="165">BH72</f>
        <v>3.125E-2</v>
      </c>
      <c r="BJ72" s="21"/>
      <c r="BK72" s="21"/>
      <c r="BL72" s="21"/>
    </row>
    <row r="73" spans="1:64" s="25" customFormat="1">
      <c r="A73" s="3" t="str">
        <f t="shared" si="140"/>
        <v>8.750% Notes due 2021</v>
      </c>
      <c r="B73" s="217"/>
      <c r="C73" s="217"/>
      <c r="D73" s="217"/>
      <c r="E73" s="31"/>
      <c r="F73" s="218"/>
      <c r="G73" s="217"/>
      <c r="H73" s="217"/>
      <c r="I73" s="217"/>
      <c r="J73" s="31"/>
      <c r="K73" s="218"/>
      <c r="L73" s="217"/>
      <c r="M73" s="217"/>
      <c r="N73" s="217"/>
      <c r="O73" s="31"/>
      <c r="P73" s="218"/>
      <c r="Q73" s="31"/>
      <c r="R73" s="31"/>
      <c r="S73" s="31"/>
      <c r="T73" s="31"/>
      <c r="U73" s="218"/>
      <c r="V73" s="31"/>
      <c r="W73" s="31"/>
      <c r="X73" s="31"/>
      <c r="Y73" s="31"/>
      <c r="Z73" s="218"/>
      <c r="AA73" s="217"/>
      <c r="AB73" s="217">
        <v>8.7499999999999994E-2</v>
      </c>
      <c r="AC73" s="217">
        <f t="shared" si="141"/>
        <v>8.7499999999999994E-2</v>
      </c>
      <c r="AD73" s="217">
        <f t="shared" si="141"/>
        <v>8.7499999999999994E-2</v>
      </c>
      <c r="AE73" s="220">
        <f t="shared" si="141"/>
        <v>8.7499999999999994E-2</v>
      </c>
      <c r="AF73" s="217">
        <f t="shared" si="141"/>
        <v>8.7499999999999994E-2</v>
      </c>
      <c r="AG73" s="217">
        <f t="shared" si="141"/>
        <v>8.7499999999999994E-2</v>
      </c>
      <c r="AH73" s="217">
        <f t="shared" si="141"/>
        <v>8.7499999999999994E-2</v>
      </c>
      <c r="AI73" s="217">
        <f t="shared" si="141"/>
        <v>8.7499999999999994E-2</v>
      </c>
      <c r="AJ73" s="220">
        <f t="shared" si="141"/>
        <v>8.7499999999999994E-2</v>
      </c>
      <c r="AK73" s="217">
        <f t="shared" si="142"/>
        <v>8.7499999999999994E-2</v>
      </c>
      <c r="AL73" s="217">
        <f t="shared" si="143"/>
        <v>8.7499999999999994E-2</v>
      </c>
      <c r="AM73" s="217">
        <f t="shared" si="144"/>
        <v>8.7499999999999994E-2</v>
      </c>
      <c r="AN73" s="217">
        <f t="shared" si="145"/>
        <v>8.7499999999999994E-2</v>
      </c>
      <c r="AO73" s="220">
        <f t="shared" si="145"/>
        <v>8.7499999999999994E-2</v>
      </c>
      <c r="AP73" s="217">
        <f t="shared" si="146"/>
        <v>8.7499999999999994E-2</v>
      </c>
      <c r="AQ73" s="217">
        <f t="shared" si="147"/>
        <v>8.7499999999999994E-2</v>
      </c>
      <c r="AR73" s="217">
        <f t="shared" si="148"/>
        <v>8.7499999999999994E-2</v>
      </c>
      <c r="AS73" s="217">
        <f t="shared" si="149"/>
        <v>8.7499999999999994E-2</v>
      </c>
      <c r="AT73" s="220">
        <f t="shared" si="150"/>
        <v>8.7499999999999994E-2</v>
      </c>
      <c r="AU73" s="217">
        <f t="shared" si="151"/>
        <v>8.7499999999999994E-2</v>
      </c>
      <c r="AV73" s="217">
        <f t="shared" si="152"/>
        <v>8.7499999999999994E-2</v>
      </c>
      <c r="AW73" s="217">
        <f t="shared" si="153"/>
        <v>8.7499999999999994E-2</v>
      </c>
      <c r="AX73" s="217">
        <f t="shared" si="154"/>
        <v>8.7499999999999994E-2</v>
      </c>
      <c r="AY73" s="220">
        <f t="shared" si="155"/>
        <v>8.7499999999999994E-2</v>
      </c>
      <c r="AZ73" s="217">
        <f t="shared" si="156"/>
        <v>8.7499999999999994E-2</v>
      </c>
      <c r="BA73" s="217">
        <f t="shared" si="157"/>
        <v>8.7499999999999994E-2</v>
      </c>
      <c r="BB73" s="217">
        <f t="shared" si="158"/>
        <v>8.7499999999999994E-2</v>
      </c>
      <c r="BC73" s="217">
        <f t="shared" si="159"/>
        <v>8.7499999999999994E-2</v>
      </c>
      <c r="BD73" s="220">
        <f t="shared" si="160"/>
        <v>8.7499999999999994E-2</v>
      </c>
      <c r="BE73" s="217">
        <f t="shared" si="161"/>
        <v>8.7499999999999994E-2</v>
      </c>
      <c r="BF73" s="217">
        <f t="shared" si="162"/>
        <v>8.7499999999999994E-2</v>
      </c>
      <c r="BG73" s="217">
        <f t="shared" si="163"/>
        <v>8.7499999999999994E-2</v>
      </c>
      <c r="BH73" s="217">
        <f t="shared" si="164"/>
        <v>8.7499999999999994E-2</v>
      </c>
      <c r="BI73" s="220">
        <f t="shared" si="165"/>
        <v>8.7499999999999994E-2</v>
      </c>
      <c r="BJ73" s="21"/>
      <c r="BK73" s="21"/>
      <c r="BL73" s="21"/>
    </row>
    <row r="74" spans="1:64" s="25" customFormat="1">
      <c r="A74" s="3" t="str">
        <f t="shared" si="140"/>
        <v>3.100% Notes due 2021</v>
      </c>
      <c r="B74" s="217"/>
      <c r="C74" s="217"/>
      <c r="D74" s="217"/>
      <c r="E74" s="31"/>
      <c r="F74" s="218"/>
      <c r="G74" s="217"/>
      <c r="H74" s="217"/>
      <c r="I74" s="217"/>
      <c r="J74" s="31"/>
      <c r="K74" s="218"/>
      <c r="L74" s="217"/>
      <c r="M74" s="217"/>
      <c r="N74" s="217"/>
      <c r="O74" s="31"/>
      <c r="P74" s="218"/>
      <c r="Q74" s="31"/>
      <c r="R74" s="31"/>
      <c r="S74" s="31"/>
      <c r="T74" s="31"/>
      <c r="U74" s="218"/>
      <c r="V74" s="31"/>
      <c r="W74" s="31"/>
      <c r="X74" s="31"/>
      <c r="Y74" s="31"/>
      <c r="Z74" s="218"/>
      <c r="AA74" s="217"/>
      <c r="AB74" s="217">
        <v>3.1E-2</v>
      </c>
      <c r="AC74" s="217">
        <f t="shared" si="141"/>
        <v>3.1E-2</v>
      </c>
      <c r="AD74" s="217">
        <f t="shared" si="141"/>
        <v>3.1E-2</v>
      </c>
      <c r="AE74" s="220">
        <f t="shared" si="141"/>
        <v>3.1E-2</v>
      </c>
      <c r="AF74" s="217">
        <f t="shared" si="141"/>
        <v>3.1E-2</v>
      </c>
      <c r="AG74" s="217">
        <f t="shared" si="141"/>
        <v>3.1E-2</v>
      </c>
      <c r="AH74" s="217">
        <f t="shared" si="141"/>
        <v>3.1E-2</v>
      </c>
      <c r="AI74" s="217">
        <f t="shared" si="141"/>
        <v>3.1E-2</v>
      </c>
      <c r="AJ74" s="220">
        <f t="shared" si="141"/>
        <v>3.1E-2</v>
      </c>
      <c r="AK74" s="217">
        <f t="shared" si="142"/>
        <v>3.1E-2</v>
      </c>
      <c r="AL74" s="217">
        <f t="shared" si="143"/>
        <v>3.1E-2</v>
      </c>
      <c r="AM74" s="217">
        <f t="shared" si="144"/>
        <v>3.1E-2</v>
      </c>
      <c r="AN74" s="217">
        <f t="shared" si="145"/>
        <v>3.1E-2</v>
      </c>
      <c r="AO74" s="220">
        <f t="shared" si="145"/>
        <v>3.1E-2</v>
      </c>
      <c r="AP74" s="217">
        <f t="shared" si="146"/>
        <v>3.1E-2</v>
      </c>
      <c r="AQ74" s="217">
        <f t="shared" si="147"/>
        <v>3.1E-2</v>
      </c>
      <c r="AR74" s="217">
        <f t="shared" si="148"/>
        <v>3.1E-2</v>
      </c>
      <c r="AS74" s="217">
        <f t="shared" si="149"/>
        <v>3.1E-2</v>
      </c>
      <c r="AT74" s="220">
        <f t="shared" si="150"/>
        <v>3.1E-2</v>
      </c>
      <c r="AU74" s="217">
        <f t="shared" si="151"/>
        <v>3.1E-2</v>
      </c>
      <c r="AV74" s="217">
        <f t="shared" si="152"/>
        <v>3.1E-2</v>
      </c>
      <c r="AW74" s="217">
        <f t="shared" si="153"/>
        <v>3.1E-2</v>
      </c>
      <c r="AX74" s="217">
        <f t="shared" si="154"/>
        <v>3.1E-2</v>
      </c>
      <c r="AY74" s="220">
        <f t="shared" si="155"/>
        <v>3.1E-2</v>
      </c>
      <c r="AZ74" s="217">
        <f t="shared" si="156"/>
        <v>3.1E-2</v>
      </c>
      <c r="BA74" s="217">
        <f t="shared" si="157"/>
        <v>3.1E-2</v>
      </c>
      <c r="BB74" s="217">
        <f t="shared" si="158"/>
        <v>3.1E-2</v>
      </c>
      <c r="BC74" s="217">
        <f t="shared" si="159"/>
        <v>3.1E-2</v>
      </c>
      <c r="BD74" s="220">
        <f t="shared" si="160"/>
        <v>3.1E-2</v>
      </c>
      <c r="BE74" s="217">
        <f t="shared" si="161"/>
        <v>3.1E-2</v>
      </c>
      <c r="BF74" s="217">
        <f t="shared" si="162"/>
        <v>3.1E-2</v>
      </c>
      <c r="BG74" s="217">
        <f t="shared" si="163"/>
        <v>3.1E-2</v>
      </c>
      <c r="BH74" s="217">
        <f t="shared" si="164"/>
        <v>3.1E-2</v>
      </c>
      <c r="BI74" s="220">
        <f t="shared" si="165"/>
        <v>3.1E-2</v>
      </c>
      <c r="BJ74" s="21"/>
      <c r="BK74" s="21"/>
      <c r="BL74" s="21"/>
    </row>
    <row r="75" spans="1:64" s="25" customFormat="1">
      <c r="A75" s="3" t="str">
        <f t="shared" si="140"/>
        <v>2.800% Notes due 2022</v>
      </c>
      <c r="B75" s="217"/>
      <c r="C75" s="217"/>
      <c r="D75" s="217"/>
      <c r="E75" s="31"/>
      <c r="F75" s="218"/>
      <c r="G75" s="217"/>
      <c r="H75" s="217"/>
      <c r="I75" s="217"/>
      <c r="J75" s="31"/>
      <c r="K75" s="218"/>
      <c r="L75" s="217"/>
      <c r="M75" s="217"/>
      <c r="N75" s="217"/>
      <c r="O75" s="31"/>
      <c r="P75" s="218"/>
      <c r="Q75" s="31"/>
      <c r="R75" s="31"/>
      <c r="S75" s="31"/>
      <c r="T75" s="31"/>
      <c r="U75" s="218"/>
      <c r="V75" s="31"/>
      <c r="W75" s="31"/>
      <c r="X75" s="31"/>
      <c r="Y75" s="31"/>
      <c r="Z75" s="218"/>
      <c r="AA75" s="217"/>
      <c r="AB75" s="217">
        <v>2.8000000000000001E-2</v>
      </c>
      <c r="AC75" s="217">
        <f t="shared" ref="AC75:AJ84" si="166">AB75</f>
        <v>2.8000000000000001E-2</v>
      </c>
      <c r="AD75" s="217">
        <f t="shared" si="166"/>
        <v>2.8000000000000001E-2</v>
      </c>
      <c r="AE75" s="220">
        <f t="shared" si="166"/>
        <v>2.8000000000000001E-2</v>
      </c>
      <c r="AF75" s="217">
        <f t="shared" si="166"/>
        <v>2.8000000000000001E-2</v>
      </c>
      <c r="AG75" s="217">
        <f t="shared" si="166"/>
        <v>2.8000000000000001E-2</v>
      </c>
      <c r="AH75" s="217">
        <f t="shared" si="166"/>
        <v>2.8000000000000001E-2</v>
      </c>
      <c r="AI75" s="217">
        <f t="shared" si="166"/>
        <v>2.8000000000000001E-2</v>
      </c>
      <c r="AJ75" s="220">
        <f t="shared" si="166"/>
        <v>2.8000000000000001E-2</v>
      </c>
      <c r="AK75" s="217">
        <f t="shared" si="142"/>
        <v>2.8000000000000001E-2</v>
      </c>
      <c r="AL75" s="217">
        <f t="shared" si="143"/>
        <v>2.8000000000000001E-2</v>
      </c>
      <c r="AM75" s="217">
        <f t="shared" si="144"/>
        <v>2.8000000000000001E-2</v>
      </c>
      <c r="AN75" s="217">
        <f t="shared" si="145"/>
        <v>2.8000000000000001E-2</v>
      </c>
      <c r="AO75" s="220">
        <f t="shared" si="145"/>
        <v>2.8000000000000001E-2</v>
      </c>
      <c r="AP75" s="217">
        <f t="shared" si="146"/>
        <v>2.8000000000000001E-2</v>
      </c>
      <c r="AQ75" s="217">
        <f t="shared" si="147"/>
        <v>2.8000000000000001E-2</v>
      </c>
      <c r="AR75" s="217">
        <f t="shared" si="148"/>
        <v>2.8000000000000001E-2</v>
      </c>
      <c r="AS75" s="217">
        <f t="shared" si="149"/>
        <v>2.8000000000000001E-2</v>
      </c>
      <c r="AT75" s="220">
        <f t="shared" si="150"/>
        <v>2.8000000000000001E-2</v>
      </c>
      <c r="AU75" s="217">
        <f t="shared" si="151"/>
        <v>2.8000000000000001E-2</v>
      </c>
      <c r="AV75" s="217">
        <f t="shared" si="152"/>
        <v>2.8000000000000001E-2</v>
      </c>
      <c r="AW75" s="217">
        <f t="shared" si="153"/>
        <v>2.8000000000000001E-2</v>
      </c>
      <c r="AX75" s="217">
        <f t="shared" si="154"/>
        <v>2.8000000000000001E-2</v>
      </c>
      <c r="AY75" s="220">
        <f t="shared" si="155"/>
        <v>2.8000000000000001E-2</v>
      </c>
      <c r="AZ75" s="217">
        <f t="shared" si="156"/>
        <v>2.8000000000000001E-2</v>
      </c>
      <c r="BA75" s="217">
        <f t="shared" si="157"/>
        <v>2.8000000000000001E-2</v>
      </c>
      <c r="BB75" s="217">
        <f t="shared" si="158"/>
        <v>2.8000000000000001E-2</v>
      </c>
      <c r="BC75" s="217">
        <f t="shared" si="159"/>
        <v>2.8000000000000001E-2</v>
      </c>
      <c r="BD75" s="220">
        <f t="shared" si="160"/>
        <v>2.8000000000000001E-2</v>
      </c>
      <c r="BE75" s="217">
        <f t="shared" si="161"/>
        <v>2.8000000000000001E-2</v>
      </c>
      <c r="BF75" s="217">
        <f t="shared" si="162"/>
        <v>2.8000000000000001E-2</v>
      </c>
      <c r="BG75" s="217">
        <f t="shared" si="163"/>
        <v>2.8000000000000001E-2</v>
      </c>
      <c r="BH75" s="217">
        <f t="shared" si="164"/>
        <v>2.8000000000000001E-2</v>
      </c>
      <c r="BI75" s="220">
        <f t="shared" si="165"/>
        <v>2.8000000000000001E-2</v>
      </c>
      <c r="BJ75" s="21"/>
      <c r="BK75" s="21"/>
      <c r="BL75" s="21"/>
    </row>
    <row r="76" spans="1:64" s="25" customFormat="1">
      <c r="A76" s="3" t="str">
        <f t="shared" si="140"/>
        <v>2.500% Notes due 2022</v>
      </c>
      <c r="B76" s="217"/>
      <c r="C76" s="217"/>
      <c r="D76" s="217"/>
      <c r="E76" s="31"/>
      <c r="F76" s="218"/>
      <c r="G76" s="217"/>
      <c r="H76" s="217"/>
      <c r="I76" s="217"/>
      <c r="J76" s="31"/>
      <c r="K76" s="218"/>
      <c r="L76" s="217"/>
      <c r="M76" s="217"/>
      <c r="N76" s="217"/>
      <c r="O76" s="31"/>
      <c r="P76" s="218"/>
      <c r="Q76" s="31"/>
      <c r="R76" s="31"/>
      <c r="S76" s="31"/>
      <c r="T76" s="31"/>
      <c r="U76" s="218"/>
      <c r="V76" s="31"/>
      <c r="W76" s="31"/>
      <c r="X76" s="31"/>
      <c r="Y76" s="31"/>
      <c r="Z76" s="218"/>
      <c r="AA76" s="217"/>
      <c r="AB76" s="217">
        <v>2.5000000000000001E-2</v>
      </c>
      <c r="AC76" s="217">
        <f t="shared" si="166"/>
        <v>2.5000000000000001E-2</v>
      </c>
      <c r="AD76" s="217">
        <f t="shared" si="166"/>
        <v>2.5000000000000001E-2</v>
      </c>
      <c r="AE76" s="220">
        <f t="shared" si="166"/>
        <v>2.5000000000000001E-2</v>
      </c>
      <c r="AF76" s="217">
        <f t="shared" si="166"/>
        <v>2.5000000000000001E-2</v>
      </c>
      <c r="AG76" s="217">
        <f t="shared" si="166"/>
        <v>2.5000000000000001E-2</v>
      </c>
      <c r="AH76" s="217">
        <f t="shared" si="166"/>
        <v>2.5000000000000001E-2</v>
      </c>
      <c r="AI76" s="217">
        <f t="shared" si="166"/>
        <v>2.5000000000000001E-2</v>
      </c>
      <c r="AJ76" s="220">
        <f t="shared" si="166"/>
        <v>2.5000000000000001E-2</v>
      </c>
      <c r="AK76" s="217">
        <f t="shared" si="142"/>
        <v>2.5000000000000001E-2</v>
      </c>
      <c r="AL76" s="217">
        <f t="shared" si="143"/>
        <v>2.5000000000000001E-2</v>
      </c>
      <c r="AM76" s="217">
        <f t="shared" si="144"/>
        <v>2.5000000000000001E-2</v>
      </c>
      <c r="AN76" s="217">
        <f t="shared" si="145"/>
        <v>2.5000000000000001E-2</v>
      </c>
      <c r="AO76" s="220">
        <f t="shared" si="145"/>
        <v>2.5000000000000001E-2</v>
      </c>
      <c r="AP76" s="217">
        <f t="shared" si="146"/>
        <v>2.5000000000000001E-2</v>
      </c>
      <c r="AQ76" s="217">
        <f t="shared" si="147"/>
        <v>2.5000000000000001E-2</v>
      </c>
      <c r="AR76" s="217">
        <f t="shared" si="148"/>
        <v>2.5000000000000001E-2</v>
      </c>
      <c r="AS76" s="217">
        <f t="shared" si="149"/>
        <v>2.5000000000000001E-2</v>
      </c>
      <c r="AT76" s="220">
        <f t="shared" si="150"/>
        <v>2.5000000000000001E-2</v>
      </c>
      <c r="AU76" s="217">
        <f t="shared" si="151"/>
        <v>2.5000000000000001E-2</v>
      </c>
      <c r="AV76" s="217">
        <f t="shared" si="152"/>
        <v>2.5000000000000001E-2</v>
      </c>
      <c r="AW76" s="217">
        <f t="shared" si="153"/>
        <v>2.5000000000000001E-2</v>
      </c>
      <c r="AX76" s="217">
        <f t="shared" si="154"/>
        <v>2.5000000000000001E-2</v>
      </c>
      <c r="AY76" s="220">
        <f t="shared" si="155"/>
        <v>2.5000000000000001E-2</v>
      </c>
      <c r="AZ76" s="217">
        <f t="shared" si="156"/>
        <v>2.5000000000000001E-2</v>
      </c>
      <c r="BA76" s="217">
        <f t="shared" si="157"/>
        <v>2.5000000000000001E-2</v>
      </c>
      <c r="BB76" s="217">
        <f t="shared" si="158"/>
        <v>2.5000000000000001E-2</v>
      </c>
      <c r="BC76" s="217">
        <f t="shared" si="159"/>
        <v>2.5000000000000001E-2</v>
      </c>
      <c r="BD76" s="220">
        <f t="shared" si="160"/>
        <v>2.5000000000000001E-2</v>
      </c>
      <c r="BE76" s="217">
        <f t="shared" si="161"/>
        <v>2.5000000000000001E-2</v>
      </c>
      <c r="BF76" s="217">
        <f t="shared" si="162"/>
        <v>2.5000000000000001E-2</v>
      </c>
      <c r="BG76" s="217">
        <f t="shared" si="163"/>
        <v>2.5000000000000001E-2</v>
      </c>
      <c r="BH76" s="217">
        <f t="shared" si="164"/>
        <v>2.5000000000000001E-2</v>
      </c>
      <c r="BI76" s="220">
        <f t="shared" si="165"/>
        <v>2.5000000000000001E-2</v>
      </c>
      <c r="BJ76" s="21"/>
      <c r="BK76" s="21"/>
      <c r="BL76" s="21"/>
    </row>
    <row r="77" spans="1:64" s="25" customFormat="1">
      <c r="A77" s="3" t="str">
        <f t="shared" si="140"/>
        <v xml:space="preserve">3.650% Notes due 2023 </v>
      </c>
      <c r="B77" s="217"/>
      <c r="C77" s="217"/>
      <c r="D77" s="217"/>
      <c r="E77" s="31"/>
      <c r="F77" s="218"/>
      <c r="G77" s="217"/>
      <c r="H77" s="217"/>
      <c r="I77" s="217"/>
      <c r="J77" s="31"/>
      <c r="K77" s="218"/>
      <c r="L77" s="217"/>
      <c r="M77" s="217"/>
      <c r="N77" s="217"/>
      <c r="O77" s="31"/>
      <c r="P77" s="218"/>
      <c r="Q77" s="31"/>
      <c r="R77" s="31"/>
      <c r="S77" s="31"/>
      <c r="T77" s="31"/>
      <c r="U77" s="218"/>
      <c r="V77" s="31"/>
      <c r="W77" s="31"/>
      <c r="X77" s="31"/>
      <c r="Y77" s="31"/>
      <c r="Z77" s="218"/>
      <c r="AA77" s="217"/>
      <c r="AB77" s="217">
        <v>3.6499999999999998E-2</v>
      </c>
      <c r="AC77" s="217">
        <f t="shared" si="166"/>
        <v>3.6499999999999998E-2</v>
      </c>
      <c r="AD77" s="217">
        <f t="shared" si="166"/>
        <v>3.6499999999999998E-2</v>
      </c>
      <c r="AE77" s="220">
        <f t="shared" si="166"/>
        <v>3.6499999999999998E-2</v>
      </c>
      <c r="AF77" s="217">
        <f t="shared" si="166"/>
        <v>3.6499999999999998E-2</v>
      </c>
      <c r="AG77" s="217">
        <f t="shared" si="166"/>
        <v>3.6499999999999998E-2</v>
      </c>
      <c r="AH77" s="217">
        <f t="shared" si="166"/>
        <v>3.6499999999999998E-2</v>
      </c>
      <c r="AI77" s="217">
        <f t="shared" si="166"/>
        <v>3.6499999999999998E-2</v>
      </c>
      <c r="AJ77" s="220">
        <f t="shared" si="166"/>
        <v>3.6499999999999998E-2</v>
      </c>
      <c r="AK77" s="217">
        <f t="shared" si="142"/>
        <v>3.6499999999999998E-2</v>
      </c>
      <c r="AL77" s="217">
        <f t="shared" si="143"/>
        <v>3.6499999999999998E-2</v>
      </c>
      <c r="AM77" s="217">
        <f t="shared" si="144"/>
        <v>3.6499999999999998E-2</v>
      </c>
      <c r="AN77" s="217">
        <f t="shared" si="145"/>
        <v>3.6499999999999998E-2</v>
      </c>
      <c r="AO77" s="220">
        <f t="shared" si="145"/>
        <v>3.6499999999999998E-2</v>
      </c>
      <c r="AP77" s="217">
        <f t="shared" si="146"/>
        <v>3.6499999999999998E-2</v>
      </c>
      <c r="AQ77" s="217">
        <f t="shared" si="147"/>
        <v>3.6499999999999998E-2</v>
      </c>
      <c r="AR77" s="217">
        <f t="shared" si="148"/>
        <v>3.6499999999999998E-2</v>
      </c>
      <c r="AS77" s="217">
        <f t="shared" si="149"/>
        <v>3.6499999999999998E-2</v>
      </c>
      <c r="AT77" s="220">
        <f t="shared" si="150"/>
        <v>3.6499999999999998E-2</v>
      </c>
      <c r="AU77" s="217">
        <f t="shared" si="151"/>
        <v>3.6499999999999998E-2</v>
      </c>
      <c r="AV77" s="217">
        <f t="shared" si="152"/>
        <v>3.6499999999999998E-2</v>
      </c>
      <c r="AW77" s="217">
        <f t="shared" si="153"/>
        <v>3.6499999999999998E-2</v>
      </c>
      <c r="AX77" s="217">
        <f t="shared" si="154"/>
        <v>3.6499999999999998E-2</v>
      </c>
      <c r="AY77" s="220">
        <f t="shared" si="155"/>
        <v>3.6499999999999998E-2</v>
      </c>
      <c r="AZ77" s="217">
        <f t="shared" si="156"/>
        <v>3.6499999999999998E-2</v>
      </c>
      <c r="BA77" s="217">
        <f t="shared" si="157"/>
        <v>3.6499999999999998E-2</v>
      </c>
      <c r="BB77" s="217">
        <f t="shared" si="158"/>
        <v>3.6499999999999998E-2</v>
      </c>
      <c r="BC77" s="217">
        <f t="shared" si="159"/>
        <v>3.6499999999999998E-2</v>
      </c>
      <c r="BD77" s="220">
        <f t="shared" si="160"/>
        <v>3.6499999999999998E-2</v>
      </c>
      <c r="BE77" s="217">
        <f t="shared" si="161"/>
        <v>3.6499999999999998E-2</v>
      </c>
      <c r="BF77" s="217">
        <f t="shared" si="162"/>
        <v>3.6499999999999998E-2</v>
      </c>
      <c r="BG77" s="217">
        <f t="shared" si="163"/>
        <v>3.6499999999999998E-2</v>
      </c>
      <c r="BH77" s="217">
        <f t="shared" si="164"/>
        <v>3.6499999999999998E-2</v>
      </c>
      <c r="BI77" s="220">
        <f t="shared" si="165"/>
        <v>3.6499999999999998E-2</v>
      </c>
      <c r="BJ77" s="21"/>
      <c r="BK77" s="21"/>
      <c r="BL77" s="21"/>
    </row>
    <row r="78" spans="1:64" s="25" customFormat="1">
      <c r="A78" s="3" t="str">
        <f t="shared" si="140"/>
        <v xml:space="preserve">3.700% Notes due 2023 </v>
      </c>
      <c r="B78" s="217"/>
      <c r="C78" s="217"/>
      <c r="D78" s="217"/>
      <c r="E78" s="31"/>
      <c r="F78" s="218"/>
      <c r="G78" s="217"/>
      <c r="H78" s="217"/>
      <c r="I78" s="217"/>
      <c r="J78" s="31"/>
      <c r="K78" s="218"/>
      <c r="L78" s="217"/>
      <c r="M78" s="217"/>
      <c r="N78" s="217"/>
      <c r="O78" s="31"/>
      <c r="P78" s="218"/>
      <c r="Q78" s="31"/>
      <c r="R78" s="31"/>
      <c r="S78" s="31"/>
      <c r="T78" s="31"/>
      <c r="U78" s="218"/>
      <c r="V78" s="31"/>
      <c r="W78" s="31"/>
      <c r="X78" s="31"/>
      <c r="Y78" s="31"/>
      <c r="Z78" s="218"/>
      <c r="AA78" s="217"/>
      <c r="AB78" s="217">
        <v>3.6999999999999998E-2</v>
      </c>
      <c r="AC78" s="217">
        <f t="shared" si="166"/>
        <v>3.6999999999999998E-2</v>
      </c>
      <c r="AD78" s="217">
        <f t="shared" si="166"/>
        <v>3.6999999999999998E-2</v>
      </c>
      <c r="AE78" s="220">
        <f t="shared" si="166"/>
        <v>3.6999999999999998E-2</v>
      </c>
      <c r="AF78" s="217">
        <f t="shared" si="166"/>
        <v>3.6999999999999998E-2</v>
      </c>
      <c r="AG78" s="217">
        <f t="shared" si="166"/>
        <v>3.6999999999999998E-2</v>
      </c>
      <c r="AH78" s="217">
        <f t="shared" si="166"/>
        <v>3.6999999999999998E-2</v>
      </c>
      <c r="AI78" s="217">
        <f t="shared" si="166"/>
        <v>3.6999999999999998E-2</v>
      </c>
      <c r="AJ78" s="220">
        <f t="shared" si="166"/>
        <v>3.6999999999999998E-2</v>
      </c>
      <c r="AK78" s="217">
        <f t="shared" si="142"/>
        <v>3.6999999999999998E-2</v>
      </c>
      <c r="AL78" s="217">
        <f t="shared" si="143"/>
        <v>3.6999999999999998E-2</v>
      </c>
      <c r="AM78" s="217">
        <f t="shared" si="144"/>
        <v>3.6999999999999998E-2</v>
      </c>
      <c r="AN78" s="217">
        <f t="shared" si="145"/>
        <v>3.6999999999999998E-2</v>
      </c>
      <c r="AO78" s="220">
        <f t="shared" si="145"/>
        <v>3.6999999999999998E-2</v>
      </c>
      <c r="AP78" s="217">
        <f t="shared" si="146"/>
        <v>3.6999999999999998E-2</v>
      </c>
      <c r="AQ78" s="217">
        <f t="shared" si="147"/>
        <v>3.6999999999999998E-2</v>
      </c>
      <c r="AR78" s="217">
        <f t="shared" si="148"/>
        <v>3.6999999999999998E-2</v>
      </c>
      <c r="AS78" s="217">
        <f t="shared" si="149"/>
        <v>3.6999999999999998E-2</v>
      </c>
      <c r="AT78" s="220">
        <f t="shared" si="150"/>
        <v>3.6999999999999998E-2</v>
      </c>
      <c r="AU78" s="217">
        <f t="shared" si="151"/>
        <v>3.6999999999999998E-2</v>
      </c>
      <c r="AV78" s="217">
        <f t="shared" si="152"/>
        <v>3.6999999999999998E-2</v>
      </c>
      <c r="AW78" s="217">
        <f t="shared" si="153"/>
        <v>3.6999999999999998E-2</v>
      </c>
      <c r="AX78" s="217">
        <f t="shared" si="154"/>
        <v>3.6999999999999998E-2</v>
      </c>
      <c r="AY78" s="220">
        <f t="shared" si="155"/>
        <v>3.6999999999999998E-2</v>
      </c>
      <c r="AZ78" s="217">
        <f t="shared" si="156"/>
        <v>3.6999999999999998E-2</v>
      </c>
      <c r="BA78" s="217">
        <f t="shared" si="157"/>
        <v>3.6999999999999998E-2</v>
      </c>
      <c r="BB78" s="217">
        <f t="shared" si="158"/>
        <v>3.6999999999999998E-2</v>
      </c>
      <c r="BC78" s="217">
        <f t="shared" si="159"/>
        <v>3.6999999999999998E-2</v>
      </c>
      <c r="BD78" s="220">
        <f t="shared" si="160"/>
        <v>3.6999999999999998E-2</v>
      </c>
      <c r="BE78" s="217">
        <f t="shared" si="161"/>
        <v>3.6999999999999998E-2</v>
      </c>
      <c r="BF78" s="217">
        <f t="shared" si="162"/>
        <v>3.6999999999999998E-2</v>
      </c>
      <c r="BG78" s="217">
        <f t="shared" si="163"/>
        <v>3.6999999999999998E-2</v>
      </c>
      <c r="BH78" s="217">
        <f t="shared" si="164"/>
        <v>3.6999999999999998E-2</v>
      </c>
      <c r="BI78" s="220">
        <f t="shared" si="165"/>
        <v>3.6999999999999998E-2</v>
      </c>
      <c r="BJ78" s="21"/>
      <c r="BK78" s="21"/>
      <c r="BL78" s="21"/>
    </row>
    <row r="79" spans="1:64" s="25" customFormat="1">
      <c r="A79" s="3" t="str">
        <f t="shared" si="140"/>
        <v xml:space="preserve">3.200% Notes due 2024 </v>
      </c>
      <c r="B79" s="217"/>
      <c r="C79" s="217"/>
      <c r="D79" s="217"/>
      <c r="E79" s="31"/>
      <c r="F79" s="218"/>
      <c r="G79" s="217"/>
      <c r="H79" s="217"/>
      <c r="I79" s="217"/>
      <c r="J79" s="31"/>
      <c r="K79" s="218"/>
      <c r="L79" s="217"/>
      <c r="M79" s="217"/>
      <c r="N79" s="217"/>
      <c r="O79" s="31"/>
      <c r="P79" s="218"/>
      <c r="Q79" s="31"/>
      <c r="R79" s="31"/>
      <c r="S79" s="31"/>
      <c r="T79" s="31"/>
      <c r="U79" s="218"/>
      <c r="V79" s="31"/>
      <c r="W79" s="31"/>
      <c r="X79" s="31"/>
      <c r="Y79" s="31"/>
      <c r="Z79" s="218"/>
      <c r="AA79" s="217"/>
      <c r="AB79" s="217">
        <v>3.2000000000000001E-2</v>
      </c>
      <c r="AC79" s="217">
        <f t="shared" si="166"/>
        <v>3.2000000000000001E-2</v>
      </c>
      <c r="AD79" s="217">
        <f t="shared" si="166"/>
        <v>3.2000000000000001E-2</v>
      </c>
      <c r="AE79" s="220">
        <f t="shared" si="166"/>
        <v>3.2000000000000001E-2</v>
      </c>
      <c r="AF79" s="217">
        <f t="shared" si="166"/>
        <v>3.2000000000000001E-2</v>
      </c>
      <c r="AG79" s="217">
        <f t="shared" si="166"/>
        <v>3.2000000000000001E-2</v>
      </c>
      <c r="AH79" s="217">
        <f t="shared" si="166"/>
        <v>3.2000000000000001E-2</v>
      </c>
      <c r="AI79" s="217">
        <f t="shared" si="166"/>
        <v>3.2000000000000001E-2</v>
      </c>
      <c r="AJ79" s="220">
        <f t="shared" si="166"/>
        <v>3.2000000000000001E-2</v>
      </c>
      <c r="AK79" s="217">
        <f t="shared" si="142"/>
        <v>3.2000000000000001E-2</v>
      </c>
      <c r="AL79" s="217">
        <f t="shared" si="143"/>
        <v>3.2000000000000001E-2</v>
      </c>
      <c r="AM79" s="217">
        <f t="shared" si="144"/>
        <v>3.2000000000000001E-2</v>
      </c>
      <c r="AN79" s="217">
        <f t="shared" si="145"/>
        <v>3.2000000000000001E-2</v>
      </c>
      <c r="AO79" s="220">
        <f t="shared" si="145"/>
        <v>3.2000000000000001E-2</v>
      </c>
      <c r="AP79" s="217">
        <f t="shared" si="146"/>
        <v>3.2000000000000001E-2</v>
      </c>
      <c r="AQ79" s="217">
        <f t="shared" si="147"/>
        <v>3.2000000000000001E-2</v>
      </c>
      <c r="AR79" s="217">
        <f t="shared" si="148"/>
        <v>3.2000000000000001E-2</v>
      </c>
      <c r="AS79" s="217">
        <f t="shared" si="149"/>
        <v>3.2000000000000001E-2</v>
      </c>
      <c r="AT79" s="220">
        <f t="shared" si="150"/>
        <v>3.2000000000000001E-2</v>
      </c>
      <c r="AU79" s="217">
        <f t="shared" si="151"/>
        <v>3.2000000000000001E-2</v>
      </c>
      <c r="AV79" s="217">
        <f t="shared" si="152"/>
        <v>3.2000000000000001E-2</v>
      </c>
      <c r="AW79" s="217">
        <f t="shared" si="153"/>
        <v>3.2000000000000001E-2</v>
      </c>
      <c r="AX79" s="217">
        <f t="shared" si="154"/>
        <v>3.2000000000000001E-2</v>
      </c>
      <c r="AY79" s="220">
        <f t="shared" si="155"/>
        <v>3.2000000000000001E-2</v>
      </c>
      <c r="AZ79" s="217">
        <f t="shared" si="156"/>
        <v>3.2000000000000001E-2</v>
      </c>
      <c r="BA79" s="217">
        <f t="shared" si="157"/>
        <v>3.2000000000000001E-2</v>
      </c>
      <c r="BB79" s="217">
        <f t="shared" si="158"/>
        <v>3.2000000000000001E-2</v>
      </c>
      <c r="BC79" s="217">
        <f t="shared" si="159"/>
        <v>3.2000000000000001E-2</v>
      </c>
      <c r="BD79" s="220">
        <f t="shared" si="160"/>
        <v>3.2000000000000001E-2</v>
      </c>
      <c r="BE79" s="217">
        <f t="shared" si="161"/>
        <v>3.2000000000000001E-2</v>
      </c>
      <c r="BF79" s="217">
        <f t="shared" si="162"/>
        <v>3.2000000000000001E-2</v>
      </c>
      <c r="BG79" s="217">
        <f t="shared" si="163"/>
        <v>3.2000000000000001E-2</v>
      </c>
      <c r="BH79" s="217">
        <f t="shared" si="164"/>
        <v>3.2000000000000001E-2</v>
      </c>
      <c r="BI79" s="220">
        <f t="shared" si="165"/>
        <v>3.2000000000000001E-2</v>
      </c>
      <c r="BJ79" s="21"/>
      <c r="BK79" s="21"/>
      <c r="BL79" s="21"/>
    </row>
    <row r="80" spans="1:64" s="25" customFormat="1">
      <c r="A80" s="3" t="str">
        <f t="shared" si="140"/>
        <v>3.150% Notes due 2024</v>
      </c>
      <c r="B80" s="217"/>
      <c r="C80" s="217"/>
      <c r="D80" s="217"/>
      <c r="E80" s="31"/>
      <c r="F80" s="218"/>
      <c r="G80" s="217"/>
      <c r="H80" s="217"/>
      <c r="I80" s="217"/>
      <c r="J80" s="31"/>
      <c r="K80" s="218"/>
      <c r="L80" s="217"/>
      <c r="M80" s="217"/>
      <c r="N80" s="217"/>
      <c r="O80" s="31"/>
      <c r="P80" s="218"/>
      <c r="Q80" s="31"/>
      <c r="R80" s="31"/>
      <c r="S80" s="31"/>
      <c r="T80" s="31"/>
      <c r="U80" s="218"/>
      <c r="V80" s="31"/>
      <c r="W80" s="31"/>
      <c r="X80" s="31"/>
      <c r="Y80" s="31"/>
      <c r="Z80" s="218"/>
      <c r="AA80" s="217"/>
      <c r="AB80" s="217">
        <v>3.15E-2</v>
      </c>
      <c r="AC80" s="217">
        <f t="shared" si="166"/>
        <v>3.15E-2</v>
      </c>
      <c r="AD80" s="217">
        <f t="shared" si="166"/>
        <v>3.15E-2</v>
      </c>
      <c r="AE80" s="220">
        <f t="shared" si="166"/>
        <v>3.15E-2</v>
      </c>
      <c r="AF80" s="217">
        <f t="shared" si="166"/>
        <v>3.15E-2</v>
      </c>
      <c r="AG80" s="217">
        <f t="shared" si="166"/>
        <v>3.15E-2</v>
      </c>
      <c r="AH80" s="217">
        <f t="shared" si="166"/>
        <v>3.15E-2</v>
      </c>
      <c r="AI80" s="217">
        <f t="shared" si="166"/>
        <v>3.15E-2</v>
      </c>
      <c r="AJ80" s="220">
        <f t="shared" si="166"/>
        <v>3.15E-2</v>
      </c>
      <c r="AK80" s="217">
        <f t="shared" si="142"/>
        <v>3.15E-2</v>
      </c>
      <c r="AL80" s="217">
        <f t="shared" si="143"/>
        <v>3.15E-2</v>
      </c>
      <c r="AM80" s="217">
        <f t="shared" si="144"/>
        <v>3.15E-2</v>
      </c>
      <c r="AN80" s="217">
        <f t="shared" si="145"/>
        <v>3.15E-2</v>
      </c>
      <c r="AO80" s="220">
        <f t="shared" si="145"/>
        <v>3.15E-2</v>
      </c>
      <c r="AP80" s="217">
        <f t="shared" si="146"/>
        <v>3.15E-2</v>
      </c>
      <c r="AQ80" s="217">
        <f t="shared" si="147"/>
        <v>3.15E-2</v>
      </c>
      <c r="AR80" s="217">
        <f t="shared" si="148"/>
        <v>3.15E-2</v>
      </c>
      <c r="AS80" s="217">
        <f t="shared" si="149"/>
        <v>3.15E-2</v>
      </c>
      <c r="AT80" s="220">
        <f t="shared" si="150"/>
        <v>3.15E-2</v>
      </c>
      <c r="AU80" s="217">
        <f t="shared" si="151"/>
        <v>3.15E-2</v>
      </c>
      <c r="AV80" s="217">
        <f t="shared" si="152"/>
        <v>3.15E-2</v>
      </c>
      <c r="AW80" s="217">
        <f t="shared" si="153"/>
        <v>3.15E-2</v>
      </c>
      <c r="AX80" s="217">
        <f t="shared" si="154"/>
        <v>3.15E-2</v>
      </c>
      <c r="AY80" s="220">
        <f t="shared" si="155"/>
        <v>3.15E-2</v>
      </c>
      <c r="AZ80" s="217">
        <f t="shared" si="156"/>
        <v>3.15E-2</v>
      </c>
      <c r="BA80" s="217">
        <f t="shared" si="157"/>
        <v>3.15E-2</v>
      </c>
      <c r="BB80" s="217">
        <f t="shared" si="158"/>
        <v>3.15E-2</v>
      </c>
      <c r="BC80" s="217">
        <f t="shared" si="159"/>
        <v>3.15E-2</v>
      </c>
      <c r="BD80" s="220">
        <f t="shared" si="160"/>
        <v>3.15E-2</v>
      </c>
      <c r="BE80" s="217">
        <f t="shared" si="161"/>
        <v>3.15E-2</v>
      </c>
      <c r="BF80" s="217">
        <f t="shared" si="162"/>
        <v>3.15E-2</v>
      </c>
      <c r="BG80" s="217">
        <f t="shared" si="163"/>
        <v>3.15E-2</v>
      </c>
      <c r="BH80" s="217">
        <f t="shared" si="164"/>
        <v>3.15E-2</v>
      </c>
      <c r="BI80" s="220">
        <f t="shared" si="165"/>
        <v>3.15E-2</v>
      </c>
      <c r="BJ80" s="21"/>
      <c r="BK80" s="21"/>
      <c r="BL80" s="21"/>
    </row>
    <row r="81" spans="1:64" s="25" customFormat="1">
      <c r="A81" s="525" t="s">
        <v>471</v>
      </c>
      <c r="B81" s="217"/>
      <c r="C81" s="217"/>
      <c r="D81" s="217"/>
      <c r="E81" s="31"/>
      <c r="F81" s="218"/>
      <c r="G81" s="217"/>
      <c r="H81" s="217"/>
      <c r="I81" s="217"/>
      <c r="J81" s="31"/>
      <c r="K81" s="218"/>
      <c r="L81" s="217"/>
      <c r="M81" s="217"/>
      <c r="N81" s="217"/>
      <c r="O81" s="31"/>
      <c r="P81" s="218"/>
      <c r="Q81" s="31"/>
      <c r="R81" s="31"/>
      <c r="S81" s="31"/>
      <c r="T81" s="31"/>
      <c r="U81" s="218"/>
      <c r="V81" s="31"/>
      <c r="W81" s="31"/>
      <c r="X81" s="31"/>
      <c r="Y81" s="31"/>
      <c r="Z81" s="218"/>
      <c r="AA81" s="217"/>
      <c r="AB81" s="217"/>
      <c r="AC81" s="217"/>
      <c r="AD81" s="217"/>
      <c r="AE81" s="220"/>
      <c r="AF81" s="217">
        <v>0</v>
      </c>
      <c r="AG81" s="217"/>
      <c r="AH81" s="217"/>
      <c r="AI81" s="217"/>
      <c r="AJ81" s="220"/>
      <c r="AK81" s="217"/>
      <c r="AL81" s="217"/>
      <c r="AM81" s="217"/>
      <c r="AN81" s="217"/>
      <c r="AO81" s="220"/>
      <c r="AP81" s="217">
        <v>0</v>
      </c>
      <c r="AQ81" s="217">
        <v>0</v>
      </c>
      <c r="AR81" s="217">
        <v>0</v>
      </c>
      <c r="AS81" s="217">
        <v>1.225E-2</v>
      </c>
      <c r="AT81" s="220">
        <f t="shared" si="150"/>
        <v>1.225E-2</v>
      </c>
      <c r="AU81" s="217">
        <f>AT81+AU130</f>
        <v>6.5250000000000002E-2</v>
      </c>
      <c r="AV81" s="217">
        <f t="shared" ref="AV81" si="167">AU81</f>
        <v>6.5250000000000002E-2</v>
      </c>
      <c r="AW81" s="217">
        <f t="shared" ref="AW81" si="168">AV81</f>
        <v>6.5250000000000002E-2</v>
      </c>
      <c r="AX81" s="217">
        <f t="shared" ref="AX81" si="169">AW81</f>
        <v>6.5250000000000002E-2</v>
      </c>
      <c r="AY81" s="220">
        <f t="shared" ref="AY81" si="170">AX81</f>
        <v>6.5250000000000002E-2</v>
      </c>
      <c r="AZ81" s="217">
        <f t="shared" si="156"/>
        <v>6.5250000000000002E-2</v>
      </c>
      <c r="BA81" s="217">
        <f t="shared" si="157"/>
        <v>6.5250000000000002E-2</v>
      </c>
      <c r="BB81" s="217">
        <f t="shared" si="158"/>
        <v>6.5250000000000002E-2</v>
      </c>
      <c r="BC81" s="217">
        <f t="shared" si="159"/>
        <v>6.5250000000000002E-2</v>
      </c>
      <c r="BD81" s="220">
        <f t="shared" si="160"/>
        <v>6.5250000000000002E-2</v>
      </c>
      <c r="BE81" s="217">
        <f t="shared" si="161"/>
        <v>6.5250000000000002E-2</v>
      </c>
      <c r="BF81" s="217">
        <f t="shared" si="162"/>
        <v>6.5250000000000002E-2</v>
      </c>
      <c r="BG81" s="217">
        <f t="shared" si="163"/>
        <v>6.5250000000000002E-2</v>
      </c>
      <c r="BH81" s="217">
        <f t="shared" si="164"/>
        <v>6.5250000000000002E-2</v>
      </c>
      <c r="BI81" s="220">
        <f t="shared" si="165"/>
        <v>6.5250000000000002E-2</v>
      </c>
      <c r="BJ81" s="21"/>
      <c r="BK81" s="21"/>
      <c r="BL81" s="21"/>
    </row>
    <row r="82" spans="1:64" s="25" customFormat="1">
      <c r="A82" s="3" t="str">
        <f>A14</f>
        <v>3.950% Notes due 2025</v>
      </c>
      <c r="B82" s="217"/>
      <c r="C82" s="217"/>
      <c r="D82" s="217"/>
      <c r="E82" s="31"/>
      <c r="F82" s="218"/>
      <c r="G82" s="217"/>
      <c r="H82" s="217"/>
      <c r="I82" s="217"/>
      <c r="J82" s="31"/>
      <c r="K82" s="218"/>
      <c r="L82" s="217"/>
      <c r="M82" s="217"/>
      <c r="N82" s="217"/>
      <c r="O82" s="31"/>
      <c r="P82" s="218"/>
      <c r="Q82" s="31"/>
      <c r="R82" s="31"/>
      <c r="S82" s="31"/>
      <c r="T82" s="31"/>
      <c r="U82" s="218"/>
      <c r="V82" s="31"/>
      <c r="W82" s="31"/>
      <c r="X82" s="31"/>
      <c r="Y82" s="31"/>
      <c r="Z82" s="218"/>
      <c r="AA82" s="217"/>
      <c r="AB82" s="217">
        <v>3.95E-2</v>
      </c>
      <c r="AC82" s="217">
        <f t="shared" si="166"/>
        <v>3.95E-2</v>
      </c>
      <c r="AD82" s="217">
        <f t="shared" si="166"/>
        <v>3.95E-2</v>
      </c>
      <c r="AE82" s="220">
        <f t="shared" si="166"/>
        <v>3.95E-2</v>
      </c>
      <c r="AF82" s="217">
        <f t="shared" si="166"/>
        <v>3.95E-2</v>
      </c>
      <c r="AG82" s="217">
        <f t="shared" si="166"/>
        <v>3.95E-2</v>
      </c>
      <c r="AH82" s="217">
        <f t="shared" si="166"/>
        <v>3.95E-2</v>
      </c>
      <c r="AI82" s="217">
        <f t="shared" si="166"/>
        <v>3.95E-2</v>
      </c>
      <c r="AJ82" s="220">
        <f t="shared" si="166"/>
        <v>3.95E-2</v>
      </c>
      <c r="AK82" s="217">
        <f t="shared" si="142"/>
        <v>3.95E-2</v>
      </c>
      <c r="AL82" s="217">
        <f t="shared" si="143"/>
        <v>3.95E-2</v>
      </c>
      <c r="AM82" s="217">
        <f t="shared" si="144"/>
        <v>3.95E-2</v>
      </c>
      <c r="AN82" s="217">
        <f t="shared" si="145"/>
        <v>3.95E-2</v>
      </c>
      <c r="AO82" s="220">
        <f t="shared" si="145"/>
        <v>3.95E-2</v>
      </c>
      <c r="AP82" s="217">
        <f t="shared" si="146"/>
        <v>3.95E-2</v>
      </c>
      <c r="AQ82" s="217">
        <f t="shared" si="147"/>
        <v>3.95E-2</v>
      </c>
      <c r="AR82" s="217">
        <f t="shared" si="148"/>
        <v>3.95E-2</v>
      </c>
      <c r="AS82" s="217">
        <f t="shared" si="149"/>
        <v>3.95E-2</v>
      </c>
      <c r="AT82" s="220">
        <f t="shared" si="150"/>
        <v>3.95E-2</v>
      </c>
      <c r="AU82" s="217">
        <f t="shared" si="151"/>
        <v>3.95E-2</v>
      </c>
      <c r="AV82" s="217">
        <f t="shared" si="152"/>
        <v>3.95E-2</v>
      </c>
      <c r="AW82" s="217">
        <f t="shared" si="153"/>
        <v>3.95E-2</v>
      </c>
      <c r="AX82" s="217">
        <f t="shared" si="154"/>
        <v>3.95E-2</v>
      </c>
      <c r="AY82" s="220">
        <f t="shared" si="155"/>
        <v>3.95E-2</v>
      </c>
      <c r="AZ82" s="217">
        <f t="shared" si="156"/>
        <v>3.95E-2</v>
      </c>
      <c r="BA82" s="217">
        <f t="shared" si="157"/>
        <v>3.95E-2</v>
      </c>
      <c r="BB82" s="217">
        <f t="shared" si="158"/>
        <v>3.95E-2</v>
      </c>
      <c r="BC82" s="217">
        <f t="shared" si="159"/>
        <v>3.95E-2</v>
      </c>
      <c r="BD82" s="220">
        <f t="shared" si="160"/>
        <v>3.95E-2</v>
      </c>
      <c r="BE82" s="217">
        <f t="shared" si="161"/>
        <v>3.95E-2</v>
      </c>
      <c r="BF82" s="217">
        <f t="shared" si="162"/>
        <v>3.95E-2</v>
      </c>
      <c r="BG82" s="217">
        <f t="shared" si="163"/>
        <v>3.95E-2</v>
      </c>
      <c r="BH82" s="217">
        <f t="shared" si="164"/>
        <v>3.95E-2</v>
      </c>
      <c r="BI82" s="220">
        <f t="shared" si="165"/>
        <v>3.95E-2</v>
      </c>
      <c r="BJ82" s="21"/>
      <c r="BK82" s="21"/>
      <c r="BL82" s="21"/>
    </row>
    <row r="83" spans="1:64" s="25" customFormat="1">
      <c r="A83" s="3" t="str">
        <f>A15</f>
        <v xml:space="preserve">2.650% Notes due 2026 </v>
      </c>
      <c r="B83" s="217"/>
      <c r="C83" s="217"/>
      <c r="D83" s="217"/>
      <c r="E83" s="31"/>
      <c r="F83" s="218"/>
      <c r="G83" s="217"/>
      <c r="H83" s="217"/>
      <c r="I83" s="217"/>
      <c r="J83" s="31"/>
      <c r="K83" s="218"/>
      <c r="L83" s="217"/>
      <c r="M83" s="217"/>
      <c r="N83" s="217"/>
      <c r="O83" s="31"/>
      <c r="P83" s="218"/>
      <c r="Q83" s="31"/>
      <c r="R83" s="31"/>
      <c r="S83" s="31"/>
      <c r="T83" s="31"/>
      <c r="U83" s="218"/>
      <c r="V83" s="31"/>
      <c r="W83" s="31"/>
      <c r="X83" s="31"/>
      <c r="Y83" s="31"/>
      <c r="Z83" s="218"/>
      <c r="AA83" s="217"/>
      <c r="AB83" s="217">
        <v>2.6499999999999999E-2</v>
      </c>
      <c r="AC83" s="217">
        <f t="shared" si="166"/>
        <v>2.6499999999999999E-2</v>
      </c>
      <c r="AD83" s="217">
        <f t="shared" si="166"/>
        <v>2.6499999999999999E-2</v>
      </c>
      <c r="AE83" s="220">
        <f t="shared" si="166"/>
        <v>2.6499999999999999E-2</v>
      </c>
      <c r="AF83" s="217">
        <f t="shared" si="166"/>
        <v>2.6499999999999999E-2</v>
      </c>
      <c r="AG83" s="217">
        <f t="shared" si="166"/>
        <v>2.6499999999999999E-2</v>
      </c>
      <c r="AH83" s="217">
        <f t="shared" si="166"/>
        <v>2.6499999999999999E-2</v>
      </c>
      <c r="AI83" s="217">
        <f t="shared" si="166"/>
        <v>2.6499999999999999E-2</v>
      </c>
      <c r="AJ83" s="220">
        <f t="shared" si="166"/>
        <v>2.6499999999999999E-2</v>
      </c>
      <c r="AK83" s="217">
        <f t="shared" si="142"/>
        <v>2.6499999999999999E-2</v>
      </c>
      <c r="AL83" s="217">
        <f t="shared" si="143"/>
        <v>2.6499999999999999E-2</v>
      </c>
      <c r="AM83" s="217">
        <f t="shared" si="144"/>
        <v>2.6499999999999999E-2</v>
      </c>
      <c r="AN83" s="217">
        <f t="shared" si="145"/>
        <v>2.6499999999999999E-2</v>
      </c>
      <c r="AO83" s="220">
        <f t="shared" si="145"/>
        <v>2.6499999999999999E-2</v>
      </c>
      <c r="AP83" s="217">
        <f t="shared" si="146"/>
        <v>2.6499999999999999E-2</v>
      </c>
      <c r="AQ83" s="217">
        <f t="shared" si="147"/>
        <v>2.6499999999999999E-2</v>
      </c>
      <c r="AR83" s="217">
        <f t="shared" si="148"/>
        <v>2.6499999999999999E-2</v>
      </c>
      <c r="AS83" s="217">
        <f t="shared" si="149"/>
        <v>2.6499999999999999E-2</v>
      </c>
      <c r="AT83" s="220">
        <f t="shared" si="150"/>
        <v>2.6499999999999999E-2</v>
      </c>
      <c r="AU83" s="217">
        <f t="shared" si="151"/>
        <v>2.6499999999999999E-2</v>
      </c>
      <c r="AV83" s="217">
        <f t="shared" si="152"/>
        <v>2.6499999999999999E-2</v>
      </c>
      <c r="AW83" s="217">
        <f t="shared" si="153"/>
        <v>2.6499999999999999E-2</v>
      </c>
      <c r="AX83" s="217">
        <f t="shared" si="154"/>
        <v>2.6499999999999999E-2</v>
      </c>
      <c r="AY83" s="220">
        <f t="shared" si="155"/>
        <v>2.6499999999999999E-2</v>
      </c>
      <c r="AZ83" s="217">
        <f t="shared" si="156"/>
        <v>2.6499999999999999E-2</v>
      </c>
      <c r="BA83" s="217">
        <f t="shared" si="157"/>
        <v>2.6499999999999999E-2</v>
      </c>
      <c r="BB83" s="217">
        <f t="shared" si="158"/>
        <v>2.6499999999999999E-2</v>
      </c>
      <c r="BC83" s="217">
        <f t="shared" si="159"/>
        <v>2.6499999999999999E-2</v>
      </c>
      <c r="BD83" s="220">
        <f t="shared" si="160"/>
        <v>2.6499999999999999E-2</v>
      </c>
      <c r="BE83" s="217">
        <f t="shared" si="161"/>
        <v>2.6499999999999999E-2</v>
      </c>
      <c r="BF83" s="217">
        <f t="shared" si="162"/>
        <v>2.6499999999999999E-2</v>
      </c>
      <c r="BG83" s="217">
        <f t="shared" si="163"/>
        <v>2.6499999999999999E-2</v>
      </c>
      <c r="BH83" s="217">
        <f t="shared" si="164"/>
        <v>2.6499999999999999E-2</v>
      </c>
      <c r="BI83" s="220">
        <f t="shared" si="165"/>
        <v>2.6499999999999999E-2</v>
      </c>
      <c r="BJ83" s="21"/>
      <c r="BK83" s="21"/>
      <c r="BL83" s="21"/>
    </row>
    <row r="84" spans="1:64" s="25" customFormat="1">
      <c r="A84" s="492" t="str">
        <f>A16</f>
        <v>5.000% Notes due 2026</v>
      </c>
      <c r="B84" s="217"/>
      <c r="C84" s="217"/>
      <c r="D84" s="217"/>
      <c r="E84" s="31"/>
      <c r="F84" s="218"/>
      <c r="G84" s="217"/>
      <c r="H84" s="217"/>
      <c r="I84" s="217"/>
      <c r="J84" s="31"/>
      <c r="K84" s="218"/>
      <c r="L84" s="217"/>
      <c r="M84" s="217"/>
      <c r="N84" s="217"/>
      <c r="O84" s="31"/>
      <c r="P84" s="218"/>
      <c r="Q84" s="31"/>
      <c r="R84" s="31"/>
      <c r="S84" s="31"/>
      <c r="T84" s="31"/>
      <c r="U84" s="218"/>
      <c r="V84" s="31"/>
      <c r="W84" s="31"/>
      <c r="X84" s="31"/>
      <c r="Y84" s="31"/>
      <c r="Z84" s="218"/>
      <c r="AA84" s="217"/>
      <c r="AB84" s="217">
        <v>0.05</v>
      </c>
      <c r="AC84" s="217">
        <f t="shared" si="166"/>
        <v>0.05</v>
      </c>
      <c r="AD84" s="217">
        <f t="shared" si="166"/>
        <v>0.05</v>
      </c>
      <c r="AE84" s="220">
        <f t="shared" si="166"/>
        <v>0.05</v>
      </c>
      <c r="AF84" s="217">
        <f t="shared" si="166"/>
        <v>0.05</v>
      </c>
      <c r="AG84" s="217">
        <f t="shared" si="166"/>
        <v>0.05</v>
      </c>
      <c r="AH84" s="217">
        <f t="shared" si="166"/>
        <v>0.05</v>
      </c>
      <c r="AI84" s="217">
        <f t="shared" si="166"/>
        <v>0.05</v>
      </c>
      <c r="AJ84" s="220">
        <f t="shared" si="166"/>
        <v>0.05</v>
      </c>
      <c r="AK84" s="217">
        <f t="shared" si="142"/>
        <v>0.05</v>
      </c>
      <c r="AL84" s="217">
        <f t="shared" si="143"/>
        <v>0.05</v>
      </c>
      <c r="AM84" s="217">
        <f t="shared" si="144"/>
        <v>0.05</v>
      </c>
      <c r="AN84" s="217">
        <f t="shared" si="145"/>
        <v>0.05</v>
      </c>
      <c r="AO84" s="220">
        <f t="shared" si="145"/>
        <v>0.05</v>
      </c>
      <c r="AP84" s="217">
        <f t="shared" si="146"/>
        <v>0.05</v>
      </c>
      <c r="AQ84" s="217">
        <f t="shared" si="147"/>
        <v>0.05</v>
      </c>
      <c r="AR84" s="217">
        <f t="shared" si="148"/>
        <v>0.05</v>
      </c>
      <c r="AS84" s="217">
        <f t="shared" si="149"/>
        <v>0.05</v>
      </c>
      <c r="AT84" s="220">
        <f t="shared" si="150"/>
        <v>0.05</v>
      </c>
      <c r="AU84" s="217">
        <f t="shared" si="151"/>
        <v>0.05</v>
      </c>
      <c r="AV84" s="217">
        <f t="shared" si="152"/>
        <v>0.05</v>
      </c>
      <c r="AW84" s="217">
        <f t="shared" si="153"/>
        <v>0.05</v>
      </c>
      <c r="AX84" s="217">
        <f t="shared" si="154"/>
        <v>0.05</v>
      </c>
      <c r="AY84" s="220">
        <f t="shared" si="155"/>
        <v>0.05</v>
      </c>
      <c r="AZ84" s="217">
        <f t="shared" si="156"/>
        <v>0.05</v>
      </c>
      <c r="BA84" s="217">
        <f t="shared" si="157"/>
        <v>0.05</v>
      </c>
      <c r="BB84" s="217">
        <f t="shared" si="158"/>
        <v>0.05</v>
      </c>
      <c r="BC84" s="217">
        <f t="shared" si="159"/>
        <v>0.05</v>
      </c>
      <c r="BD84" s="220">
        <f t="shared" si="160"/>
        <v>0.05</v>
      </c>
      <c r="BE84" s="217">
        <f t="shared" si="161"/>
        <v>0.05</v>
      </c>
      <c r="BF84" s="217">
        <f t="shared" si="162"/>
        <v>0.05</v>
      </c>
      <c r="BG84" s="217">
        <f t="shared" si="163"/>
        <v>0.05</v>
      </c>
      <c r="BH84" s="217">
        <f t="shared" si="164"/>
        <v>0.05</v>
      </c>
      <c r="BI84" s="220">
        <f t="shared" si="165"/>
        <v>0.05</v>
      </c>
      <c r="BJ84" s="21"/>
      <c r="BK84" s="21"/>
      <c r="BL84" s="21"/>
    </row>
    <row r="85" spans="1:64" s="25" customFormat="1">
      <c r="A85" s="525" t="s">
        <v>473</v>
      </c>
      <c r="B85" s="217"/>
      <c r="C85" s="217"/>
      <c r="D85" s="217"/>
      <c r="E85" s="31"/>
      <c r="F85" s="218"/>
      <c r="G85" s="217"/>
      <c r="H85" s="217"/>
      <c r="I85" s="217"/>
      <c r="J85" s="31"/>
      <c r="K85" s="218"/>
      <c r="L85" s="217"/>
      <c r="M85" s="217"/>
      <c r="N85" s="217"/>
      <c r="O85" s="31"/>
      <c r="P85" s="218"/>
      <c r="Q85" s="31"/>
      <c r="R85" s="31"/>
      <c r="S85" s="31"/>
      <c r="T85" s="31"/>
      <c r="U85" s="218"/>
      <c r="V85" s="31"/>
      <c r="W85" s="31"/>
      <c r="X85" s="31"/>
      <c r="Y85" s="31"/>
      <c r="Z85" s="218"/>
      <c r="AA85" s="217"/>
      <c r="AB85" s="217"/>
      <c r="AC85" s="217"/>
      <c r="AD85" s="217"/>
      <c r="AE85" s="220"/>
      <c r="AF85" s="217"/>
      <c r="AG85" s="217"/>
      <c r="AH85" s="217"/>
      <c r="AI85" s="217"/>
      <c r="AJ85" s="220"/>
      <c r="AK85" s="217"/>
      <c r="AL85" s="217"/>
      <c r="AM85" s="217"/>
      <c r="AN85" s="217"/>
      <c r="AO85" s="220"/>
      <c r="AP85" s="217">
        <v>0</v>
      </c>
      <c r="AQ85" s="217">
        <v>0</v>
      </c>
      <c r="AR85" s="217">
        <v>0</v>
      </c>
      <c r="AS85" s="217">
        <v>5.7500000000000002E-2</v>
      </c>
      <c r="AT85" s="220">
        <f t="shared" si="150"/>
        <v>5.7500000000000002E-2</v>
      </c>
      <c r="AU85" s="217">
        <f t="shared" ref="AU85" si="171">AT85</f>
        <v>5.7500000000000002E-2</v>
      </c>
      <c r="AV85" s="217">
        <f t="shared" ref="AV85:AV86" si="172">AU85</f>
        <v>5.7500000000000002E-2</v>
      </c>
      <c r="AW85" s="217">
        <f t="shared" ref="AW85:AW86" si="173">AV85</f>
        <v>5.7500000000000002E-2</v>
      </c>
      <c r="AX85" s="217">
        <f t="shared" ref="AX85:AX86" si="174">AW85</f>
        <v>5.7500000000000002E-2</v>
      </c>
      <c r="AY85" s="220">
        <f t="shared" ref="AY85:AY86" si="175">AX85</f>
        <v>5.7500000000000002E-2</v>
      </c>
      <c r="AZ85" s="217">
        <f t="shared" si="156"/>
        <v>5.7500000000000002E-2</v>
      </c>
      <c r="BA85" s="217">
        <f t="shared" si="157"/>
        <v>5.7500000000000002E-2</v>
      </c>
      <c r="BB85" s="217">
        <f t="shared" si="158"/>
        <v>5.7500000000000002E-2</v>
      </c>
      <c r="BC85" s="217">
        <f t="shared" si="159"/>
        <v>5.7500000000000002E-2</v>
      </c>
      <c r="BD85" s="220">
        <f t="shared" si="160"/>
        <v>5.7500000000000002E-2</v>
      </c>
      <c r="BE85" s="217">
        <f t="shared" si="161"/>
        <v>5.7500000000000002E-2</v>
      </c>
      <c r="BF85" s="217">
        <f t="shared" si="162"/>
        <v>5.7500000000000002E-2</v>
      </c>
      <c r="BG85" s="217">
        <f t="shared" si="163"/>
        <v>5.7500000000000002E-2</v>
      </c>
      <c r="BH85" s="217">
        <f t="shared" si="164"/>
        <v>5.7500000000000002E-2</v>
      </c>
      <c r="BI85" s="220">
        <f t="shared" si="165"/>
        <v>5.7500000000000002E-2</v>
      </c>
      <c r="BJ85" s="21"/>
      <c r="BK85" s="21"/>
      <c r="BL85" s="21"/>
    </row>
    <row r="86" spans="1:64" s="25" customFormat="1">
      <c r="A86" s="525" t="s">
        <v>472</v>
      </c>
      <c r="B86" s="217"/>
      <c r="C86" s="217"/>
      <c r="D86" s="217"/>
      <c r="E86" s="31"/>
      <c r="F86" s="218"/>
      <c r="G86" s="217"/>
      <c r="H86" s="217"/>
      <c r="I86" s="217"/>
      <c r="J86" s="31"/>
      <c r="K86" s="218"/>
      <c r="L86" s="217"/>
      <c r="M86" s="217"/>
      <c r="N86" s="217"/>
      <c r="O86" s="31"/>
      <c r="P86" s="218"/>
      <c r="Q86" s="31"/>
      <c r="R86" s="31"/>
      <c r="S86" s="31"/>
      <c r="T86" s="31"/>
      <c r="U86" s="218"/>
      <c r="V86" s="31"/>
      <c r="W86" s="31"/>
      <c r="X86" s="31"/>
      <c r="Y86" s="31"/>
      <c r="Z86" s="218"/>
      <c r="AA86" s="217"/>
      <c r="AB86" s="217"/>
      <c r="AC86" s="217"/>
      <c r="AD86" s="217"/>
      <c r="AE86" s="220"/>
      <c r="AF86" s="217"/>
      <c r="AG86" s="217"/>
      <c r="AH86" s="217"/>
      <c r="AI86" s="217"/>
      <c r="AJ86" s="220"/>
      <c r="AK86" s="217"/>
      <c r="AL86" s="217"/>
      <c r="AM86" s="217"/>
      <c r="AN86" s="217"/>
      <c r="AO86" s="220"/>
      <c r="AP86" s="217">
        <v>0</v>
      </c>
      <c r="AQ86" s="217">
        <v>0</v>
      </c>
      <c r="AR86" s="217">
        <v>0</v>
      </c>
      <c r="AS86" s="217">
        <v>1.225E-2</v>
      </c>
      <c r="AT86" s="220">
        <f t="shared" si="150"/>
        <v>1.225E-2</v>
      </c>
      <c r="AU86" s="217">
        <f>AT86+AU130</f>
        <v>6.5250000000000002E-2</v>
      </c>
      <c r="AV86" s="217">
        <f t="shared" si="172"/>
        <v>6.5250000000000002E-2</v>
      </c>
      <c r="AW86" s="217">
        <f t="shared" si="173"/>
        <v>6.5250000000000002E-2</v>
      </c>
      <c r="AX86" s="217">
        <f t="shared" si="174"/>
        <v>6.5250000000000002E-2</v>
      </c>
      <c r="AY86" s="220">
        <f t="shared" si="175"/>
        <v>6.5250000000000002E-2</v>
      </c>
      <c r="AZ86" s="217">
        <f t="shared" si="156"/>
        <v>6.5250000000000002E-2</v>
      </c>
      <c r="BA86" s="217">
        <f t="shared" si="157"/>
        <v>6.5250000000000002E-2</v>
      </c>
      <c r="BB86" s="217">
        <f t="shared" si="158"/>
        <v>6.5250000000000002E-2</v>
      </c>
      <c r="BC86" s="217">
        <f t="shared" si="159"/>
        <v>6.5250000000000002E-2</v>
      </c>
      <c r="BD86" s="220">
        <f t="shared" si="160"/>
        <v>6.5250000000000002E-2</v>
      </c>
      <c r="BE86" s="217">
        <f t="shared" si="161"/>
        <v>6.5250000000000002E-2</v>
      </c>
      <c r="BF86" s="217">
        <f t="shared" si="162"/>
        <v>6.5250000000000002E-2</v>
      </c>
      <c r="BG86" s="217">
        <f t="shared" si="163"/>
        <v>6.5250000000000002E-2</v>
      </c>
      <c r="BH86" s="217">
        <f t="shared" si="164"/>
        <v>6.5250000000000002E-2</v>
      </c>
      <c r="BI86" s="220">
        <f t="shared" si="165"/>
        <v>6.5250000000000002E-2</v>
      </c>
      <c r="BJ86" s="21"/>
      <c r="BK86" s="21"/>
      <c r="BL86" s="21"/>
    </row>
    <row r="87" spans="1:64" s="25" customFormat="1">
      <c r="A87" s="3" t="str">
        <f t="shared" ref="A87:A93" si="176">A19</f>
        <v>3.125% Notes due 2027</v>
      </c>
      <c r="B87" s="217"/>
      <c r="C87" s="217"/>
      <c r="D87" s="217"/>
      <c r="E87" s="31"/>
      <c r="F87" s="218"/>
      <c r="G87" s="217"/>
      <c r="H87" s="217"/>
      <c r="I87" s="217"/>
      <c r="J87" s="31"/>
      <c r="K87" s="218"/>
      <c r="L87" s="217"/>
      <c r="M87" s="217"/>
      <c r="N87" s="217"/>
      <c r="O87" s="31"/>
      <c r="P87" s="218"/>
      <c r="Q87" s="31"/>
      <c r="R87" s="31"/>
      <c r="S87" s="31"/>
      <c r="T87" s="31"/>
      <c r="U87" s="218"/>
      <c r="V87" s="31"/>
      <c r="W87" s="31"/>
      <c r="X87" s="31"/>
      <c r="Y87" s="31"/>
      <c r="Z87" s="218"/>
      <c r="AA87" s="217"/>
      <c r="AB87" s="217">
        <v>3.125E-2</v>
      </c>
      <c r="AC87" s="217">
        <f t="shared" ref="AC87:AJ117" si="177">AB87</f>
        <v>3.125E-2</v>
      </c>
      <c r="AD87" s="217">
        <f t="shared" si="177"/>
        <v>3.125E-2</v>
      </c>
      <c r="AE87" s="220">
        <f t="shared" si="177"/>
        <v>3.125E-2</v>
      </c>
      <c r="AF87" s="217">
        <f t="shared" si="177"/>
        <v>3.125E-2</v>
      </c>
      <c r="AG87" s="217">
        <f t="shared" si="177"/>
        <v>3.125E-2</v>
      </c>
      <c r="AH87" s="217">
        <f t="shared" si="177"/>
        <v>3.125E-2</v>
      </c>
      <c r="AI87" s="217">
        <f t="shared" si="177"/>
        <v>3.125E-2</v>
      </c>
      <c r="AJ87" s="220">
        <f t="shared" si="177"/>
        <v>3.125E-2</v>
      </c>
      <c r="AK87" s="217">
        <f t="shared" si="142"/>
        <v>3.125E-2</v>
      </c>
      <c r="AL87" s="217">
        <f t="shared" si="143"/>
        <v>3.125E-2</v>
      </c>
      <c r="AM87" s="217">
        <f t="shared" si="144"/>
        <v>3.125E-2</v>
      </c>
      <c r="AN87" s="217">
        <f t="shared" si="145"/>
        <v>3.125E-2</v>
      </c>
      <c r="AO87" s="220">
        <f t="shared" si="145"/>
        <v>3.125E-2</v>
      </c>
      <c r="AP87" s="217">
        <f t="shared" si="146"/>
        <v>3.125E-2</v>
      </c>
      <c r="AQ87" s="217">
        <f t="shared" si="147"/>
        <v>3.125E-2</v>
      </c>
      <c r="AR87" s="217">
        <f t="shared" si="148"/>
        <v>3.125E-2</v>
      </c>
      <c r="AS87" s="217">
        <f t="shared" si="149"/>
        <v>3.125E-2</v>
      </c>
      <c r="AT87" s="220">
        <f t="shared" si="150"/>
        <v>3.125E-2</v>
      </c>
      <c r="AU87" s="217">
        <f t="shared" si="151"/>
        <v>3.125E-2</v>
      </c>
      <c r="AV87" s="217">
        <f t="shared" si="152"/>
        <v>3.125E-2</v>
      </c>
      <c r="AW87" s="217">
        <f t="shared" si="153"/>
        <v>3.125E-2</v>
      </c>
      <c r="AX87" s="217">
        <f t="shared" si="154"/>
        <v>3.125E-2</v>
      </c>
      <c r="AY87" s="220">
        <f t="shared" si="155"/>
        <v>3.125E-2</v>
      </c>
      <c r="AZ87" s="217">
        <f t="shared" si="156"/>
        <v>3.125E-2</v>
      </c>
      <c r="BA87" s="217">
        <f t="shared" si="157"/>
        <v>3.125E-2</v>
      </c>
      <c r="BB87" s="217">
        <f t="shared" si="158"/>
        <v>3.125E-2</v>
      </c>
      <c r="BC87" s="217">
        <f t="shared" si="159"/>
        <v>3.125E-2</v>
      </c>
      <c r="BD87" s="220">
        <f t="shared" si="160"/>
        <v>3.125E-2</v>
      </c>
      <c r="BE87" s="217">
        <f t="shared" si="161"/>
        <v>3.125E-2</v>
      </c>
      <c r="BF87" s="217">
        <f t="shared" si="162"/>
        <v>3.125E-2</v>
      </c>
      <c r="BG87" s="217">
        <f t="shared" si="163"/>
        <v>3.125E-2</v>
      </c>
      <c r="BH87" s="217">
        <f t="shared" si="164"/>
        <v>3.125E-2</v>
      </c>
      <c r="BI87" s="220">
        <f t="shared" si="165"/>
        <v>3.125E-2</v>
      </c>
      <c r="BJ87" s="21"/>
      <c r="BK87" s="21"/>
      <c r="BL87" s="21"/>
    </row>
    <row r="88" spans="1:64" s="25" customFormat="1">
      <c r="A88" s="3" t="str">
        <f t="shared" si="176"/>
        <v>3.500% Notes due 2027</v>
      </c>
      <c r="B88" s="217"/>
      <c r="C88" s="217"/>
      <c r="D88" s="217"/>
      <c r="E88" s="31"/>
      <c r="F88" s="218"/>
      <c r="G88" s="217"/>
      <c r="H88" s="217"/>
      <c r="I88" s="217"/>
      <c r="J88" s="31"/>
      <c r="K88" s="218"/>
      <c r="L88" s="217"/>
      <c r="M88" s="217"/>
      <c r="N88" s="217"/>
      <c r="O88" s="31"/>
      <c r="P88" s="218"/>
      <c r="Q88" s="31"/>
      <c r="R88" s="31"/>
      <c r="S88" s="31"/>
      <c r="T88" s="31"/>
      <c r="U88" s="218"/>
      <c r="V88" s="31"/>
      <c r="W88" s="31"/>
      <c r="X88" s="31"/>
      <c r="Y88" s="31"/>
      <c r="Z88" s="218"/>
      <c r="AA88" s="217"/>
      <c r="AB88" s="217">
        <v>3.5000000000000003E-2</v>
      </c>
      <c r="AC88" s="217">
        <f t="shared" si="177"/>
        <v>3.5000000000000003E-2</v>
      </c>
      <c r="AD88" s="217">
        <f t="shared" si="177"/>
        <v>3.5000000000000003E-2</v>
      </c>
      <c r="AE88" s="220">
        <f t="shared" si="177"/>
        <v>3.5000000000000003E-2</v>
      </c>
      <c r="AF88" s="217">
        <f t="shared" si="177"/>
        <v>3.5000000000000003E-2</v>
      </c>
      <c r="AG88" s="217">
        <f t="shared" si="177"/>
        <v>3.5000000000000003E-2</v>
      </c>
      <c r="AH88" s="217">
        <f t="shared" si="177"/>
        <v>3.5000000000000003E-2</v>
      </c>
      <c r="AI88" s="217">
        <f t="shared" si="177"/>
        <v>3.5000000000000003E-2</v>
      </c>
      <c r="AJ88" s="220">
        <f t="shared" si="177"/>
        <v>3.5000000000000003E-2</v>
      </c>
      <c r="AK88" s="217">
        <f t="shared" si="142"/>
        <v>3.5000000000000003E-2</v>
      </c>
      <c r="AL88" s="217">
        <f t="shared" si="143"/>
        <v>3.5000000000000003E-2</v>
      </c>
      <c r="AM88" s="217">
        <f t="shared" si="144"/>
        <v>3.5000000000000003E-2</v>
      </c>
      <c r="AN88" s="217">
        <f t="shared" si="145"/>
        <v>3.5000000000000003E-2</v>
      </c>
      <c r="AO88" s="220">
        <f t="shared" si="145"/>
        <v>3.5000000000000003E-2</v>
      </c>
      <c r="AP88" s="217">
        <f t="shared" si="146"/>
        <v>3.5000000000000003E-2</v>
      </c>
      <c r="AQ88" s="217">
        <f t="shared" si="147"/>
        <v>3.5000000000000003E-2</v>
      </c>
      <c r="AR88" s="217">
        <f t="shared" si="148"/>
        <v>3.5000000000000003E-2</v>
      </c>
      <c r="AS88" s="217">
        <f t="shared" si="149"/>
        <v>3.5000000000000003E-2</v>
      </c>
      <c r="AT88" s="220">
        <f t="shared" si="150"/>
        <v>3.5000000000000003E-2</v>
      </c>
      <c r="AU88" s="217">
        <f t="shared" si="151"/>
        <v>3.5000000000000003E-2</v>
      </c>
      <c r="AV88" s="217">
        <f t="shared" si="152"/>
        <v>3.5000000000000003E-2</v>
      </c>
      <c r="AW88" s="217">
        <f t="shared" si="153"/>
        <v>3.5000000000000003E-2</v>
      </c>
      <c r="AX88" s="217">
        <f t="shared" si="154"/>
        <v>3.5000000000000003E-2</v>
      </c>
      <c r="AY88" s="220">
        <f t="shared" si="155"/>
        <v>3.5000000000000003E-2</v>
      </c>
      <c r="AZ88" s="217">
        <f t="shared" si="156"/>
        <v>3.5000000000000003E-2</v>
      </c>
      <c r="BA88" s="217">
        <f t="shared" si="157"/>
        <v>3.5000000000000003E-2</v>
      </c>
      <c r="BB88" s="217">
        <f t="shared" si="158"/>
        <v>3.5000000000000003E-2</v>
      </c>
      <c r="BC88" s="217">
        <f t="shared" si="159"/>
        <v>3.5000000000000003E-2</v>
      </c>
      <c r="BD88" s="220">
        <f t="shared" si="160"/>
        <v>3.5000000000000003E-2</v>
      </c>
      <c r="BE88" s="217">
        <f t="shared" si="161"/>
        <v>3.5000000000000003E-2</v>
      </c>
      <c r="BF88" s="217">
        <f t="shared" si="162"/>
        <v>3.5000000000000003E-2</v>
      </c>
      <c r="BG88" s="217">
        <f t="shared" si="163"/>
        <v>3.5000000000000003E-2</v>
      </c>
      <c r="BH88" s="217">
        <f t="shared" si="164"/>
        <v>3.5000000000000003E-2</v>
      </c>
      <c r="BI88" s="220">
        <f t="shared" si="165"/>
        <v>3.5000000000000003E-2</v>
      </c>
      <c r="BJ88" s="21"/>
      <c r="BK88" s="21"/>
      <c r="BL88" s="21"/>
    </row>
    <row r="89" spans="1:64" s="25" customFormat="1">
      <c r="A89" s="3" t="str">
        <f t="shared" si="176"/>
        <v>7.200% Notes due 2027</v>
      </c>
      <c r="B89" s="217"/>
      <c r="C89" s="217"/>
      <c r="D89" s="217"/>
      <c r="E89" s="31"/>
      <c r="F89" s="218"/>
      <c r="G89" s="217"/>
      <c r="H89" s="217"/>
      <c r="I89" s="217"/>
      <c r="J89" s="31"/>
      <c r="K89" s="218"/>
      <c r="L89" s="217"/>
      <c r="M89" s="217"/>
      <c r="N89" s="217"/>
      <c r="O89" s="31"/>
      <c r="P89" s="218"/>
      <c r="Q89" s="31"/>
      <c r="R89" s="31"/>
      <c r="S89" s="31"/>
      <c r="T89" s="31"/>
      <c r="U89" s="218"/>
      <c r="V89" s="31"/>
      <c r="W89" s="31"/>
      <c r="X89" s="31"/>
      <c r="Y89" s="31"/>
      <c r="Z89" s="218"/>
      <c r="AA89" s="217"/>
      <c r="AB89" s="217">
        <v>7.1999999999999995E-2</v>
      </c>
      <c r="AC89" s="217">
        <f t="shared" si="177"/>
        <v>7.1999999999999995E-2</v>
      </c>
      <c r="AD89" s="217">
        <f t="shared" si="177"/>
        <v>7.1999999999999995E-2</v>
      </c>
      <c r="AE89" s="220">
        <f t="shared" si="177"/>
        <v>7.1999999999999995E-2</v>
      </c>
      <c r="AF89" s="217">
        <f t="shared" si="177"/>
        <v>7.1999999999999995E-2</v>
      </c>
      <c r="AG89" s="217">
        <f t="shared" si="177"/>
        <v>7.1999999999999995E-2</v>
      </c>
      <c r="AH89" s="217">
        <f t="shared" si="177"/>
        <v>7.1999999999999995E-2</v>
      </c>
      <c r="AI89" s="217">
        <f t="shared" si="177"/>
        <v>7.1999999999999995E-2</v>
      </c>
      <c r="AJ89" s="220">
        <f t="shared" si="177"/>
        <v>7.1999999999999995E-2</v>
      </c>
      <c r="AK89" s="217">
        <f t="shared" si="142"/>
        <v>7.1999999999999995E-2</v>
      </c>
      <c r="AL89" s="217">
        <f t="shared" si="143"/>
        <v>7.1999999999999995E-2</v>
      </c>
      <c r="AM89" s="217">
        <f t="shared" si="144"/>
        <v>7.1999999999999995E-2</v>
      </c>
      <c r="AN89" s="217">
        <f t="shared" si="145"/>
        <v>7.1999999999999995E-2</v>
      </c>
      <c r="AO89" s="220">
        <f t="shared" si="145"/>
        <v>7.1999999999999995E-2</v>
      </c>
      <c r="AP89" s="217">
        <f t="shared" si="146"/>
        <v>7.1999999999999995E-2</v>
      </c>
      <c r="AQ89" s="217">
        <f t="shared" si="147"/>
        <v>7.1999999999999995E-2</v>
      </c>
      <c r="AR89" s="217">
        <f t="shared" si="148"/>
        <v>7.1999999999999995E-2</v>
      </c>
      <c r="AS89" s="217">
        <f t="shared" si="149"/>
        <v>7.1999999999999995E-2</v>
      </c>
      <c r="AT89" s="220">
        <f t="shared" si="150"/>
        <v>7.1999999999999995E-2</v>
      </c>
      <c r="AU89" s="217">
        <f t="shared" si="151"/>
        <v>7.1999999999999995E-2</v>
      </c>
      <c r="AV89" s="217">
        <f t="shared" si="152"/>
        <v>7.1999999999999995E-2</v>
      </c>
      <c r="AW89" s="217">
        <f t="shared" si="153"/>
        <v>7.1999999999999995E-2</v>
      </c>
      <c r="AX89" s="217">
        <f t="shared" si="154"/>
        <v>7.1999999999999995E-2</v>
      </c>
      <c r="AY89" s="220">
        <f t="shared" si="155"/>
        <v>7.1999999999999995E-2</v>
      </c>
      <c r="AZ89" s="217">
        <f t="shared" si="156"/>
        <v>7.1999999999999995E-2</v>
      </c>
      <c r="BA89" s="217">
        <f t="shared" si="157"/>
        <v>7.1999999999999995E-2</v>
      </c>
      <c r="BB89" s="217">
        <f t="shared" si="158"/>
        <v>7.1999999999999995E-2</v>
      </c>
      <c r="BC89" s="217">
        <f t="shared" si="159"/>
        <v>7.1999999999999995E-2</v>
      </c>
      <c r="BD89" s="220">
        <f t="shared" si="160"/>
        <v>7.1999999999999995E-2</v>
      </c>
      <c r="BE89" s="217">
        <f t="shared" si="161"/>
        <v>7.1999999999999995E-2</v>
      </c>
      <c r="BF89" s="217">
        <f t="shared" si="162"/>
        <v>7.1999999999999995E-2</v>
      </c>
      <c r="BG89" s="217">
        <f t="shared" si="163"/>
        <v>7.1999999999999995E-2</v>
      </c>
      <c r="BH89" s="217">
        <f t="shared" si="164"/>
        <v>7.1999999999999995E-2</v>
      </c>
      <c r="BI89" s="220">
        <f t="shared" si="165"/>
        <v>7.1999999999999995E-2</v>
      </c>
      <c r="BJ89" s="21"/>
      <c r="BK89" s="21"/>
      <c r="BL89" s="21"/>
    </row>
    <row r="90" spans="1:64" s="25" customFormat="1">
      <c r="A90" s="3" t="str">
        <f t="shared" si="176"/>
        <v>7.100% Notes due 2027</v>
      </c>
      <c r="B90" s="217"/>
      <c r="C90" s="217"/>
      <c r="D90" s="217"/>
      <c r="E90" s="31"/>
      <c r="F90" s="218"/>
      <c r="G90" s="217"/>
      <c r="H90" s="217"/>
      <c r="I90" s="217"/>
      <c r="J90" s="31"/>
      <c r="K90" s="218"/>
      <c r="L90" s="217"/>
      <c r="M90" s="217"/>
      <c r="N90" s="217"/>
      <c r="O90" s="31"/>
      <c r="P90" s="218"/>
      <c r="Q90" s="31"/>
      <c r="R90" s="31"/>
      <c r="S90" s="31"/>
      <c r="T90" s="31"/>
      <c r="U90" s="218"/>
      <c r="V90" s="31"/>
      <c r="W90" s="31"/>
      <c r="X90" s="31"/>
      <c r="Y90" s="31"/>
      <c r="Z90" s="218"/>
      <c r="AA90" s="217"/>
      <c r="AB90" s="217">
        <v>7.0999999999999994E-2</v>
      </c>
      <c r="AC90" s="217">
        <f t="shared" si="177"/>
        <v>7.0999999999999994E-2</v>
      </c>
      <c r="AD90" s="217">
        <f t="shared" si="177"/>
        <v>7.0999999999999994E-2</v>
      </c>
      <c r="AE90" s="220">
        <f t="shared" si="177"/>
        <v>7.0999999999999994E-2</v>
      </c>
      <c r="AF90" s="217">
        <f t="shared" si="177"/>
        <v>7.0999999999999994E-2</v>
      </c>
      <c r="AG90" s="217">
        <f t="shared" si="177"/>
        <v>7.0999999999999994E-2</v>
      </c>
      <c r="AH90" s="217">
        <f t="shared" si="177"/>
        <v>7.0999999999999994E-2</v>
      </c>
      <c r="AI90" s="217">
        <f t="shared" si="177"/>
        <v>7.0999999999999994E-2</v>
      </c>
      <c r="AJ90" s="220">
        <f t="shared" si="177"/>
        <v>7.0999999999999994E-2</v>
      </c>
      <c r="AK90" s="217">
        <f t="shared" si="142"/>
        <v>7.0999999999999994E-2</v>
      </c>
      <c r="AL90" s="217">
        <f t="shared" si="143"/>
        <v>7.0999999999999994E-2</v>
      </c>
      <c r="AM90" s="217">
        <f t="shared" si="144"/>
        <v>7.0999999999999994E-2</v>
      </c>
      <c r="AN90" s="217">
        <f t="shared" si="145"/>
        <v>7.0999999999999994E-2</v>
      </c>
      <c r="AO90" s="220">
        <f t="shared" si="145"/>
        <v>7.0999999999999994E-2</v>
      </c>
      <c r="AP90" s="217">
        <f t="shared" si="146"/>
        <v>7.0999999999999994E-2</v>
      </c>
      <c r="AQ90" s="217">
        <f t="shared" si="147"/>
        <v>7.0999999999999994E-2</v>
      </c>
      <c r="AR90" s="217">
        <f t="shared" si="148"/>
        <v>7.0999999999999994E-2</v>
      </c>
      <c r="AS90" s="217">
        <f t="shared" si="149"/>
        <v>7.0999999999999994E-2</v>
      </c>
      <c r="AT90" s="220">
        <f t="shared" si="150"/>
        <v>7.0999999999999994E-2</v>
      </c>
      <c r="AU90" s="217">
        <f t="shared" si="151"/>
        <v>7.0999999999999994E-2</v>
      </c>
      <c r="AV90" s="217">
        <f t="shared" si="152"/>
        <v>7.0999999999999994E-2</v>
      </c>
      <c r="AW90" s="217">
        <f t="shared" si="153"/>
        <v>7.0999999999999994E-2</v>
      </c>
      <c r="AX90" s="217">
        <f t="shared" si="154"/>
        <v>7.0999999999999994E-2</v>
      </c>
      <c r="AY90" s="220">
        <f t="shared" si="155"/>
        <v>7.0999999999999994E-2</v>
      </c>
      <c r="AZ90" s="217">
        <f t="shared" si="156"/>
        <v>7.0999999999999994E-2</v>
      </c>
      <c r="BA90" s="217">
        <f t="shared" si="157"/>
        <v>7.0999999999999994E-2</v>
      </c>
      <c r="BB90" s="217">
        <f t="shared" si="158"/>
        <v>7.0999999999999994E-2</v>
      </c>
      <c r="BC90" s="217">
        <f t="shared" si="159"/>
        <v>7.0999999999999994E-2</v>
      </c>
      <c r="BD90" s="220">
        <f t="shared" si="160"/>
        <v>7.0999999999999994E-2</v>
      </c>
      <c r="BE90" s="217">
        <f t="shared" si="161"/>
        <v>7.0999999999999994E-2</v>
      </c>
      <c r="BF90" s="217">
        <f t="shared" si="162"/>
        <v>7.0999999999999994E-2</v>
      </c>
      <c r="BG90" s="217">
        <f t="shared" si="163"/>
        <v>7.0999999999999994E-2</v>
      </c>
      <c r="BH90" s="217">
        <f t="shared" si="164"/>
        <v>7.0999999999999994E-2</v>
      </c>
      <c r="BI90" s="220">
        <f t="shared" si="165"/>
        <v>7.0999999999999994E-2</v>
      </c>
      <c r="BJ90" s="21"/>
      <c r="BK90" s="21"/>
      <c r="BL90" s="21"/>
    </row>
    <row r="91" spans="1:64" s="25" customFormat="1">
      <c r="A91" s="3" t="str">
        <f t="shared" si="176"/>
        <v>6.700% Notes due 2028</v>
      </c>
      <c r="B91" s="217"/>
      <c r="C91" s="217"/>
      <c r="D91" s="217"/>
      <c r="E91" s="31"/>
      <c r="F91" s="218"/>
      <c r="G91" s="217"/>
      <c r="H91" s="217"/>
      <c r="I91" s="217"/>
      <c r="J91" s="31"/>
      <c r="K91" s="218"/>
      <c r="L91" s="217"/>
      <c r="M91" s="217"/>
      <c r="N91" s="217"/>
      <c r="O91" s="31"/>
      <c r="P91" s="218"/>
      <c r="Q91" s="31"/>
      <c r="R91" s="31"/>
      <c r="S91" s="31"/>
      <c r="T91" s="31"/>
      <c r="U91" s="218"/>
      <c r="V91" s="31"/>
      <c r="W91" s="31"/>
      <c r="X91" s="31"/>
      <c r="Y91" s="31"/>
      <c r="Z91" s="218"/>
      <c r="AA91" s="217"/>
      <c r="AB91" s="217">
        <v>6.7000000000000004E-2</v>
      </c>
      <c r="AC91" s="217">
        <f t="shared" si="177"/>
        <v>6.7000000000000004E-2</v>
      </c>
      <c r="AD91" s="217">
        <f t="shared" si="177"/>
        <v>6.7000000000000004E-2</v>
      </c>
      <c r="AE91" s="220">
        <f t="shared" si="177"/>
        <v>6.7000000000000004E-2</v>
      </c>
      <c r="AF91" s="217">
        <f t="shared" si="177"/>
        <v>6.7000000000000004E-2</v>
      </c>
      <c r="AG91" s="217">
        <f t="shared" si="177"/>
        <v>6.7000000000000004E-2</v>
      </c>
      <c r="AH91" s="217">
        <f t="shared" si="177"/>
        <v>6.7000000000000004E-2</v>
      </c>
      <c r="AI91" s="217">
        <f t="shared" si="177"/>
        <v>6.7000000000000004E-2</v>
      </c>
      <c r="AJ91" s="220">
        <f t="shared" si="177"/>
        <v>6.7000000000000004E-2</v>
      </c>
      <c r="AK91" s="217">
        <f t="shared" si="142"/>
        <v>6.7000000000000004E-2</v>
      </c>
      <c r="AL91" s="217">
        <f t="shared" si="143"/>
        <v>6.7000000000000004E-2</v>
      </c>
      <c r="AM91" s="217">
        <f t="shared" si="144"/>
        <v>6.7000000000000004E-2</v>
      </c>
      <c r="AN91" s="217">
        <f t="shared" si="145"/>
        <v>6.7000000000000004E-2</v>
      </c>
      <c r="AO91" s="220">
        <f t="shared" si="145"/>
        <v>6.7000000000000004E-2</v>
      </c>
      <c r="AP91" s="217">
        <f t="shared" si="146"/>
        <v>6.7000000000000004E-2</v>
      </c>
      <c r="AQ91" s="217">
        <f t="shared" si="147"/>
        <v>6.7000000000000004E-2</v>
      </c>
      <c r="AR91" s="217">
        <f t="shared" si="148"/>
        <v>6.7000000000000004E-2</v>
      </c>
      <c r="AS91" s="217">
        <f t="shared" si="149"/>
        <v>6.7000000000000004E-2</v>
      </c>
      <c r="AT91" s="220">
        <f t="shared" si="150"/>
        <v>6.7000000000000004E-2</v>
      </c>
      <c r="AU91" s="217">
        <f t="shared" si="151"/>
        <v>6.7000000000000004E-2</v>
      </c>
      <c r="AV91" s="217">
        <f t="shared" si="152"/>
        <v>6.7000000000000004E-2</v>
      </c>
      <c r="AW91" s="217">
        <f t="shared" si="153"/>
        <v>6.7000000000000004E-2</v>
      </c>
      <c r="AX91" s="217">
        <f t="shared" si="154"/>
        <v>6.7000000000000004E-2</v>
      </c>
      <c r="AY91" s="220">
        <f t="shared" si="155"/>
        <v>6.7000000000000004E-2</v>
      </c>
      <c r="AZ91" s="217">
        <f t="shared" si="156"/>
        <v>6.7000000000000004E-2</v>
      </c>
      <c r="BA91" s="217">
        <f t="shared" si="157"/>
        <v>6.7000000000000004E-2</v>
      </c>
      <c r="BB91" s="217">
        <f t="shared" si="158"/>
        <v>6.7000000000000004E-2</v>
      </c>
      <c r="BC91" s="217">
        <f t="shared" si="159"/>
        <v>6.7000000000000004E-2</v>
      </c>
      <c r="BD91" s="220">
        <f t="shared" si="160"/>
        <v>6.7000000000000004E-2</v>
      </c>
      <c r="BE91" s="217">
        <f t="shared" si="161"/>
        <v>6.7000000000000004E-2</v>
      </c>
      <c r="BF91" s="217">
        <f t="shared" si="162"/>
        <v>6.7000000000000004E-2</v>
      </c>
      <c r="BG91" s="217">
        <f t="shared" si="163"/>
        <v>6.7000000000000004E-2</v>
      </c>
      <c r="BH91" s="217">
        <f t="shared" si="164"/>
        <v>6.7000000000000004E-2</v>
      </c>
      <c r="BI91" s="220">
        <f t="shared" si="165"/>
        <v>6.7000000000000004E-2</v>
      </c>
      <c r="BJ91" s="21"/>
      <c r="BK91" s="21"/>
      <c r="BL91" s="21"/>
    </row>
    <row r="92" spans="1:64" s="25" customFormat="1">
      <c r="A92" s="3" t="str">
        <f t="shared" si="176"/>
        <v>7.000% Notes due 2028</v>
      </c>
      <c r="B92" s="217"/>
      <c r="C92" s="217"/>
      <c r="D92" s="217"/>
      <c r="E92" s="31"/>
      <c r="F92" s="218"/>
      <c r="G92" s="217"/>
      <c r="H92" s="217"/>
      <c r="I92" s="217"/>
      <c r="J92" s="31"/>
      <c r="K92" s="218"/>
      <c r="L92" s="217"/>
      <c r="M92" s="217"/>
      <c r="N92" s="217"/>
      <c r="O92" s="31"/>
      <c r="P92" s="218"/>
      <c r="Q92" s="31"/>
      <c r="R92" s="31"/>
      <c r="S92" s="31"/>
      <c r="T92" s="31"/>
      <c r="U92" s="218"/>
      <c r="V92" s="31"/>
      <c r="W92" s="31"/>
      <c r="X92" s="31"/>
      <c r="Y92" s="31"/>
      <c r="Z92" s="218"/>
      <c r="AA92" s="217"/>
      <c r="AB92" s="217">
        <v>7.0000000000000007E-2</v>
      </c>
      <c r="AC92" s="217">
        <f t="shared" si="177"/>
        <v>7.0000000000000007E-2</v>
      </c>
      <c r="AD92" s="217">
        <f t="shared" si="177"/>
        <v>7.0000000000000007E-2</v>
      </c>
      <c r="AE92" s="220">
        <f t="shared" si="177"/>
        <v>7.0000000000000007E-2</v>
      </c>
      <c r="AF92" s="217">
        <f t="shared" si="177"/>
        <v>7.0000000000000007E-2</v>
      </c>
      <c r="AG92" s="217">
        <f t="shared" si="177"/>
        <v>7.0000000000000007E-2</v>
      </c>
      <c r="AH92" s="217">
        <f t="shared" si="177"/>
        <v>7.0000000000000007E-2</v>
      </c>
      <c r="AI92" s="217">
        <f t="shared" si="177"/>
        <v>7.0000000000000007E-2</v>
      </c>
      <c r="AJ92" s="220">
        <f t="shared" si="177"/>
        <v>7.0000000000000007E-2</v>
      </c>
      <c r="AK92" s="217">
        <f t="shared" si="142"/>
        <v>7.0000000000000007E-2</v>
      </c>
      <c r="AL92" s="217">
        <f t="shared" si="143"/>
        <v>7.0000000000000007E-2</v>
      </c>
      <c r="AM92" s="217">
        <f t="shared" si="144"/>
        <v>7.0000000000000007E-2</v>
      </c>
      <c r="AN92" s="217">
        <f t="shared" si="145"/>
        <v>7.0000000000000007E-2</v>
      </c>
      <c r="AO92" s="220">
        <f t="shared" si="145"/>
        <v>7.0000000000000007E-2</v>
      </c>
      <c r="AP92" s="217">
        <f t="shared" si="146"/>
        <v>7.0000000000000007E-2</v>
      </c>
      <c r="AQ92" s="217">
        <f t="shared" si="147"/>
        <v>7.0000000000000007E-2</v>
      </c>
      <c r="AR92" s="217">
        <f t="shared" si="148"/>
        <v>7.0000000000000007E-2</v>
      </c>
      <c r="AS92" s="217">
        <f t="shared" si="149"/>
        <v>7.0000000000000007E-2</v>
      </c>
      <c r="AT92" s="220">
        <f t="shared" si="150"/>
        <v>7.0000000000000007E-2</v>
      </c>
      <c r="AU92" s="217">
        <f t="shared" si="151"/>
        <v>7.0000000000000007E-2</v>
      </c>
      <c r="AV92" s="217">
        <f t="shared" si="152"/>
        <v>7.0000000000000007E-2</v>
      </c>
      <c r="AW92" s="217">
        <f t="shared" si="153"/>
        <v>7.0000000000000007E-2</v>
      </c>
      <c r="AX92" s="217">
        <f t="shared" si="154"/>
        <v>7.0000000000000007E-2</v>
      </c>
      <c r="AY92" s="220">
        <f t="shared" si="155"/>
        <v>7.0000000000000007E-2</v>
      </c>
      <c r="AZ92" s="217">
        <f t="shared" si="156"/>
        <v>7.0000000000000007E-2</v>
      </c>
      <c r="BA92" s="217">
        <f t="shared" si="157"/>
        <v>7.0000000000000007E-2</v>
      </c>
      <c r="BB92" s="217">
        <f t="shared" si="158"/>
        <v>7.0000000000000007E-2</v>
      </c>
      <c r="BC92" s="217">
        <f t="shared" si="159"/>
        <v>7.0000000000000007E-2</v>
      </c>
      <c r="BD92" s="220">
        <f t="shared" si="160"/>
        <v>7.0000000000000007E-2</v>
      </c>
      <c r="BE92" s="217">
        <f t="shared" si="161"/>
        <v>7.0000000000000007E-2</v>
      </c>
      <c r="BF92" s="217">
        <f t="shared" si="162"/>
        <v>7.0000000000000007E-2</v>
      </c>
      <c r="BG92" s="217">
        <f t="shared" si="163"/>
        <v>7.0000000000000007E-2</v>
      </c>
      <c r="BH92" s="217">
        <f t="shared" si="164"/>
        <v>7.0000000000000007E-2</v>
      </c>
      <c r="BI92" s="220">
        <f t="shared" si="165"/>
        <v>7.0000000000000007E-2</v>
      </c>
      <c r="BJ92" s="21"/>
      <c r="BK92" s="21"/>
      <c r="BL92" s="21"/>
    </row>
    <row r="93" spans="1:64" s="25" customFormat="1">
      <c r="A93" s="3" t="str">
        <f t="shared" si="176"/>
        <v>4.125% Notes due 2028</v>
      </c>
      <c r="B93" s="217"/>
      <c r="C93" s="217"/>
      <c r="D93" s="217"/>
      <c r="E93" s="31"/>
      <c r="F93" s="218"/>
      <c r="G93" s="217"/>
      <c r="H93" s="217"/>
      <c r="I93" s="217"/>
      <c r="J93" s="31"/>
      <c r="K93" s="218"/>
      <c r="L93" s="217"/>
      <c r="M93" s="217"/>
      <c r="N93" s="217"/>
      <c r="O93" s="31"/>
      <c r="P93" s="218"/>
      <c r="Q93" s="31"/>
      <c r="R93" s="31"/>
      <c r="S93" s="31"/>
      <c r="T93" s="31"/>
      <c r="U93" s="218"/>
      <c r="V93" s="31"/>
      <c r="W93" s="31"/>
      <c r="X93" s="31"/>
      <c r="Y93" s="31"/>
      <c r="Z93" s="218"/>
      <c r="AA93" s="217"/>
      <c r="AB93" s="217">
        <v>4.1250000000000002E-2</v>
      </c>
      <c r="AC93" s="217">
        <f t="shared" si="177"/>
        <v>4.1250000000000002E-2</v>
      </c>
      <c r="AD93" s="217">
        <f t="shared" si="177"/>
        <v>4.1250000000000002E-2</v>
      </c>
      <c r="AE93" s="220">
        <f t="shared" si="177"/>
        <v>4.1250000000000002E-2</v>
      </c>
      <c r="AF93" s="217">
        <f t="shared" si="177"/>
        <v>4.1250000000000002E-2</v>
      </c>
      <c r="AG93" s="217">
        <f t="shared" si="177"/>
        <v>4.1250000000000002E-2</v>
      </c>
      <c r="AH93" s="217">
        <f t="shared" si="177"/>
        <v>4.1250000000000002E-2</v>
      </c>
      <c r="AI93" s="217">
        <f t="shared" si="177"/>
        <v>4.1250000000000002E-2</v>
      </c>
      <c r="AJ93" s="220">
        <f t="shared" si="177"/>
        <v>4.1250000000000002E-2</v>
      </c>
      <c r="AK93" s="217">
        <f t="shared" si="142"/>
        <v>4.1250000000000002E-2</v>
      </c>
      <c r="AL93" s="217">
        <f t="shared" si="143"/>
        <v>4.1250000000000002E-2</v>
      </c>
      <c r="AM93" s="217">
        <f t="shared" si="144"/>
        <v>4.1250000000000002E-2</v>
      </c>
      <c r="AN93" s="217">
        <f t="shared" si="145"/>
        <v>4.1250000000000002E-2</v>
      </c>
      <c r="AO93" s="220">
        <f t="shared" si="145"/>
        <v>4.1250000000000002E-2</v>
      </c>
      <c r="AP93" s="217">
        <f t="shared" si="146"/>
        <v>4.1250000000000002E-2</v>
      </c>
      <c r="AQ93" s="217">
        <f t="shared" si="147"/>
        <v>4.1250000000000002E-2</v>
      </c>
      <c r="AR93" s="217">
        <f t="shared" si="148"/>
        <v>4.1250000000000002E-2</v>
      </c>
      <c r="AS93" s="217">
        <f t="shared" si="149"/>
        <v>4.1250000000000002E-2</v>
      </c>
      <c r="AT93" s="220">
        <f t="shared" si="150"/>
        <v>4.1250000000000002E-2</v>
      </c>
      <c r="AU93" s="217">
        <f t="shared" si="151"/>
        <v>4.1250000000000002E-2</v>
      </c>
      <c r="AV93" s="217">
        <f t="shared" si="152"/>
        <v>4.1250000000000002E-2</v>
      </c>
      <c r="AW93" s="217">
        <f t="shared" si="153"/>
        <v>4.1250000000000002E-2</v>
      </c>
      <c r="AX93" s="217">
        <f t="shared" si="154"/>
        <v>4.1250000000000002E-2</v>
      </c>
      <c r="AY93" s="220">
        <f t="shared" si="155"/>
        <v>4.1250000000000002E-2</v>
      </c>
      <c r="AZ93" s="217">
        <f t="shared" si="156"/>
        <v>4.1250000000000002E-2</v>
      </c>
      <c r="BA93" s="217">
        <f t="shared" si="157"/>
        <v>4.1250000000000002E-2</v>
      </c>
      <c r="BB93" s="217">
        <f t="shared" si="158"/>
        <v>4.1250000000000002E-2</v>
      </c>
      <c r="BC93" s="217">
        <f t="shared" si="159"/>
        <v>4.1250000000000002E-2</v>
      </c>
      <c r="BD93" s="220">
        <f t="shared" si="160"/>
        <v>4.1250000000000002E-2</v>
      </c>
      <c r="BE93" s="217">
        <f t="shared" si="161"/>
        <v>4.1250000000000002E-2</v>
      </c>
      <c r="BF93" s="217">
        <f t="shared" si="162"/>
        <v>4.1250000000000002E-2</v>
      </c>
      <c r="BG93" s="217">
        <f t="shared" si="163"/>
        <v>4.1250000000000002E-2</v>
      </c>
      <c r="BH93" s="217">
        <f t="shared" si="164"/>
        <v>4.1250000000000002E-2</v>
      </c>
      <c r="BI93" s="220">
        <f t="shared" si="165"/>
        <v>4.1250000000000002E-2</v>
      </c>
      <c r="BJ93" s="21"/>
      <c r="BK93" s="21"/>
      <c r="BL93" s="21"/>
    </row>
    <row r="94" spans="1:64" s="25" customFormat="1">
      <c r="A94" s="525" t="s">
        <v>477</v>
      </c>
      <c r="B94" s="217"/>
      <c r="C94" s="217"/>
      <c r="D94" s="217"/>
      <c r="E94" s="31"/>
      <c r="F94" s="218"/>
      <c r="G94" s="217"/>
      <c r="H94" s="217"/>
      <c r="I94" s="217"/>
      <c r="J94" s="31"/>
      <c r="K94" s="218"/>
      <c r="L94" s="217"/>
      <c r="M94" s="217"/>
      <c r="N94" s="217"/>
      <c r="O94" s="31"/>
      <c r="P94" s="218"/>
      <c r="Q94" s="31"/>
      <c r="R94" s="31"/>
      <c r="S94" s="31"/>
      <c r="T94" s="31"/>
      <c r="U94" s="218"/>
      <c r="V94" s="31"/>
      <c r="W94" s="31"/>
      <c r="X94" s="31"/>
      <c r="Y94" s="31"/>
      <c r="Z94" s="218"/>
      <c r="AA94" s="217"/>
      <c r="AB94" s="217"/>
      <c r="AC94" s="217"/>
      <c r="AD94" s="217"/>
      <c r="AE94" s="220"/>
      <c r="AF94" s="217"/>
      <c r="AG94" s="217"/>
      <c r="AH94" s="217"/>
      <c r="AI94" s="217"/>
      <c r="AJ94" s="220"/>
      <c r="AK94" s="217"/>
      <c r="AL94" s="217"/>
      <c r="AM94" s="217"/>
      <c r="AN94" s="217"/>
      <c r="AO94" s="220"/>
      <c r="AP94" s="217">
        <v>0</v>
      </c>
      <c r="AQ94" s="217">
        <v>0</v>
      </c>
      <c r="AR94" s="217">
        <v>0</v>
      </c>
      <c r="AS94" s="217">
        <v>5.7500000000000002E-2</v>
      </c>
      <c r="AT94" s="220">
        <f t="shared" ref="AT94" si="178">AS94</f>
        <v>5.7500000000000002E-2</v>
      </c>
      <c r="AU94" s="217">
        <f t="shared" ref="AU94" si="179">AT94</f>
        <v>5.7500000000000002E-2</v>
      </c>
      <c r="AV94" s="217">
        <f t="shared" ref="AV94" si="180">AU94</f>
        <v>5.7500000000000002E-2</v>
      </c>
      <c r="AW94" s="217">
        <f t="shared" ref="AW94" si="181">AV94</f>
        <v>5.7500000000000002E-2</v>
      </c>
      <c r="AX94" s="217">
        <f t="shared" ref="AX94" si="182">AW94</f>
        <v>5.7500000000000002E-2</v>
      </c>
      <c r="AY94" s="220">
        <f t="shared" ref="AY94" si="183">AX94</f>
        <v>5.7500000000000002E-2</v>
      </c>
      <c r="AZ94" s="217">
        <f t="shared" si="156"/>
        <v>5.7500000000000002E-2</v>
      </c>
      <c r="BA94" s="217">
        <f t="shared" si="157"/>
        <v>5.7500000000000002E-2</v>
      </c>
      <c r="BB94" s="217">
        <f t="shared" si="158"/>
        <v>5.7500000000000002E-2</v>
      </c>
      <c r="BC94" s="217">
        <f t="shared" si="159"/>
        <v>5.7500000000000002E-2</v>
      </c>
      <c r="BD94" s="220">
        <f t="shared" si="160"/>
        <v>5.7500000000000002E-2</v>
      </c>
      <c r="BE94" s="217">
        <f t="shared" si="161"/>
        <v>5.7500000000000002E-2</v>
      </c>
      <c r="BF94" s="217">
        <f t="shared" si="162"/>
        <v>5.7500000000000002E-2</v>
      </c>
      <c r="BG94" s="217">
        <f t="shared" si="163"/>
        <v>5.7500000000000002E-2</v>
      </c>
      <c r="BH94" s="217">
        <f t="shared" si="164"/>
        <v>5.7500000000000002E-2</v>
      </c>
      <c r="BI94" s="220">
        <f t="shared" si="165"/>
        <v>5.7500000000000002E-2</v>
      </c>
      <c r="BJ94" s="21"/>
      <c r="BK94" s="21"/>
      <c r="BL94" s="21"/>
    </row>
    <row r="95" spans="1:64" s="25" customFormat="1">
      <c r="A95" s="3" t="str">
        <f>A27</f>
        <v>7.500% Notes due 2029</v>
      </c>
      <c r="B95" s="217"/>
      <c r="C95" s="217"/>
      <c r="D95" s="217"/>
      <c r="E95" s="31"/>
      <c r="F95" s="218"/>
      <c r="G95" s="217"/>
      <c r="H95" s="217"/>
      <c r="I95" s="217"/>
      <c r="J95" s="31"/>
      <c r="K95" s="218"/>
      <c r="L95" s="217"/>
      <c r="M95" s="217"/>
      <c r="N95" s="217"/>
      <c r="O95" s="31"/>
      <c r="P95" s="218"/>
      <c r="Q95" s="31"/>
      <c r="R95" s="31"/>
      <c r="S95" s="31"/>
      <c r="T95" s="31"/>
      <c r="U95" s="218"/>
      <c r="V95" s="31"/>
      <c r="W95" s="31"/>
      <c r="X95" s="31"/>
      <c r="Y95" s="31"/>
      <c r="Z95" s="218"/>
      <c r="AA95" s="217"/>
      <c r="AB95" s="217">
        <v>7.4999999999999997E-2</v>
      </c>
      <c r="AC95" s="217">
        <f t="shared" si="177"/>
        <v>7.4999999999999997E-2</v>
      </c>
      <c r="AD95" s="217">
        <f t="shared" si="177"/>
        <v>7.4999999999999997E-2</v>
      </c>
      <c r="AE95" s="220">
        <f t="shared" si="177"/>
        <v>7.4999999999999997E-2</v>
      </c>
      <c r="AF95" s="217">
        <f t="shared" si="177"/>
        <v>7.4999999999999997E-2</v>
      </c>
      <c r="AG95" s="217">
        <f t="shared" si="177"/>
        <v>7.4999999999999997E-2</v>
      </c>
      <c r="AH95" s="217">
        <f t="shared" si="177"/>
        <v>7.4999999999999997E-2</v>
      </c>
      <c r="AI95" s="217">
        <f t="shared" si="177"/>
        <v>7.4999999999999997E-2</v>
      </c>
      <c r="AJ95" s="220">
        <f t="shared" si="177"/>
        <v>7.4999999999999997E-2</v>
      </c>
      <c r="AK95" s="217">
        <f t="shared" si="142"/>
        <v>7.4999999999999997E-2</v>
      </c>
      <c r="AL95" s="217">
        <f t="shared" si="143"/>
        <v>7.4999999999999997E-2</v>
      </c>
      <c r="AM95" s="217">
        <f t="shared" si="144"/>
        <v>7.4999999999999997E-2</v>
      </c>
      <c r="AN95" s="217">
        <f t="shared" si="145"/>
        <v>7.4999999999999997E-2</v>
      </c>
      <c r="AO95" s="220">
        <f t="shared" si="145"/>
        <v>7.4999999999999997E-2</v>
      </c>
      <c r="AP95" s="217">
        <f t="shared" si="146"/>
        <v>7.4999999999999997E-2</v>
      </c>
      <c r="AQ95" s="217">
        <f t="shared" si="147"/>
        <v>7.4999999999999997E-2</v>
      </c>
      <c r="AR95" s="217">
        <f t="shared" si="148"/>
        <v>7.4999999999999997E-2</v>
      </c>
      <c r="AS95" s="217">
        <f t="shared" si="149"/>
        <v>7.4999999999999997E-2</v>
      </c>
      <c r="AT95" s="220">
        <f t="shared" si="150"/>
        <v>7.4999999999999997E-2</v>
      </c>
      <c r="AU95" s="217">
        <f t="shared" si="151"/>
        <v>7.4999999999999997E-2</v>
      </c>
      <c r="AV95" s="217">
        <f t="shared" si="152"/>
        <v>7.4999999999999997E-2</v>
      </c>
      <c r="AW95" s="217">
        <f t="shared" si="153"/>
        <v>7.4999999999999997E-2</v>
      </c>
      <c r="AX95" s="217">
        <f t="shared" si="154"/>
        <v>7.4999999999999997E-2</v>
      </c>
      <c r="AY95" s="220">
        <f t="shared" si="155"/>
        <v>7.4999999999999997E-2</v>
      </c>
      <c r="AZ95" s="217">
        <f t="shared" si="156"/>
        <v>7.4999999999999997E-2</v>
      </c>
      <c r="BA95" s="217">
        <f t="shared" si="157"/>
        <v>7.4999999999999997E-2</v>
      </c>
      <c r="BB95" s="217">
        <f t="shared" si="158"/>
        <v>7.4999999999999997E-2</v>
      </c>
      <c r="BC95" s="217">
        <f t="shared" si="159"/>
        <v>7.4999999999999997E-2</v>
      </c>
      <c r="BD95" s="220">
        <f t="shared" si="160"/>
        <v>7.4999999999999997E-2</v>
      </c>
      <c r="BE95" s="217">
        <f t="shared" si="161"/>
        <v>7.4999999999999997E-2</v>
      </c>
      <c r="BF95" s="217">
        <f t="shared" si="162"/>
        <v>7.4999999999999997E-2</v>
      </c>
      <c r="BG95" s="217">
        <f t="shared" si="163"/>
        <v>7.4999999999999997E-2</v>
      </c>
      <c r="BH95" s="217">
        <f t="shared" si="164"/>
        <v>7.4999999999999997E-2</v>
      </c>
      <c r="BI95" s="220">
        <f t="shared" si="165"/>
        <v>7.4999999999999997E-2</v>
      </c>
      <c r="BJ95" s="21"/>
      <c r="BK95" s="21"/>
      <c r="BL95" s="21"/>
    </row>
    <row r="96" spans="1:64" s="25" customFormat="1">
      <c r="A96" s="3" t="str">
        <f>A28</f>
        <v>2.150% Notes due 2030 (€500 million Principal Value)</v>
      </c>
      <c r="B96" s="217"/>
      <c r="C96" s="217"/>
      <c r="D96" s="217"/>
      <c r="E96" s="31"/>
      <c r="F96" s="218"/>
      <c r="G96" s="217"/>
      <c r="H96" s="217"/>
      <c r="I96" s="217"/>
      <c r="J96" s="31"/>
      <c r="K96" s="218"/>
      <c r="L96" s="217"/>
      <c r="M96" s="217"/>
      <c r="N96" s="217"/>
      <c r="O96" s="31"/>
      <c r="P96" s="218"/>
      <c r="Q96" s="31"/>
      <c r="R96" s="31"/>
      <c r="S96" s="31"/>
      <c r="T96" s="31"/>
      <c r="U96" s="218"/>
      <c r="V96" s="31"/>
      <c r="W96" s="31"/>
      <c r="X96" s="31"/>
      <c r="Y96" s="31"/>
      <c r="Z96" s="218"/>
      <c r="AA96" s="217"/>
      <c r="AB96" s="217">
        <v>2.1499999999999998E-2</v>
      </c>
      <c r="AC96" s="217">
        <f t="shared" si="177"/>
        <v>2.1499999999999998E-2</v>
      </c>
      <c r="AD96" s="217">
        <f t="shared" si="177"/>
        <v>2.1499999999999998E-2</v>
      </c>
      <c r="AE96" s="220">
        <f t="shared" si="177"/>
        <v>2.1499999999999998E-2</v>
      </c>
      <c r="AF96" s="217">
        <f t="shared" si="177"/>
        <v>2.1499999999999998E-2</v>
      </c>
      <c r="AG96" s="217">
        <f t="shared" si="177"/>
        <v>2.1499999999999998E-2</v>
      </c>
      <c r="AH96" s="217">
        <f t="shared" si="177"/>
        <v>2.1499999999999998E-2</v>
      </c>
      <c r="AI96" s="217">
        <f t="shared" si="177"/>
        <v>2.1499999999999998E-2</v>
      </c>
      <c r="AJ96" s="220">
        <f t="shared" si="177"/>
        <v>2.1499999999999998E-2</v>
      </c>
      <c r="AK96" s="217">
        <f t="shared" si="142"/>
        <v>2.1499999999999998E-2</v>
      </c>
      <c r="AL96" s="217">
        <f t="shared" si="143"/>
        <v>2.1499999999999998E-2</v>
      </c>
      <c r="AM96" s="217">
        <f t="shared" si="144"/>
        <v>2.1499999999999998E-2</v>
      </c>
      <c r="AN96" s="217">
        <f t="shared" si="145"/>
        <v>2.1499999999999998E-2</v>
      </c>
      <c r="AO96" s="220">
        <f t="shared" si="145"/>
        <v>2.1499999999999998E-2</v>
      </c>
      <c r="AP96" s="217">
        <f t="shared" si="146"/>
        <v>2.1499999999999998E-2</v>
      </c>
      <c r="AQ96" s="217">
        <f t="shared" si="147"/>
        <v>2.1499999999999998E-2</v>
      </c>
      <c r="AR96" s="217">
        <f t="shared" si="148"/>
        <v>2.1499999999999998E-2</v>
      </c>
      <c r="AS96" s="217">
        <f t="shared" si="149"/>
        <v>2.1499999999999998E-2</v>
      </c>
      <c r="AT96" s="220">
        <f t="shared" si="150"/>
        <v>2.1499999999999998E-2</v>
      </c>
      <c r="AU96" s="217">
        <f t="shared" si="151"/>
        <v>2.1499999999999998E-2</v>
      </c>
      <c r="AV96" s="217">
        <f t="shared" si="152"/>
        <v>2.1499999999999998E-2</v>
      </c>
      <c r="AW96" s="217">
        <f t="shared" si="153"/>
        <v>2.1499999999999998E-2</v>
      </c>
      <c r="AX96" s="217">
        <f t="shared" si="154"/>
        <v>2.1499999999999998E-2</v>
      </c>
      <c r="AY96" s="220">
        <f t="shared" si="155"/>
        <v>2.1499999999999998E-2</v>
      </c>
      <c r="AZ96" s="217">
        <f t="shared" si="156"/>
        <v>2.1499999999999998E-2</v>
      </c>
      <c r="BA96" s="217">
        <f t="shared" si="157"/>
        <v>2.1499999999999998E-2</v>
      </c>
      <c r="BB96" s="217">
        <f t="shared" si="158"/>
        <v>2.1499999999999998E-2</v>
      </c>
      <c r="BC96" s="217">
        <f t="shared" si="159"/>
        <v>2.1499999999999998E-2</v>
      </c>
      <c r="BD96" s="220">
        <f t="shared" si="160"/>
        <v>2.1499999999999998E-2</v>
      </c>
      <c r="BE96" s="217">
        <f t="shared" si="161"/>
        <v>2.1499999999999998E-2</v>
      </c>
      <c r="BF96" s="217">
        <f t="shared" si="162"/>
        <v>2.1499999999999998E-2</v>
      </c>
      <c r="BG96" s="217">
        <f t="shared" si="163"/>
        <v>2.1499999999999998E-2</v>
      </c>
      <c r="BH96" s="217">
        <f t="shared" si="164"/>
        <v>2.1499999999999998E-2</v>
      </c>
      <c r="BI96" s="220">
        <f t="shared" si="165"/>
        <v>2.1499999999999998E-2</v>
      </c>
      <c r="BJ96" s="21"/>
      <c r="BK96" s="21"/>
      <c r="BL96" s="21"/>
    </row>
    <row r="97" spans="1:64" s="25" customFormat="1">
      <c r="A97" s="3" t="str">
        <f>A29</f>
        <v>2.250% Notes due 2030</v>
      </c>
      <c r="B97" s="217"/>
      <c r="C97" s="217"/>
      <c r="D97" s="217"/>
      <c r="E97" s="31"/>
      <c r="F97" s="218"/>
      <c r="G97" s="217"/>
      <c r="H97" s="217"/>
      <c r="I97" s="217"/>
      <c r="J97" s="31"/>
      <c r="K97" s="218"/>
      <c r="L97" s="217"/>
      <c r="M97" s="217"/>
      <c r="N97" s="217"/>
      <c r="O97" s="31"/>
      <c r="P97" s="218"/>
      <c r="Q97" s="31"/>
      <c r="R97" s="31"/>
      <c r="S97" s="31"/>
      <c r="T97" s="31"/>
      <c r="U97" s="218"/>
      <c r="V97" s="31"/>
      <c r="W97" s="31"/>
      <c r="X97" s="31"/>
      <c r="Y97" s="31"/>
      <c r="Z97" s="218"/>
      <c r="AA97" s="217"/>
      <c r="AB97" s="217">
        <v>2.2499999999999999E-2</v>
      </c>
      <c r="AC97" s="217">
        <f t="shared" si="177"/>
        <v>2.2499999999999999E-2</v>
      </c>
      <c r="AD97" s="217">
        <f t="shared" si="177"/>
        <v>2.2499999999999999E-2</v>
      </c>
      <c r="AE97" s="220">
        <f t="shared" si="177"/>
        <v>2.2499999999999999E-2</v>
      </c>
      <c r="AF97" s="217">
        <f t="shared" si="177"/>
        <v>2.2499999999999999E-2</v>
      </c>
      <c r="AG97" s="217">
        <f t="shared" si="177"/>
        <v>2.2499999999999999E-2</v>
      </c>
      <c r="AH97" s="217">
        <f t="shared" si="177"/>
        <v>2.2499999999999999E-2</v>
      </c>
      <c r="AI97" s="217">
        <f t="shared" si="177"/>
        <v>2.2499999999999999E-2</v>
      </c>
      <c r="AJ97" s="220">
        <f t="shared" si="177"/>
        <v>2.2499999999999999E-2</v>
      </c>
      <c r="AK97" s="217">
        <f t="shared" si="142"/>
        <v>2.2499999999999999E-2</v>
      </c>
      <c r="AL97" s="217">
        <f t="shared" si="143"/>
        <v>2.2499999999999999E-2</v>
      </c>
      <c r="AM97" s="217">
        <f t="shared" si="144"/>
        <v>2.2499999999999999E-2</v>
      </c>
      <c r="AN97" s="217">
        <f t="shared" si="145"/>
        <v>2.2499999999999999E-2</v>
      </c>
      <c r="AO97" s="220">
        <f t="shared" si="145"/>
        <v>2.2499999999999999E-2</v>
      </c>
      <c r="AP97" s="217">
        <f t="shared" si="146"/>
        <v>2.2499999999999999E-2</v>
      </c>
      <c r="AQ97" s="217">
        <f t="shared" si="147"/>
        <v>2.2499999999999999E-2</v>
      </c>
      <c r="AR97" s="217">
        <f t="shared" si="148"/>
        <v>2.2499999999999999E-2</v>
      </c>
      <c r="AS97" s="217">
        <f t="shared" si="149"/>
        <v>2.2499999999999999E-2</v>
      </c>
      <c r="AT97" s="220">
        <f t="shared" si="150"/>
        <v>2.2499999999999999E-2</v>
      </c>
      <c r="AU97" s="217">
        <f t="shared" si="151"/>
        <v>2.2499999999999999E-2</v>
      </c>
      <c r="AV97" s="217">
        <f t="shared" si="152"/>
        <v>2.2499999999999999E-2</v>
      </c>
      <c r="AW97" s="217">
        <f t="shared" si="153"/>
        <v>2.2499999999999999E-2</v>
      </c>
      <c r="AX97" s="217">
        <f t="shared" si="154"/>
        <v>2.2499999999999999E-2</v>
      </c>
      <c r="AY97" s="220">
        <f t="shared" si="155"/>
        <v>2.2499999999999999E-2</v>
      </c>
      <c r="AZ97" s="217">
        <f t="shared" si="156"/>
        <v>2.2499999999999999E-2</v>
      </c>
      <c r="BA97" s="217">
        <f t="shared" si="157"/>
        <v>2.2499999999999999E-2</v>
      </c>
      <c r="BB97" s="217">
        <f t="shared" si="158"/>
        <v>2.2499999999999999E-2</v>
      </c>
      <c r="BC97" s="217">
        <f t="shared" si="159"/>
        <v>2.2499999999999999E-2</v>
      </c>
      <c r="BD97" s="220">
        <f t="shared" si="160"/>
        <v>2.2499999999999999E-2</v>
      </c>
      <c r="BE97" s="217">
        <f t="shared" si="161"/>
        <v>2.2499999999999999E-2</v>
      </c>
      <c r="BF97" s="217">
        <f t="shared" si="162"/>
        <v>2.2499999999999999E-2</v>
      </c>
      <c r="BG97" s="217">
        <f t="shared" si="163"/>
        <v>2.2499999999999999E-2</v>
      </c>
      <c r="BH97" s="217">
        <f t="shared" si="164"/>
        <v>2.2499999999999999E-2</v>
      </c>
      <c r="BI97" s="220">
        <f t="shared" si="165"/>
        <v>2.2499999999999999E-2</v>
      </c>
      <c r="BJ97" s="21"/>
      <c r="BK97" s="21"/>
      <c r="BL97" s="21"/>
    </row>
    <row r="98" spans="1:64" s="25" customFormat="1">
      <c r="A98" s="525" t="s">
        <v>476</v>
      </c>
      <c r="B98" s="217"/>
      <c r="C98" s="217"/>
      <c r="D98" s="217"/>
      <c r="E98" s="31"/>
      <c r="F98" s="218"/>
      <c r="G98" s="217"/>
      <c r="H98" s="217"/>
      <c r="I98" s="217"/>
      <c r="J98" s="31"/>
      <c r="K98" s="218"/>
      <c r="L98" s="217"/>
      <c r="M98" s="217"/>
      <c r="N98" s="217"/>
      <c r="O98" s="31"/>
      <c r="P98" s="218"/>
      <c r="Q98" s="31"/>
      <c r="R98" s="31"/>
      <c r="S98" s="31"/>
      <c r="T98" s="31"/>
      <c r="U98" s="218"/>
      <c r="V98" s="31"/>
      <c r="W98" s="31"/>
      <c r="X98" s="31"/>
      <c r="Y98" s="31"/>
      <c r="Z98" s="218"/>
      <c r="AA98" s="217"/>
      <c r="AB98" s="217"/>
      <c r="AC98" s="217"/>
      <c r="AD98" s="217"/>
      <c r="AE98" s="220"/>
      <c r="AF98" s="217"/>
      <c r="AG98" s="217"/>
      <c r="AH98" s="217"/>
      <c r="AI98" s="217"/>
      <c r="AJ98" s="220"/>
      <c r="AK98" s="217"/>
      <c r="AL98" s="217"/>
      <c r="AM98" s="217"/>
      <c r="AN98" s="217"/>
      <c r="AO98" s="220"/>
      <c r="AP98" s="217">
        <v>0</v>
      </c>
      <c r="AQ98" s="217">
        <v>0</v>
      </c>
      <c r="AR98" s="217">
        <v>0</v>
      </c>
      <c r="AS98" s="217">
        <v>0.06</v>
      </c>
      <c r="AT98" s="220">
        <f t="shared" ref="AT98" si="184">AS98</f>
        <v>0.06</v>
      </c>
      <c r="AU98" s="217">
        <f t="shared" ref="AU98" si="185">AT98</f>
        <v>0.06</v>
      </c>
      <c r="AV98" s="217">
        <f t="shared" ref="AV98" si="186">AU98</f>
        <v>0.06</v>
      </c>
      <c r="AW98" s="217">
        <f t="shared" ref="AW98" si="187">AV98</f>
        <v>0.06</v>
      </c>
      <c r="AX98" s="217">
        <f t="shared" ref="AX98" si="188">AW98</f>
        <v>0.06</v>
      </c>
      <c r="AY98" s="220">
        <f t="shared" ref="AY98" si="189">AX98</f>
        <v>0.06</v>
      </c>
      <c r="AZ98" s="217">
        <f t="shared" si="156"/>
        <v>0.06</v>
      </c>
      <c r="BA98" s="217">
        <f t="shared" si="157"/>
        <v>0.06</v>
      </c>
      <c r="BB98" s="217">
        <f t="shared" si="158"/>
        <v>0.06</v>
      </c>
      <c r="BC98" s="217">
        <f t="shared" si="159"/>
        <v>0.06</v>
      </c>
      <c r="BD98" s="220">
        <f t="shared" si="160"/>
        <v>0.06</v>
      </c>
      <c r="BE98" s="217">
        <f t="shared" si="161"/>
        <v>0.06</v>
      </c>
      <c r="BF98" s="217">
        <f t="shared" si="162"/>
        <v>0.06</v>
      </c>
      <c r="BG98" s="217">
        <f t="shared" si="163"/>
        <v>0.06</v>
      </c>
      <c r="BH98" s="217">
        <f t="shared" si="164"/>
        <v>0.06</v>
      </c>
      <c r="BI98" s="220">
        <f t="shared" si="165"/>
        <v>0.06</v>
      </c>
      <c r="BJ98" s="21"/>
      <c r="BK98" s="21"/>
      <c r="BL98" s="21"/>
    </row>
    <row r="99" spans="1:64" s="25" customFormat="1">
      <c r="A99" s="3" t="str">
        <f>A31</f>
        <v>1.900% Notes due 2031</v>
      </c>
      <c r="B99" s="217"/>
      <c r="C99" s="217"/>
      <c r="D99" s="217"/>
      <c r="E99" s="31"/>
      <c r="F99" s="218"/>
      <c r="G99" s="217"/>
      <c r="H99" s="217"/>
      <c r="I99" s="217"/>
      <c r="J99" s="31"/>
      <c r="K99" s="218"/>
      <c r="L99" s="217"/>
      <c r="M99" s="217"/>
      <c r="N99" s="217"/>
      <c r="O99" s="31"/>
      <c r="P99" s="218"/>
      <c r="Q99" s="31"/>
      <c r="R99" s="31"/>
      <c r="S99" s="31"/>
      <c r="T99" s="31"/>
      <c r="U99" s="218"/>
      <c r="V99" s="31"/>
      <c r="W99" s="31"/>
      <c r="X99" s="31"/>
      <c r="Y99" s="31"/>
      <c r="Z99" s="218"/>
      <c r="AA99" s="217"/>
      <c r="AB99" s="217">
        <v>0</v>
      </c>
      <c r="AC99" s="217">
        <v>0</v>
      </c>
      <c r="AD99" s="217">
        <f t="shared" si="177"/>
        <v>0</v>
      </c>
      <c r="AE99" s="220">
        <f t="shared" si="177"/>
        <v>0</v>
      </c>
      <c r="AF99" s="217">
        <f t="shared" si="177"/>
        <v>0</v>
      </c>
      <c r="AG99" s="217">
        <f t="shared" si="177"/>
        <v>0</v>
      </c>
      <c r="AH99" s="217">
        <v>1.9E-2</v>
      </c>
      <c r="AI99" s="217">
        <f t="shared" si="177"/>
        <v>1.9E-2</v>
      </c>
      <c r="AJ99" s="220">
        <f t="shared" si="177"/>
        <v>1.9E-2</v>
      </c>
      <c r="AK99" s="217">
        <f t="shared" si="142"/>
        <v>1.9E-2</v>
      </c>
      <c r="AL99" s="217">
        <f t="shared" si="143"/>
        <v>1.9E-2</v>
      </c>
      <c r="AM99" s="217">
        <f t="shared" si="144"/>
        <v>1.9E-2</v>
      </c>
      <c r="AN99" s="217">
        <f t="shared" si="145"/>
        <v>1.9E-2</v>
      </c>
      <c r="AO99" s="220">
        <f t="shared" si="145"/>
        <v>1.9E-2</v>
      </c>
      <c r="AP99" s="217">
        <f t="shared" si="146"/>
        <v>1.9E-2</v>
      </c>
      <c r="AQ99" s="217">
        <f t="shared" si="147"/>
        <v>1.9E-2</v>
      </c>
      <c r="AR99" s="217">
        <f t="shared" si="148"/>
        <v>1.9E-2</v>
      </c>
      <c r="AS99" s="217">
        <f t="shared" si="149"/>
        <v>1.9E-2</v>
      </c>
      <c r="AT99" s="220">
        <f t="shared" si="150"/>
        <v>1.9E-2</v>
      </c>
      <c r="AU99" s="217">
        <f t="shared" si="151"/>
        <v>1.9E-2</v>
      </c>
      <c r="AV99" s="217">
        <f t="shared" si="152"/>
        <v>1.9E-2</v>
      </c>
      <c r="AW99" s="217">
        <f t="shared" si="153"/>
        <v>1.9E-2</v>
      </c>
      <c r="AX99" s="217">
        <f t="shared" si="154"/>
        <v>1.9E-2</v>
      </c>
      <c r="AY99" s="220">
        <f t="shared" si="155"/>
        <v>1.9E-2</v>
      </c>
      <c r="AZ99" s="217">
        <f t="shared" si="156"/>
        <v>1.9E-2</v>
      </c>
      <c r="BA99" s="217">
        <f t="shared" si="157"/>
        <v>1.9E-2</v>
      </c>
      <c r="BB99" s="217">
        <f t="shared" si="158"/>
        <v>1.9E-2</v>
      </c>
      <c r="BC99" s="217">
        <f t="shared" si="159"/>
        <v>1.9E-2</v>
      </c>
      <c r="BD99" s="220">
        <f t="shared" si="160"/>
        <v>1.9E-2</v>
      </c>
      <c r="BE99" s="217">
        <f t="shared" si="161"/>
        <v>1.9E-2</v>
      </c>
      <c r="BF99" s="217">
        <f t="shared" si="162"/>
        <v>1.9E-2</v>
      </c>
      <c r="BG99" s="217">
        <f t="shared" si="163"/>
        <v>1.9E-2</v>
      </c>
      <c r="BH99" s="217">
        <f t="shared" si="164"/>
        <v>1.9E-2</v>
      </c>
      <c r="BI99" s="220">
        <f t="shared" si="165"/>
        <v>1.9E-2</v>
      </c>
      <c r="BJ99" s="21"/>
      <c r="BK99" s="21"/>
      <c r="BL99" s="21"/>
    </row>
    <row r="100" spans="1:64" s="25" customFormat="1">
      <c r="A100" s="481" t="s">
        <v>426</v>
      </c>
      <c r="B100" s="217"/>
      <c r="C100" s="217"/>
      <c r="D100" s="217"/>
      <c r="E100" s="31"/>
      <c r="F100" s="218"/>
      <c r="G100" s="217"/>
      <c r="H100" s="217"/>
      <c r="I100" s="217"/>
      <c r="J100" s="31"/>
      <c r="K100" s="218"/>
      <c r="L100" s="217"/>
      <c r="M100" s="217"/>
      <c r="N100" s="217"/>
      <c r="O100" s="31"/>
      <c r="P100" s="218"/>
      <c r="Q100" s="31"/>
      <c r="R100" s="31"/>
      <c r="S100" s="31"/>
      <c r="T100" s="31"/>
      <c r="U100" s="218"/>
      <c r="V100" s="31"/>
      <c r="W100" s="31"/>
      <c r="X100" s="31"/>
      <c r="Y100" s="31"/>
      <c r="Z100" s="218"/>
      <c r="AA100" s="217"/>
      <c r="AB100" s="217">
        <v>0</v>
      </c>
      <c r="AC100" s="217">
        <v>0</v>
      </c>
      <c r="AD100" s="217">
        <f t="shared" ref="AD100:AD101" si="190">AC100</f>
        <v>0</v>
      </c>
      <c r="AE100" s="220">
        <f t="shared" ref="AE100:AE101" si="191">AD100</f>
        <v>0</v>
      </c>
      <c r="AF100" s="217">
        <f t="shared" ref="AF100:AF101" si="192">AE100</f>
        <v>0</v>
      </c>
      <c r="AG100" s="217">
        <f t="shared" ref="AG100:AG101" si="193">AF100</f>
        <v>0</v>
      </c>
      <c r="AH100" s="217">
        <v>0</v>
      </c>
      <c r="AI100" s="217">
        <v>2.375E-2</v>
      </c>
      <c r="AJ100" s="220">
        <f t="shared" si="177"/>
        <v>2.375E-2</v>
      </c>
      <c r="AK100" s="217">
        <f t="shared" ref="AK100:AK101" si="194">AJ100</f>
        <v>2.375E-2</v>
      </c>
      <c r="AL100" s="217">
        <f t="shared" ref="AL100:AL101" si="195">AK100</f>
        <v>2.375E-2</v>
      </c>
      <c r="AM100" s="217">
        <f t="shared" ref="AM100:AM101" si="196">AL100</f>
        <v>2.375E-2</v>
      </c>
      <c r="AN100" s="217">
        <f t="shared" ref="AN100:AN101" si="197">AM100</f>
        <v>2.375E-2</v>
      </c>
      <c r="AO100" s="220">
        <f t="shared" ref="AO100:AO101" si="198">AN100</f>
        <v>2.375E-2</v>
      </c>
      <c r="AP100" s="217">
        <f t="shared" si="146"/>
        <v>2.375E-2</v>
      </c>
      <c r="AQ100" s="217">
        <f t="shared" si="147"/>
        <v>2.375E-2</v>
      </c>
      <c r="AR100" s="217">
        <f t="shared" si="148"/>
        <v>2.375E-2</v>
      </c>
      <c r="AS100" s="217">
        <f t="shared" si="149"/>
        <v>2.375E-2</v>
      </c>
      <c r="AT100" s="220">
        <f t="shared" si="150"/>
        <v>2.375E-2</v>
      </c>
      <c r="AU100" s="217">
        <f t="shared" si="151"/>
        <v>2.375E-2</v>
      </c>
      <c r="AV100" s="217">
        <f t="shared" si="152"/>
        <v>2.375E-2</v>
      </c>
      <c r="AW100" s="217">
        <f t="shared" si="153"/>
        <v>2.375E-2</v>
      </c>
      <c r="AX100" s="217">
        <f t="shared" si="154"/>
        <v>2.375E-2</v>
      </c>
      <c r="AY100" s="220">
        <f t="shared" si="155"/>
        <v>2.375E-2</v>
      </c>
      <c r="AZ100" s="217">
        <f t="shared" si="156"/>
        <v>2.375E-2</v>
      </c>
      <c r="BA100" s="217">
        <f t="shared" si="157"/>
        <v>2.375E-2</v>
      </c>
      <c r="BB100" s="217">
        <f t="shared" si="158"/>
        <v>2.375E-2</v>
      </c>
      <c r="BC100" s="217">
        <f t="shared" si="159"/>
        <v>2.375E-2</v>
      </c>
      <c r="BD100" s="220">
        <f t="shared" si="160"/>
        <v>2.375E-2</v>
      </c>
      <c r="BE100" s="217">
        <f t="shared" si="161"/>
        <v>2.375E-2</v>
      </c>
      <c r="BF100" s="217">
        <f t="shared" si="162"/>
        <v>2.375E-2</v>
      </c>
      <c r="BG100" s="217">
        <f t="shared" si="163"/>
        <v>2.375E-2</v>
      </c>
      <c r="BH100" s="217">
        <f t="shared" si="164"/>
        <v>2.375E-2</v>
      </c>
      <c r="BI100" s="220">
        <f t="shared" si="165"/>
        <v>2.375E-2</v>
      </c>
      <c r="BJ100" s="21"/>
      <c r="BK100" s="21"/>
      <c r="BL100" s="21"/>
    </row>
    <row r="101" spans="1:64" s="25" customFormat="1">
      <c r="A101" s="492" t="str">
        <f>A33</f>
        <v>5.150% Notes due 2033</v>
      </c>
      <c r="B101" s="217"/>
      <c r="C101" s="217"/>
      <c r="D101" s="217"/>
      <c r="E101" s="31"/>
      <c r="F101" s="218"/>
      <c r="G101" s="217"/>
      <c r="H101" s="217"/>
      <c r="I101" s="217"/>
      <c r="J101" s="31"/>
      <c r="K101" s="218"/>
      <c r="L101" s="217"/>
      <c r="M101" s="217"/>
      <c r="N101" s="217"/>
      <c r="O101" s="31"/>
      <c r="P101" s="218"/>
      <c r="Q101" s="31"/>
      <c r="R101" s="31"/>
      <c r="S101" s="31"/>
      <c r="T101" s="31"/>
      <c r="U101" s="218"/>
      <c r="V101" s="31"/>
      <c r="W101" s="31"/>
      <c r="X101" s="31"/>
      <c r="Y101" s="31"/>
      <c r="Z101" s="218"/>
      <c r="AA101" s="217"/>
      <c r="AB101" s="217">
        <v>5.1499999999999997E-2</v>
      </c>
      <c r="AC101" s="217">
        <f t="shared" ref="AC101" si="199">AB101</f>
        <v>5.1499999999999997E-2</v>
      </c>
      <c r="AD101" s="217">
        <f t="shared" si="190"/>
        <v>5.1499999999999997E-2</v>
      </c>
      <c r="AE101" s="220">
        <f t="shared" si="191"/>
        <v>5.1499999999999997E-2</v>
      </c>
      <c r="AF101" s="217">
        <f t="shared" si="192"/>
        <v>5.1499999999999997E-2</v>
      </c>
      <c r="AG101" s="217">
        <f t="shared" si="193"/>
        <v>5.1499999999999997E-2</v>
      </c>
      <c r="AH101" s="217">
        <f t="shared" ref="AH101" si="200">AG101</f>
        <v>5.1499999999999997E-2</v>
      </c>
      <c r="AI101" s="217">
        <f t="shared" ref="AI101" si="201">AH101</f>
        <v>5.1499999999999997E-2</v>
      </c>
      <c r="AJ101" s="220">
        <f t="shared" ref="AJ101" si="202">AI101</f>
        <v>5.1499999999999997E-2</v>
      </c>
      <c r="AK101" s="217">
        <f t="shared" si="194"/>
        <v>5.1499999999999997E-2</v>
      </c>
      <c r="AL101" s="217">
        <f t="shared" si="195"/>
        <v>5.1499999999999997E-2</v>
      </c>
      <c r="AM101" s="217">
        <f t="shared" si="196"/>
        <v>5.1499999999999997E-2</v>
      </c>
      <c r="AN101" s="217">
        <f t="shared" si="197"/>
        <v>5.1499999999999997E-2</v>
      </c>
      <c r="AO101" s="220">
        <f t="shared" si="198"/>
        <v>5.1499999999999997E-2</v>
      </c>
      <c r="AP101" s="217">
        <f t="shared" ref="AP101" si="203">AO101</f>
        <v>5.1499999999999997E-2</v>
      </c>
      <c r="AQ101" s="217">
        <f t="shared" ref="AQ101" si="204">AP101</f>
        <v>5.1499999999999997E-2</v>
      </c>
      <c r="AR101" s="217">
        <f t="shared" ref="AR101" si="205">AQ101</f>
        <v>5.1499999999999997E-2</v>
      </c>
      <c r="AS101" s="217">
        <f t="shared" ref="AS101" si="206">AR101</f>
        <v>5.1499999999999997E-2</v>
      </c>
      <c r="AT101" s="220">
        <f t="shared" ref="AT101" si="207">AS101</f>
        <v>5.1499999999999997E-2</v>
      </c>
      <c r="AU101" s="217">
        <f t="shared" si="151"/>
        <v>5.1499999999999997E-2</v>
      </c>
      <c r="AV101" s="217">
        <f t="shared" si="152"/>
        <v>5.1499999999999997E-2</v>
      </c>
      <c r="AW101" s="217">
        <f t="shared" si="153"/>
        <v>5.1499999999999997E-2</v>
      </c>
      <c r="AX101" s="217">
        <f t="shared" si="154"/>
        <v>5.1499999999999997E-2</v>
      </c>
      <c r="AY101" s="220">
        <f t="shared" si="155"/>
        <v>5.1499999999999997E-2</v>
      </c>
      <c r="AZ101" s="217">
        <f t="shared" si="156"/>
        <v>5.1499999999999997E-2</v>
      </c>
      <c r="BA101" s="217">
        <f t="shared" si="157"/>
        <v>5.1499999999999997E-2</v>
      </c>
      <c r="BB101" s="217">
        <f t="shared" si="158"/>
        <v>5.1499999999999997E-2</v>
      </c>
      <c r="BC101" s="217">
        <f t="shared" si="159"/>
        <v>5.1499999999999997E-2</v>
      </c>
      <c r="BD101" s="220">
        <f t="shared" si="160"/>
        <v>5.1499999999999997E-2</v>
      </c>
      <c r="BE101" s="217">
        <f t="shared" si="161"/>
        <v>5.1499999999999997E-2</v>
      </c>
      <c r="BF101" s="217">
        <f t="shared" si="162"/>
        <v>5.1499999999999997E-2</v>
      </c>
      <c r="BG101" s="217">
        <f t="shared" si="163"/>
        <v>5.1499999999999997E-2</v>
      </c>
      <c r="BH101" s="217">
        <f t="shared" si="164"/>
        <v>5.1499999999999997E-2</v>
      </c>
      <c r="BI101" s="220">
        <f t="shared" si="165"/>
        <v>5.1499999999999997E-2</v>
      </c>
      <c r="BJ101" s="21"/>
      <c r="BK101" s="21"/>
      <c r="BL101" s="21"/>
    </row>
    <row r="102" spans="1:64" s="25" customFormat="1">
      <c r="A102" s="525" t="s">
        <v>474</v>
      </c>
      <c r="B102" s="217"/>
      <c r="C102" s="217"/>
      <c r="D102" s="217"/>
      <c r="E102" s="31"/>
      <c r="F102" s="218"/>
      <c r="G102" s="217"/>
      <c r="H102" s="217"/>
      <c r="I102" s="217"/>
      <c r="J102" s="31"/>
      <c r="K102" s="218"/>
      <c r="L102" s="217"/>
      <c r="M102" s="217"/>
      <c r="N102" s="217"/>
      <c r="O102" s="31"/>
      <c r="P102" s="218"/>
      <c r="Q102" s="31"/>
      <c r="R102" s="31"/>
      <c r="S102" s="31"/>
      <c r="T102" s="31"/>
      <c r="U102" s="218"/>
      <c r="V102" s="31"/>
      <c r="W102" s="31"/>
      <c r="X102" s="31"/>
      <c r="Y102" s="31"/>
      <c r="Z102" s="218"/>
      <c r="AA102" s="217"/>
      <c r="AB102" s="217"/>
      <c r="AC102" s="217"/>
      <c r="AD102" s="217"/>
      <c r="AE102" s="220"/>
      <c r="AF102" s="217"/>
      <c r="AG102" s="217"/>
      <c r="AH102" s="217"/>
      <c r="AI102" s="217"/>
      <c r="AJ102" s="220"/>
      <c r="AK102" s="217"/>
      <c r="AL102" s="217"/>
      <c r="AM102" s="217"/>
      <c r="AN102" s="217"/>
      <c r="AO102" s="220"/>
      <c r="AP102" s="217">
        <v>0</v>
      </c>
      <c r="AQ102" s="217">
        <v>0</v>
      </c>
      <c r="AR102" s="217">
        <v>0</v>
      </c>
      <c r="AS102" s="217">
        <v>6.0999999999999999E-2</v>
      </c>
      <c r="AT102" s="220">
        <f t="shared" ref="AT102" si="208">AS102</f>
        <v>6.0999999999999999E-2</v>
      </c>
      <c r="AU102" s="217">
        <f t="shared" ref="AU102" si="209">AT102</f>
        <v>6.0999999999999999E-2</v>
      </c>
      <c r="AV102" s="217">
        <f t="shared" ref="AV102" si="210">AU102</f>
        <v>6.0999999999999999E-2</v>
      </c>
      <c r="AW102" s="217">
        <f t="shared" ref="AW102" si="211">AV102</f>
        <v>6.0999999999999999E-2</v>
      </c>
      <c r="AX102" s="217">
        <f t="shared" ref="AX102" si="212">AW102</f>
        <v>6.0999999999999999E-2</v>
      </c>
      <c r="AY102" s="220">
        <f t="shared" ref="AY102" si="213">AX102</f>
        <v>6.0999999999999999E-2</v>
      </c>
      <c r="AZ102" s="217">
        <f t="shared" si="156"/>
        <v>6.0999999999999999E-2</v>
      </c>
      <c r="BA102" s="217">
        <f t="shared" si="157"/>
        <v>6.0999999999999999E-2</v>
      </c>
      <c r="BB102" s="217">
        <f t="shared" si="158"/>
        <v>6.0999999999999999E-2</v>
      </c>
      <c r="BC102" s="217">
        <f t="shared" si="159"/>
        <v>6.0999999999999999E-2</v>
      </c>
      <c r="BD102" s="220">
        <f t="shared" si="160"/>
        <v>6.0999999999999999E-2</v>
      </c>
      <c r="BE102" s="217">
        <f t="shared" si="161"/>
        <v>6.0999999999999999E-2</v>
      </c>
      <c r="BF102" s="217">
        <f t="shared" si="162"/>
        <v>6.0999999999999999E-2</v>
      </c>
      <c r="BG102" s="217">
        <f t="shared" si="163"/>
        <v>6.0999999999999999E-2</v>
      </c>
      <c r="BH102" s="217">
        <f t="shared" si="164"/>
        <v>6.0999999999999999E-2</v>
      </c>
      <c r="BI102" s="220">
        <f t="shared" si="165"/>
        <v>6.0999999999999999E-2</v>
      </c>
      <c r="BJ102" s="21"/>
      <c r="BK102" s="21"/>
      <c r="BL102" s="21"/>
    </row>
    <row r="103" spans="1:64" s="25" customFormat="1">
      <c r="A103" s="481" t="str">
        <f t="shared" ref="A103:A121" si="214">A35</f>
        <v>5.400% Notes due 2035</v>
      </c>
      <c r="B103" s="217"/>
      <c r="C103" s="217"/>
      <c r="D103" s="217"/>
      <c r="E103" s="31"/>
      <c r="F103" s="218"/>
      <c r="G103" s="217"/>
      <c r="H103" s="217"/>
      <c r="I103" s="217"/>
      <c r="J103" s="31"/>
      <c r="K103" s="218"/>
      <c r="L103" s="217"/>
      <c r="M103" s="217"/>
      <c r="N103" s="217"/>
      <c r="O103" s="31"/>
      <c r="P103" s="218"/>
      <c r="Q103" s="31"/>
      <c r="R103" s="31"/>
      <c r="S103" s="31"/>
      <c r="T103" s="31"/>
      <c r="U103" s="218"/>
      <c r="V103" s="31"/>
      <c r="W103" s="31"/>
      <c r="X103" s="31"/>
      <c r="Y103" s="31"/>
      <c r="Z103" s="218"/>
      <c r="AA103" s="217"/>
      <c r="AB103" s="217">
        <v>5.3999999999999999E-2</v>
      </c>
      <c r="AC103" s="217">
        <f t="shared" si="177"/>
        <v>5.3999999999999999E-2</v>
      </c>
      <c r="AD103" s="217">
        <f t="shared" si="177"/>
        <v>5.3999999999999999E-2</v>
      </c>
      <c r="AE103" s="220">
        <f t="shared" si="177"/>
        <v>5.3999999999999999E-2</v>
      </c>
      <c r="AF103" s="217">
        <f t="shared" si="177"/>
        <v>5.3999999999999999E-2</v>
      </c>
      <c r="AG103" s="217">
        <f t="shared" si="177"/>
        <v>5.3999999999999999E-2</v>
      </c>
      <c r="AH103" s="217">
        <f t="shared" si="177"/>
        <v>5.3999999999999999E-2</v>
      </c>
      <c r="AI103" s="217">
        <f t="shared" si="177"/>
        <v>5.3999999999999999E-2</v>
      </c>
      <c r="AJ103" s="220">
        <f t="shared" si="177"/>
        <v>5.3999999999999999E-2</v>
      </c>
      <c r="AK103" s="217">
        <f t="shared" si="142"/>
        <v>5.3999999999999999E-2</v>
      </c>
      <c r="AL103" s="217">
        <f t="shared" si="143"/>
        <v>5.3999999999999999E-2</v>
      </c>
      <c r="AM103" s="217">
        <f t="shared" si="144"/>
        <v>5.3999999999999999E-2</v>
      </c>
      <c r="AN103" s="217">
        <f t="shared" si="145"/>
        <v>5.3999999999999999E-2</v>
      </c>
      <c r="AO103" s="220">
        <f t="shared" si="145"/>
        <v>5.3999999999999999E-2</v>
      </c>
      <c r="AP103" s="217">
        <f t="shared" si="146"/>
        <v>5.3999999999999999E-2</v>
      </c>
      <c r="AQ103" s="217">
        <f t="shared" si="147"/>
        <v>5.3999999999999999E-2</v>
      </c>
      <c r="AR103" s="217">
        <f t="shared" si="148"/>
        <v>5.3999999999999999E-2</v>
      </c>
      <c r="AS103" s="217">
        <f t="shared" si="149"/>
        <v>5.3999999999999999E-2</v>
      </c>
      <c r="AT103" s="220">
        <f t="shared" si="150"/>
        <v>5.3999999999999999E-2</v>
      </c>
      <c r="AU103" s="217">
        <f t="shared" si="151"/>
        <v>5.3999999999999999E-2</v>
      </c>
      <c r="AV103" s="217">
        <f t="shared" si="152"/>
        <v>5.3999999999999999E-2</v>
      </c>
      <c r="AW103" s="217">
        <f t="shared" si="153"/>
        <v>5.3999999999999999E-2</v>
      </c>
      <c r="AX103" s="217">
        <f t="shared" si="154"/>
        <v>5.3999999999999999E-2</v>
      </c>
      <c r="AY103" s="220">
        <f t="shared" si="155"/>
        <v>5.3999999999999999E-2</v>
      </c>
      <c r="AZ103" s="217">
        <f t="shared" si="156"/>
        <v>5.3999999999999999E-2</v>
      </c>
      <c r="BA103" s="217">
        <f t="shared" si="157"/>
        <v>5.3999999999999999E-2</v>
      </c>
      <c r="BB103" s="217">
        <f t="shared" si="158"/>
        <v>5.3999999999999999E-2</v>
      </c>
      <c r="BC103" s="217">
        <f t="shared" si="159"/>
        <v>5.3999999999999999E-2</v>
      </c>
      <c r="BD103" s="220">
        <f t="shared" si="160"/>
        <v>5.3999999999999999E-2</v>
      </c>
      <c r="BE103" s="217">
        <f t="shared" si="161"/>
        <v>5.3999999999999999E-2</v>
      </c>
      <c r="BF103" s="217">
        <f t="shared" si="162"/>
        <v>5.3999999999999999E-2</v>
      </c>
      <c r="BG103" s="217">
        <f t="shared" si="163"/>
        <v>5.3999999999999999E-2</v>
      </c>
      <c r="BH103" s="217">
        <f t="shared" si="164"/>
        <v>5.3999999999999999E-2</v>
      </c>
      <c r="BI103" s="220">
        <f t="shared" si="165"/>
        <v>5.3999999999999999E-2</v>
      </c>
      <c r="BJ103" s="21"/>
      <c r="BK103" s="21"/>
      <c r="BL103" s="21"/>
    </row>
    <row r="104" spans="1:64" s="25" customFormat="1">
      <c r="A104" s="481" t="str">
        <f t="shared" si="214"/>
        <v>6.050% Notes due 2036</v>
      </c>
      <c r="B104" s="217"/>
      <c r="C104" s="217"/>
      <c r="D104" s="217"/>
      <c r="E104" s="31"/>
      <c r="F104" s="218"/>
      <c r="G104" s="217"/>
      <c r="H104" s="217"/>
      <c r="I104" s="217"/>
      <c r="J104" s="31"/>
      <c r="K104" s="218"/>
      <c r="L104" s="217"/>
      <c r="M104" s="217"/>
      <c r="N104" s="217"/>
      <c r="O104" s="31"/>
      <c r="P104" s="218"/>
      <c r="Q104" s="31"/>
      <c r="R104" s="31"/>
      <c r="S104" s="31"/>
      <c r="T104" s="31"/>
      <c r="U104" s="218"/>
      <c r="V104" s="31"/>
      <c r="W104" s="31"/>
      <c r="X104" s="31"/>
      <c r="Y104" s="31"/>
      <c r="Z104" s="218"/>
      <c r="AA104" s="217"/>
      <c r="AB104" s="217">
        <v>6.0499999999999998E-2</v>
      </c>
      <c r="AC104" s="217">
        <f t="shared" si="177"/>
        <v>6.0499999999999998E-2</v>
      </c>
      <c r="AD104" s="217">
        <f t="shared" si="177"/>
        <v>6.0499999999999998E-2</v>
      </c>
      <c r="AE104" s="220">
        <f t="shared" si="177"/>
        <v>6.0499999999999998E-2</v>
      </c>
      <c r="AF104" s="217">
        <f t="shared" si="177"/>
        <v>6.0499999999999998E-2</v>
      </c>
      <c r="AG104" s="217">
        <f t="shared" si="177"/>
        <v>6.0499999999999998E-2</v>
      </c>
      <c r="AH104" s="217">
        <f t="shared" si="177"/>
        <v>6.0499999999999998E-2</v>
      </c>
      <c r="AI104" s="217">
        <f t="shared" si="177"/>
        <v>6.0499999999999998E-2</v>
      </c>
      <c r="AJ104" s="220">
        <f t="shared" si="177"/>
        <v>6.0499999999999998E-2</v>
      </c>
      <c r="AK104" s="217">
        <f t="shared" si="142"/>
        <v>6.0499999999999998E-2</v>
      </c>
      <c r="AL104" s="217">
        <f t="shared" si="143"/>
        <v>6.0499999999999998E-2</v>
      </c>
      <c r="AM104" s="217">
        <f t="shared" si="144"/>
        <v>6.0499999999999998E-2</v>
      </c>
      <c r="AN104" s="217">
        <f t="shared" si="145"/>
        <v>6.0499999999999998E-2</v>
      </c>
      <c r="AO104" s="220">
        <f t="shared" si="145"/>
        <v>6.0499999999999998E-2</v>
      </c>
      <c r="AP104" s="217">
        <f t="shared" si="146"/>
        <v>6.0499999999999998E-2</v>
      </c>
      <c r="AQ104" s="217">
        <f t="shared" si="147"/>
        <v>6.0499999999999998E-2</v>
      </c>
      <c r="AR104" s="217">
        <f t="shared" si="148"/>
        <v>6.0499999999999998E-2</v>
      </c>
      <c r="AS104" s="217">
        <f t="shared" si="149"/>
        <v>6.0499999999999998E-2</v>
      </c>
      <c r="AT104" s="220">
        <f t="shared" si="150"/>
        <v>6.0499999999999998E-2</v>
      </c>
      <c r="AU104" s="217">
        <f t="shared" si="151"/>
        <v>6.0499999999999998E-2</v>
      </c>
      <c r="AV104" s="217">
        <f t="shared" si="152"/>
        <v>6.0499999999999998E-2</v>
      </c>
      <c r="AW104" s="217">
        <f t="shared" si="153"/>
        <v>6.0499999999999998E-2</v>
      </c>
      <c r="AX104" s="217">
        <f t="shared" si="154"/>
        <v>6.0499999999999998E-2</v>
      </c>
      <c r="AY104" s="220">
        <f t="shared" si="155"/>
        <v>6.0499999999999998E-2</v>
      </c>
      <c r="AZ104" s="217">
        <f t="shared" si="156"/>
        <v>6.0499999999999998E-2</v>
      </c>
      <c r="BA104" s="217">
        <f t="shared" si="157"/>
        <v>6.0499999999999998E-2</v>
      </c>
      <c r="BB104" s="217">
        <f t="shared" si="158"/>
        <v>6.0499999999999998E-2</v>
      </c>
      <c r="BC104" s="217">
        <f t="shared" si="159"/>
        <v>6.0499999999999998E-2</v>
      </c>
      <c r="BD104" s="220">
        <f t="shared" si="160"/>
        <v>6.0499999999999998E-2</v>
      </c>
      <c r="BE104" s="217">
        <f t="shared" si="161"/>
        <v>6.0499999999999998E-2</v>
      </c>
      <c r="BF104" s="217">
        <f t="shared" si="162"/>
        <v>6.0499999999999998E-2</v>
      </c>
      <c r="BG104" s="217">
        <f t="shared" si="163"/>
        <v>6.0499999999999998E-2</v>
      </c>
      <c r="BH104" s="217">
        <f t="shared" si="164"/>
        <v>6.0499999999999998E-2</v>
      </c>
      <c r="BI104" s="220">
        <f t="shared" si="165"/>
        <v>6.0499999999999998E-2</v>
      </c>
      <c r="BJ104" s="21"/>
      <c r="BK104" s="21"/>
      <c r="BL104" s="21"/>
    </row>
    <row r="105" spans="1:64" s="25" customFormat="1">
      <c r="A105" s="481" t="str">
        <f t="shared" si="214"/>
        <v>6.800% Notes due 2036</v>
      </c>
      <c r="B105" s="217"/>
      <c r="C105" s="217"/>
      <c r="D105" s="217"/>
      <c r="E105" s="31"/>
      <c r="F105" s="218"/>
      <c r="G105" s="217"/>
      <c r="H105" s="217"/>
      <c r="I105" s="217"/>
      <c r="J105" s="31"/>
      <c r="K105" s="218"/>
      <c r="L105" s="217"/>
      <c r="M105" s="217"/>
      <c r="N105" s="217"/>
      <c r="O105" s="31"/>
      <c r="P105" s="218"/>
      <c r="Q105" s="31"/>
      <c r="R105" s="31"/>
      <c r="S105" s="31"/>
      <c r="T105" s="31"/>
      <c r="U105" s="218"/>
      <c r="V105" s="31"/>
      <c r="W105" s="31"/>
      <c r="X105" s="31"/>
      <c r="Y105" s="31"/>
      <c r="Z105" s="218"/>
      <c r="AA105" s="217"/>
      <c r="AB105" s="217">
        <v>6.8000000000000005E-2</v>
      </c>
      <c r="AC105" s="217">
        <f t="shared" si="177"/>
        <v>6.8000000000000005E-2</v>
      </c>
      <c r="AD105" s="217">
        <f t="shared" si="177"/>
        <v>6.8000000000000005E-2</v>
      </c>
      <c r="AE105" s="220">
        <f t="shared" si="177"/>
        <v>6.8000000000000005E-2</v>
      </c>
      <c r="AF105" s="217">
        <f t="shared" si="177"/>
        <v>6.8000000000000005E-2</v>
      </c>
      <c r="AG105" s="217">
        <f t="shared" si="177"/>
        <v>6.8000000000000005E-2</v>
      </c>
      <c r="AH105" s="217">
        <f t="shared" si="177"/>
        <v>6.8000000000000005E-2</v>
      </c>
      <c r="AI105" s="217">
        <f t="shared" si="177"/>
        <v>6.8000000000000005E-2</v>
      </c>
      <c r="AJ105" s="220">
        <f t="shared" si="177"/>
        <v>6.8000000000000005E-2</v>
      </c>
      <c r="AK105" s="217">
        <f t="shared" si="142"/>
        <v>6.8000000000000005E-2</v>
      </c>
      <c r="AL105" s="217">
        <f t="shared" si="143"/>
        <v>6.8000000000000005E-2</v>
      </c>
      <c r="AM105" s="217">
        <f t="shared" si="144"/>
        <v>6.8000000000000005E-2</v>
      </c>
      <c r="AN105" s="217">
        <f t="shared" si="145"/>
        <v>6.8000000000000005E-2</v>
      </c>
      <c r="AO105" s="220">
        <f t="shared" si="145"/>
        <v>6.8000000000000005E-2</v>
      </c>
      <c r="AP105" s="217">
        <f t="shared" si="146"/>
        <v>6.8000000000000005E-2</v>
      </c>
      <c r="AQ105" s="217">
        <f t="shared" si="147"/>
        <v>6.8000000000000005E-2</v>
      </c>
      <c r="AR105" s="217">
        <f t="shared" si="148"/>
        <v>6.8000000000000005E-2</v>
      </c>
      <c r="AS105" s="217">
        <f t="shared" si="149"/>
        <v>6.8000000000000005E-2</v>
      </c>
      <c r="AT105" s="220">
        <f t="shared" si="150"/>
        <v>6.8000000000000005E-2</v>
      </c>
      <c r="AU105" s="217">
        <f t="shared" si="151"/>
        <v>6.8000000000000005E-2</v>
      </c>
      <c r="AV105" s="217">
        <f t="shared" si="152"/>
        <v>6.8000000000000005E-2</v>
      </c>
      <c r="AW105" s="217">
        <f t="shared" si="153"/>
        <v>6.8000000000000005E-2</v>
      </c>
      <c r="AX105" s="217">
        <f t="shared" si="154"/>
        <v>6.8000000000000005E-2</v>
      </c>
      <c r="AY105" s="220">
        <f t="shared" si="155"/>
        <v>6.8000000000000005E-2</v>
      </c>
      <c r="AZ105" s="217">
        <f t="shared" si="156"/>
        <v>6.8000000000000005E-2</v>
      </c>
      <c r="BA105" s="217">
        <f t="shared" si="157"/>
        <v>6.8000000000000005E-2</v>
      </c>
      <c r="BB105" s="217">
        <f t="shared" si="158"/>
        <v>6.8000000000000005E-2</v>
      </c>
      <c r="BC105" s="217">
        <f t="shared" si="159"/>
        <v>6.8000000000000005E-2</v>
      </c>
      <c r="BD105" s="220">
        <f t="shared" si="160"/>
        <v>6.8000000000000005E-2</v>
      </c>
      <c r="BE105" s="217">
        <f t="shared" si="161"/>
        <v>6.8000000000000005E-2</v>
      </c>
      <c r="BF105" s="217">
        <f t="shared" si="162"/>
        <v>6.8000000000000005E-2</v>
      </c>
      <c r="BG105" s="217">
        <f t="shared" si="163"/>
        <v>6.8000000000000005E-2</v>
      </c>
      <c r="BH105" s="217">
        <f t="shared" si="164"/>
        <v>6.8000000000000005E-2</v>
      </c>
      <c r="BI105" s="220">
        <f t="shared" si="165"/>
        <v>6.8000000000000005E-2</v>
      </c>
      <c r="BJ105" s="21"/>
      <c r="BK105" s="21"/>
      <c r="BL105" s="21"/>
    </row>
    <row r="106" spans="1:64" s="25" customFormat="1">
      <c r="A106" s="481" t="str">
        <f t="shared" si="214"/>
        <v>7.000% Notes due 2038</v>
      </c>
      <c r="B106" s="217"/>
      <c r="C106" s="217"/>
      <c r="D106" s="217"/>
      <c r="E106" s="31"/>
      <c r="F106" s="218"/>
      <c r="G106" s="217"/>
      <c r="H106" s="217"/>
      <c r="I106" s="217"/>
      <c r="J106" s="31"/>
      <c r="K106" s="218"/>
      <c r="L106" s="217"/>
      <c r="M106" s="217"/>
      <c r="N106" s="217"/>
      <c r="O106" s="31"/>
      <c r="P106" s="218"/>
      <c r="Q106" s="31"/>
      <c r="R106" s="31"/>
      <c r="S106" s="31"/>
      <c r="T106" s="31"/>
      <c r="U106" s="218"/>
      <c r="V106" s="31"/>
      <c r="W106" s="31"/>
      <c r="X106" s="31"/>
      <c r="Y106" s="31"/>
      <c r="Z106" s="218"/>
      <c r="AA106" s="217"/>
      <c r="AB106" s="217">
        <v>7.0000000000000007E-2</v>
      </c>
      <c r="AC106" s="217">
        <f t="shared" si="177"/>
        <v>7.0000000000000007E-2</v>
      </c>
      <c r="AD106" s="217">
        <f t="shared" si="177"/>
        <v>7.0000000000000007E-2</v>
      </c>
      <c r="AE106" s="220">
        <f t="shared" si="177"/>
        <v>7.0000000000000007E-2</v>
      </c>
      <c r="AF106" s="217">
        <f t="shared" si="177"/>
        <v>7.0000000000000007E-2</v>
      </c>
      <c r="AG106" s="217">
        <f t="shared" si="177"/>
        <v>7.0000000000000007E-2</v>
      </c>
      <c r="AH106" s="217">
        <f t="shared" si="177"/>
        <v>7.0000000000000007E-2</v>
      </c>
      <c r="AI106" s="217">
        <f t="shared" si="177"/>
        <v>7.0000000000000007E-2</v>
      </c>
      <c r="AJ106" s="220">
        <f t="shared" si="177"/>
        <v>7.0000000000000007E-2</v>
      </c>
      <c r="AK106" s="217">
        <f t="shared" si="142"/>
        <v>7.0000000000000007E-2</v>
      </c>
      <c r="AL106" s="217">
        <f t="shared" si="143"/>
        <v>7.0000000000000007E-2</v>
      </c>
      <c r="AM106" s="217">
        <f t="shared" si="144"/>
        <v>7.0000000000000007E-2</v>
      </c>
      <c r="AN106" s="217">
        <f t="shared" si="145"/>
        <v>7.0000000000000007E-2</v>
      </c>
      <c r="AO106" s="220">
        <f t="shared" si="145"/>
        <v>7.0000000000000007E-2</v>
      </c>
      <c r="AP106" s="217">
        <f t="shared" si="146"/>
        <v>7.0000000000000007E-2</v>
      </c>
      <c r="AQ106" s="217">
        <f t="shared" si="147"/>
        <v>7.0000000000000007E-2</v>
      </c>
      <c r="AR106" s="217">
        <f t="shared" si="148"/>
        <v>7.0000000000000007E-2</v>
      </c>
      <c r="AS106" s="217">
        <f t="shared" si="149"/>
        <v>7.0000000000000007E-2</v>
      </c>
      <c r="AT106" s="220">
        <f t="shared" si="150"/>
        <v>7.0000000000000007E-2</v>
      </c>
      <c r="AU106" s="217">
        <f t="shared" si="151"/>
        <v>7.0000000000000007E-2</v>
      </c>
      <c r="AV106" s="217">
        <f t="shared" si="152"/>
        <v>7.0000000000000007E-2</v>
      </c>
      <c r="AW106" s="217">
        <f t="shared" si="153"/>
        <v>7.0000000000000007E-2</v>
      </c>
      <c r="AX106" s="217">
        <f t="shared" si="154"/>
        <v>7.0000000000000007E-2</v>
      </c>
      <c r="AY106" s="220">
        <f t="shared" si="155"/>
        <v>7.0000000000000007E-2</v>
      </c>
      <c r="AZ106" s="217">
        <f t="shared" si="156"/>
        <v>7.0000000000000007E-2</v>
      </c>
      <c r="BA106" s="217">
        <f t="shared" si="157"/>
        <v>7.0000000000000007E-2</v>
      </c>
      <c r="BB106" s="217">
        <f t="shared" si="158"/>
        <v>7.0000000000000007E-2</v>
      </c>
      <c r="BC106" s="217">
        <f t="shared" si="159"/>
        <v>7.0000000000000007E-2</v>
      </c>
      <c r="BD106" s="220">
        <f t="shared" si="160"/>
        <v>7.0000000000000007E-2</v>
      </c>
      <c r="BE106" s="217">
        <f t="shared" si="161"/>
        <v>7.0000000000000007E-2</v>
      </c>
      <c r="BF106" s="217">
        <f t="shared" si="162"/>
        <v>7.0000000000000007E-2</v>
      </c>
      <c r="BG106" s="217">
        <f t="shared" si="163"/>
        <v>7.0000000000000007E-2</v>
      </c>
      <c r="BH106" s="217">
        <f t="shared" si="164"/>
        <v>7.0000000000000007E-2</v>
      </c>
      <c r="BI106" s="220">
        <f t="shared" si="165"/>
        <v>7.0000000000000007E-2</v>
      </c>
      <c r="BJ106" s="21"/>
      <c r="BK106" s="21"/>
      <c r="BL106" s="21"/>
    </row>
    <row r="107" spans="1:64" s="25" customFormat="1">
      <c r="A107" s="481" t="str">
        <f t="shared" si="214"/>
        <v>6.125% Notes due 2038</v>
      </c>
      <c r="B107" s="217"/>
      <c r="C107" s="217"/>
      <c r="D107" s="217"/>
      <c r="E107" s="31"/>
      <c r="F107" s="218"/>
      <c r="G107" s="217"/>
      <c r="H107" s="217"/>
      <c r="I107" s="217"/>
      <c r="J107" s="31"/>
      <c r="K107" s="218"/>
      <c r="L107" s="217"/>
      <c r="M107" s="217"/>
      <c r="N107" s="217"/>
      <c r="O107" s="31"/>
      <c r="P107" s="218"/>
      <c r="Q107" s="31"/>
      <c r="R107" s="31"/>
      <c r="S107" s="31"/>
      <c r="T107" s="31"/>
      <c r="U107" s="218"/>
      <c r="V107" s="31"/>
      <c r="W107" s="31"/>
      <c r="X107" s="31"/>
      <c r="Y107" s="31"/>
      <c r="Z107" s="218"/>
      <c r="AA107" s="217"/>
      <c r="AB107" s="217">
        <v>6.1249999999999999E-2</v>
      </c>
      <c r="AC107" s="217">
        <f t="shared" si="177"/>
        <v>6.1249999999999999E-2</v>
      </c>
      <c r="AD107" s="217">
        <f t="shared" si="177"/>
        <v>6.1249999999999999E-2</v>
      </c>
      <c r="AE107" s="220">
        <f t="shared" si="177"/>
        <v>6.1249999999999999E-2</v>
      </c>
      <c r="AF107" s="217">
        <f t="shared" si="177"/>
        <v>6.1249999999999999E-2</v>
      </c>
      <c r="AG107" s="217">
        <f t="shared" si="177"/>
        <v>6.1249999999999999E-2</v>
      </c>
      <c r="AH107" s="217">
        <f t="shared" si="177"/>
        <v>6.1249999999999999E-2</v>
      </c>
      <c r="AI107" s="217">
        <f t="shared" si="177"/>
        <v>6.1249999999999999E-2</v>
      </c>
      <c r="AJ107" s="220">
        <f t="shared" si="177"/>
        <v>6.1249999999999999E-2</v>
      </c>
      <c r="AK107" s="217">
        <f t="shared" si="142"/>
        <v>6.1249999999999999E-2</v>
      </c>
      <c r="AL107" s="217">
        <f t="shared" si="143"/>
        <v>6.1249999999999999E-2</v>
      </c>
      <c r="AM107" s="217">
        <f t="shared" si="144"/>
        <v>6.1249999999999999E-2</v>
      </c>
      <c r="AN107" s="217">
        <f t="shared" si="145"/>
        <v>6.1249999999999999E-2</v>
      </c>
      <c r="AO107" s="220">
        <f t="shared" si="145"/>
        <v>6.1249999999999999E-2</v>
      </c>
      <c r="AP107" s="217">
        <f t="shared" si="146"/>
        <v>6.1249999999999999E-2</v>
      </c>
      <c r="AQ107" s="217">
        <f t="shared" si="147"/>
        <v>6.1249999999999999E-2</v>
      </c>
      <c r="AR107" s="217">
        <f t="shared" si="148"/>
        <v>6.1249999999999999E-2</v>
      </c>
      <c r="AS107" s="217">
        <f t="shared" si="149"/>
        <v>6.1249999999999999E-2</v>
      </c>
      <c r="AT107" s="220">
        <f t="shared" si="150"/>
        <v>6.1249999999999999E-2</v>
      </c>
      <c r="AU107" s="217">
        <f t="shared" si="151"/>
        <v>6.1249999999999999E-2</v>
      </c>
      <c r="AV107" s="217">
        <f t="shared" si="152"/>
        <v>6.1249999999999999E-2</v>
      </c>
      <c r="AW107" s="217">
        <f t="shared" si="153"/>
        <v>6.1249999999999999E-2</v>
      </c>
      <c r="AX107" s="217">
        <f t="shared" si="154"/>
        <v>6.1249999999999999E-2</v>
      </c>
      <c r="AY107" s="220">
        <f t="shared" si="155"/>
        <v>6.1249999999999999E-2</v>
      </c>
      <c r="AZ107" s="217">
        <f t="shared" si="156"/>
        <v>6.1249999999999999E-2</v>
      </c>
      <c r="BA107" s="217">
        <f t="shared" si="157"/>
        <v>6.1249999999999999E-2</v>
      </c>
      <c r="BB107" s="217">
        <f t="shared" si="158"/>
        <v>6.1249999999999999E-2</v>
      </c>
      <c r="BC107" s="217">
        <f t="shared" si="159"/>
        <v>6.1249999999999999E-2</v>
      </c>
      <c r="BD107" s="220">
        <f t="shared" si="160"/>
        <v>6.1249999999999999E-2</v>
      </c>
      <c r="BE107" s="217">
        <f t="shared" si="161"/>
        <v>6.1249999999999999E-2</v>
      </c>
      <c r="BF107" s="217">
        <f t="shared" si="162"/>
        <v>6.1249999999999999E-2</v>
      </c>
      <c r="BG107" s="217">
        <f t="shared" si="163"/>
        <v>6.1249999999999999E-2</v>
      </c>
      <c r="BH107" s="217">
        <f t="shared" si="164"/>
        <v>6.1249999999999999E-2</v>
      </c>
      <c r="BI107" s="220">
        <f t="shared" si="165"/>
        <v>6.1249999999999999E-2</v>
      </c>
      <c r="BJ107" s="21"/>
      <c r="BK107" s="21"/>
      <c r="BL107" s="21"/>
    </row>
    <row r="108" spans="1:64" s="25" customFormat="1">
      <c r="A108" s="481" t="str">
        <f t="shared" si="214"/>
        <v>4.450% Notes due 2038</v>
      </c>
      <c r="B108" s="217"/>
      <c r="C108" s="217"/>
      <c r="D108" s="217"/>
      <c r="E108" s="31"/>
      <c r="F108" s="218"/>
      <c r="G108" s="217"/>
      <c r="H108" s="217"/>
      <c r="I108" s="217"/>
      <c r="J108" s="31"/>
      <c r="K108" s="218"/>
      <c r="L108" s="217"/>
      <c r="M108" s="217"/>
      <c r="N108" s="217"/>
      <c r="O108" s="31"/>
      <c r="P108" s="218"/>
      <c r="Q108" s="31"/>
      <c r="R108" s="31"/>
      <c r="S108" s="31"/>
      <c r="T108" s="31"/>
      <c r="U108" s="218"/>
      <c r="V108" s="31"/>
      <c r="W108" s="31"/>
      <c r="X108" s="31"/>
      <c r="Y108" s="31"/>
      <c r="Z108" s="218"/>
      <c r="AA108" s="217"/>
      <c r="AB108" s="217">
        <v>4.4499999999999998E-2</v>
      </c>
      <c r="AC108" s="217">
        <f t="shared" si="177"/>
        <v>4.4499999999999998E-2</v>
      </c>
      <c r="AD108" s="217">
        <f t="shared" si="177"/>
        <v>4.4499999999999998E-2</v>
      </c>
      <c r="AE108" s="220">
        <f t="shared" si="177"/>
        <v>4.4499999999999998E-2</v>
      </c>
      <c r="AF108" s="217">
        <f t="shared" si="177"/>
        <v>4.4499999999999998E-2</v>
      </c>
      <c r="AG108" s="217">
        <f t="shared" si="177"/>
        <v>4.4499999999999998E-2</v>
      </c>
      <c r="AH108" s="217">
        <f t="shared" si="177"/>
        <v>4.4499999999999998E-2</v>
      </c>
      <c r="AI108" s="217">
        <f t="shared" si="177"/>
        <v>4.4499999999999998E-2</v>
      </c>
      <c r="AJ108" s="220">
        <f t="shared" si="177"/>
        <v>4.4499999999999998E-2</v>
      </c>
      <c r="AK108" s="217">
        <f t="shared" si="142"/>
        <v>4.4499999999999998E-2</v>
      </c>
      <c r="AL108" s="217">
        <f t="shared" si="143"/>
        <v>4.4499999999999998E-2</v>
      </c>
      <c r="AM108" s="217">
        <f t="shared" si="144"/>
        <v>4.4499999999999998E-2</v>
      </c>
      <c r="AN108" s="217">
        <f t="shared" si="145"/>
        <v>4.4499999999999998E-2</v>
      </c>
      <c r="AO108" s="220">
        <f t="shared" si="145"/>
        <v>4.4499999999999998E-2</v>
      </c>
      <c r="AP108" s="217">
        <f t="shared" si="146"/>
        <v>4.4499999999999998E-2</v>
      </c>
      <c r="AQ108" s="217">
        <f t="shared" si="147"/>
        <v>4.4499999999999998E-2</v>
      </c>
      <c r="AR108" s="217">
        <f t="shared" si="148"/>
        <v>4.4499999999999998E-2</v>
      </c>
      <c r="AS108" s="217">
        <f t="shared" si="149"/>
        <v>4.4499999999999998E-2</v>
      </c>
      <c r="AT108" s="220">
        <f t="shared" si="150"/>
        <v>4.4499999999999998E-2</v>
      </c>
      <c r="AU108" s="217">
        <f t="shared" si="151"/>
        <v>4.4499999999999998E-2</v>
      </c>
      <c r="AV108" s="217">
        <f t="shared" si="152"/>
        <v>4.4499999999999998E-2</v>
      </c>
      <c r="AW108" s="217">
        <f t="shared" si="153"/>
        <v>4.4499999999999998E-2</v>
      </c>
      <c r="AX108" s="217">
        <f t="shared" si="154"/>
        <v>4.4499999999999998E-2</v>
      </c>
      <c r="AY108" s="220">
        <f t="shared" si="155"/>
        <v>4.4499999999999998E-2</v>
      </c>
      <c r="AZ108" s="217">
        <f t="shared" si="156"/>
        <v>4.4499999999999998E-2</v>
      </c>
      <c r="BA108" s="217">
        <f t="shared" si="157"/>
        <v>4.4499999999999998E-2</v>
      </c>
      <c r="BB108" s="217">
        <f t="shared" si="158"/>
        <v>4.4499999999999998E-2</v>
      </c>
      <c r="BC108" s="217">
        <f t="shared" si="159"/>
        <v>4.4499999999999998E-2</v>
      </c>
      <c r="BD108" s="220">
        <f t="shared" si="160"/>
        <v>4.4499999999999998E-2</v>
      </c>
      <c r="BE108" s="217">
        <f t="shared" si="161"/>
        <v>4.4499999999999998E-2</v>
      </c>
      <c r="BF108" s="217">
        <f t="shared" si="162"/>
        <v>4.4499999999999998E-2</v>
      </c>
      <c r="BG108" s="217">
        <f t="shared" si="163"/>
        <v>4.4499999999999998E-2</v>
      </c>
      <c r="BH108" s="217">
        <f t="shared" si="164"/>
        <v>4.4499999999999998E-2</v>
      </c>
      <c r="BI108" s="220">
        <f t="shared" si="165"/>
        <v>4.4499999999999998E-2</v>
      </c>
      <c r="BJ108" s="21"/>
      <c r="BK108" s="21"/>
      <c r="BL108" s="21"/>
    </row>
    <row r="109" spans="1:64" s="25" customFormat="1">
      <c r="A109" s="481" t="str">
        <f t="shared" si="214"/>
        <v>5.700% Notes due 2040</v>
      </c>
      <c r="B109" s="217"/>
      <c r="C109" s="217"/>
      <c r="D109" s="217"/>
      <c r="E109" s="31"/>
      <c r="F109" s="220"/>
      <c r="G109" s="217"/>
      <c r="H109" s="217"/>
      <c r="I109" s="217"/>
      <c r="J109" s="31"/>
      <c r="K109" s="218"/>
      <c r="L109" s="217"/>
      <c r="M109" s="217"/>
      <c r="N109" s="217"/>
      <c r="O109" s="31"/>
      <c r="P109" s="218"/>
      <c r="Q109" s="31"/>
      <c r="R109" s="31"/>
      <c r="S109" s="31"/>
      <c r="T109" s="31"/>
      <c r="U109" s="218"/>
      <c r="V109" s="31"/>
      <c r="W109" s="31"/>
      <c r="X109" s="31"/>
      <c r="Y109" s="31"/>
      <c r="Z109" s="218"/>
      <c r="AA109" s="217"/>
      <c r="AB109" s="217">
        <v>5.7000000000000002E-2</v>
      </c>
      <c r="AC109" s="217">
        <f t="shared" si="177"/>
        <v>5.7000000000000002E-2</v>
      </c>
      <c r="AD109" s="217">
        <f t="shared" si="177"/>
        <v>5.7000000000000002E-2</v>
      </c>
      <c r="AE109" s="220">
        <f t="shared" si="177"/>
        <v>5.7000000000000002E-2</v>
      </c>
      <c r="AF109" s="217">
        <f t="shared" si="177"/>
        <v>5.7000000000000002E-2</v>
      </c>
      <c r="AG109" s="217">
        <f t="shared" si="177"/>
        <v>5.7000000000000002E-2</v>
      </c>
      <c r="AH109" s="217">
        <f t="shared" si="177"/>
        <v>5.7000000000000002E-2</v>
      </c>
      <c r="AI109" s="217">
        <f t="shared" si="177"/>
        <v>5.7000000000000002E-2</v>
      </c>
      <c r="AJ109" s="220">
        <f t="shared" si="177"/>
        <v>5.7000000000000002E-2</v>
      </c>
      <c r="AK109" s="217">
        <f t="shared" si="142"/>
        <v>5.7000000000000002E-2</v>
      </c>
      <c r="AL109" s="217">
        <f t="shared" si="143"/>
        <v>5.7000000000000002E-2</v>
      </c>
      <c r="AM109" s="217">
        <f t="shared" si="144"/>
        <v>5.7000000000000002E-2</v>
      </c>
      <c r="AN109" s="217">
        <f t="shared" si="145"/>
        <v>5.7000000000000002E-2</v>
      </c>
      <c r="AO109" s="220">
        <f t="shared" si="145"/>
        <v>5.7000000000000002E-2</v>
      </c>
      <c r="AP109" s="217">
        <f t="shared" si="146"/>
        <v>5.7000000000000002E-2</v>
      </c>
      <c r="AQ109" s="217">
        <f t="shared" si="147"/>
        <v>5.7000000000000002E-2</v>
      </c>
      <c r="AR109" s="217">
        <f t="shared" si="148"/>
        <v>5.7000000000000002E-2</v>
      </c>
      <c r="AS109" s="217">
        <f t="shared" si="149"/>
        <v>5.7000000000000002E-2</v>
      </c>
      <c r="AT109" s="220">
        <f t="shared" si="150"/>
        <v>5.7000000000000002E-2</v>
      </c>
      <c r="AU109" s="217">
        <f t="shared" si="151"/>
        <v>5.7000000000000002E-2</v>
      </c>
      <c r="AV109" s="217">
        <f t="shared" si="152"/>
        <v>5.7000000000000002E-2</v>
      </c>
      <c r="AW109" s="217">
        <f t="shared" si="153"/>
        <v>5.7000000000000002E-2</v>
      </c>
      <c r="AX109" s="217">
        <f t="shared" si="154"/>
        <v>5.7000000000000002E-2</v>
      </c>
      <c r="AY109" s="220">
        <f t="shared" si="155"/>
        <v>5.7000000000000002E-2</v>
      </c>
      <c r="AZ109" s="217">
        <f t="shared" si="156"/>
        <v>5.7000000000000002E-2</v>
      </c>
      <c r="BA109" s="217">
        <f t="shared" si="157"/>
        <v>5.7000000000000002E-2</v>
      </c>
      <c r="BB109" s="217">
        <f t="shared" si="158"/>
        <v>5.7000000000000002E-2</v>
      </c>
      <c r="BC109" s="217">
        <f t="shared" si="159"/>
        <v>5.7000000000000002E-2</v>
      </c>
      <c r="BD109" s="220">
        <f t="shared" si="160"/>
        <v>5.7000000000000002E-2</v>
      </c>
      <c r="BE109" s="217">
        <f t="shared" si="161"/>
        <v>5.7000000000000002E-2</v>
      </c>
      <c r="BF109" s="217">
        <f t="shared" si="162"/>
        <v>5.7000000000000002E-2</v>
      </c>
      <c r="BG109" s="217">
        <f t="shared" si="163"/>
        <v>5.7000000000000002E-2</v>
      </c>
      <c r="BH109" s="217">
        <f t="shared" si="164"/>
        <v>5.7000000000000002E-2</v>
      </c>
      <c r="BI109" s="220">
        <f t="shared" si="165"/>
        <v>5.7000000000000002E-2</v>
      </c>
      <c r="BJ109" s="21"/>
      <c r="BK109" s="21"/>
      <c r="BL109" s="21"/>
    </row>
    <row r="110" spans="1:64" s="25" customFormat="1">
      <c r="A110" s="481" t="str">
        <f t="shared" si="214"/>
        <v>4.875% Notes due 2040</v>
      </c>
      <c r="B110" s="217"/>
      <c r="C110" s="217"/>
      <c r="D110" s="217"/>
      <c r="E110" s="31"/>
      <c r="F110" s="220"/>
      <c r="G110" s="217"/>
      <c r="H110" s="217"/>
      <c r="I110" s="217"/>
      <c r="J110" s="31"/>
      <c r="K110" s="218"/>
      <c r="L110" s="217"/>
      <c r="M110" s="217"/>
      <c r="N110" s="217"/>
      <c r="O110" s="31"/>
      <c r="P110" s="218"/>
      <c r="Q110" s="31"/>
      <c r="R110" s="31"/>
      <c r="S110" s="31"/>
      <c r="T110" s="31"/>
      <c r="U110" s="218"/>
      <c r="V110" s="31"/>
      <c r="W110" s="31"/>
      <c r="X110" s="31"/>
      <c r="Y110" s="31"/>
      <c r="Z110" s="218"/>
      <c r="AA110" s="217"/>
      <c r="AB110" s="217">
        <v>4.8750000000000002E-2</v>
      </c>
      <c r="AC110" s="217">
        <f t="shared" si="177"/>
        <v>4.8750000000000002E-2</v>
      </c>
      <c r="AD110" s="217">
        <f t="shared" si="177"/>
        <v>4.8750000000000002E-2</v>
      </c>
      <c r="AE110" s="220">
        <f t="shared" si="177"/>
        <v>4.8750000000000002E-2</v>
      </c>
      <c r="AF110" s="217">
        <f t="shared" si="177"/>
        <v>4.8750000000000002E-2</v>
      </c>
      <c r="AG110" s="217">
        <f t="shared" si="177"/>
        <v>4.8750000000000002E-2</v>
      </c>
      <c r="AH110" s="217">
        <f t="shared" si="177"/>
        <v>4.8750000000000002E-2</v>
      </c>
      <c r="AI110" s="217">
        <f t="shared" si="177"/>
        <v>4.8750000000000002E-2</v>
      </c>
      <c r="AJ110" s="220">
        <f t="shared" si="177"/>
        <v>4.8750000000000002E-2</v>
      </c>
      <c r="AK110" s="217">
        <f t="shared" si="142"/>
        <v>4.8750000000000002E-2</v>
      </c>
      <c r="AL110" s="217">
        <f t="shared" si="143"/>
        <v>4.8750000000000002E-2</v>
      </c>
      <c r="AM110" s="217">
        <f t="shared" si="144"/>
        <v>4.8750000000000002E-2</v>
      </c>
      <c r="AN110" s="217">
        <f t="shared" si="145"/>
        <v>4.8750000000000002E-2</v>
      </c>
      <c r="AO110" s="220">
        <f t="shared" si="145"/>
        <v>4.8750000000000002E-2</v>
      </c>
      <c r="AP110" s="217">
        <f t="shared" si="146"/>
        <v>4.8750000000000002E-2</v>
      </c>
      <c r="AQ110" s="217">
        <f t="shared" si="147"/>
        <v>4.8750000000000002E-2</v>
      </c>
      <c r="AR110" s="217">
        <f t="shared" si="148"/>
        <v>4.8750000000000002E-2</v>
      </c>
      <c r="AS110" s="217">
        <f t="shared" si="149"/>
        <v>4.8750000000000002E-2</v>
      </c>
      <c r="AT110" s="220">
        <f t="shared" si="150"/>
        <v>4.8750000000000002E-2</v>
      </c>
      <c r="AU110" s="217">
        <f t="shared" si="151"/>
        <v>4.8750000000000002E-2</v>
      </c>
      <c r="AV110" s="217">
        <f t="shared" si="152"/>
        <v>4.8750000000000002E-2</v>
      </c>
      <c r="AW110" s="217">
        <f t="shared" si="153"/>
        <v>4.8750000000000002E-2</v>
      </c>
      <c r="AX110" s="217">
        <f t="shared" si="154"/>
        <v>4.8750000000000002E-2</v>
      </c>
      <c r="AY110" s="220">
        <f t="shared" si="155"/>
        <v>4.8750000000000002E-2</v>
      </c>
      <c r="AZ110" s="217">
        <f t="shared" si="156"/>
        <v>4.8750000000000002E-2</v>
      </c>
      <c r="BA110" s="217">
        <f t="shared" si="157"/>
        <v>4.8750000000000002E-2</v>
      </c>
      <c r="BB110" s="217">
        <f t="shared" si="158"/>
        <v>4.8750000000000002E-2</v>
      </c>
      <c r="BC110" s="217">
        <f t="shared" si="159"/>
        <v>4.8750000000000002E-2</v>
      </c>
      <c r="BD110" s="220">
        <f t="shared" si="160"/>
        <v>4.8750000000000002E-2</v>
      </c>
      <c r="BE110" s="217">
        <f t="shared" si="161"/>
        <v>4.8750000000000002E-2</v>
      </c>
      <c r="BF110" s="217">
        <f t="shared" si="162"/>
        <v>4.8750000000000002E-2</v>
      </c>
      <c r="BG110" s="217">
        <f t="shared" si="163"/>
        <v>4.8750000000000002E-2</v>
      </c>
      <c r="BH110" s="217">
        <f t="shared" si="164"/>
        <v>4.8750000000000002E-2</v>
      </c>
      <c r="BI110" s="220">
        <f t="shared" si="165"/>
        <v>4.8750000000000002E-2</v>
      </c>
      <c r="BJ110" s="21"/>
      <c r="BK110" s="21"/>
      <c r="BL110" s="21"/>
    </row>
    <row r="111" spans="1:64" s="25" customFormat="1">
      <c r="A111" s="481" t="str">
        <f t="shared" si="214"/>
        <v>4.700% Notes due 2041</v>
      </c>
      <c r="B111" s="217"/>
      <c r="C111" s="217"/>
      <c r="D111" s="217"/>
      <c r="E111" s="31"/>
      <c r="F111" s="220"/>
      <c r="G111" s="217"/>
      <c r="H111" s="217"/>
      <c r="I111" s="217"/>
      <c r="J111" s="31"/>
      <c r="K111" s="218"/>
      <c r="L111" s="217"/>
      <c r="M111" s="217"/>
      <c r="N111" s="217"/>
      <c r="O111" s="31"/>
      <c r="P111" s="218"/>
      <c r="Q111" s="31"/>
      <c r="R111" s="31"/>
      <c r="S111" s="31"/>
      <c r="T111" s="31"/>
      <c r="U111" s="218"/>
      <c r="V111" s="31"/>
      <c r="W111" s="31"/>
      <c r="X111" s="31"/>
      <c r="Y111" s="31"/>
      <c r="Z111" s="218"/>
      <c r="AA111" s="217"/>
      <c r="AB111" s="217">
        <v>4.7E-2</v>
      </c>
      <c r="AC111" s="217">
        <f t="shared" si="177"/>
        <v>4.7E-2</v>
      </c>
      <c r="AD111" s="217">
        <f t="shared" si="177"/>
        <v>4.7E-2</v>
      </c>
      <c r="AE111" s="220">
        <f t="shared" si="177"/>
        <v>4.7E-2</v>
      </c>
      <c r="AF111" s="217">
        <f t="shared" si="177"/>
        <v>4.7E-2</v>
      </c>
      <c r="AG111" s="217">
        <f t="shared" si="177"/>
        <v>4.7E-2</v>
      </c>
      <c r="AH111" s="217">
        <f t="shared" si="177"/>
        <v>4.7E-2</v>
      </c>
      <c r="AI111" s="217">
        <f t="shared" si="177"/>
        <v>4.7E-2</v>
      </c>
      <c r="AJ111" s="220">
        <f t="shared" si="177"/>
        <v>4.7E-2</v>
      </c>
      <c r="AK111" s="217">
        <f t="shared" si="142"/>
        <v>4.7E-2</v>
      </c>
      <c r="AL111" s="217">
        <f t="shared" si="143"/>
        <v>4.7E-2</v>
      </c>
      <c r="AM111" s="217">
        <f t="shared" si="144"/>
        <v>4.7E-2</v>
      </c>
      <c r="AN111" s="217">
        <f t="shared" si="145"/>
        <v>4.7E-2</v>
      </c>
      <c r="AO111" s="220">
        <f t="shared" si="145"/>
        <v>4.7E-2</v>
      </c>
      <c r="AP111" s="217">
        <f t="shared" si="146"/>
        <v>4.7E-2</v>
      </c>
      <c r="AQ111" s="217">
        <f t="shared" si="147"/>
        <v>4.7E-2</v>
      </c>
      <c r="AR111" s="217">
        <f t="shared" si="148"/>
        <v>4.7E-2</v>
      </c>
      <c r="AS111" s="217">
        <f t="shared" si="149"/>
        <v>4.7E-2</v>
      </c>
      <c r="AT111" s="220">
        <f t="shared" si="150"/>
        <v>4.7E-2</v>
      </c>
      <c r="AU111" s="217">
        <f t="shared" si="151"/>
        <v>4.7E-2</v>
      </c>
      <c r="AV111" s="217">
        <f t="shared" si="152"/>
        <v>4.7E-2</v>
      </c>
      <c r="AW111" s="217">
        <f t="shared" si="153"/>
        <v>4.7E-2</v>
      </c>
      <c r="AX111" s="217">
        <f t="shared" si="154"/>
        <v>4.7E-2</v>
      </c>
      <c r="AY111" s="220">
        <f t="shared" si="155"/>
        <v>4.7E-2</v>
      </c>
      <c r="AZ111" s="217">
        <f t="shared" si="156"/>
        <v>4.7E-2</v>
      </c>
      <c r="BA111" s="217">
        <f t="shared" si="157"/>
        <v>4.7E-2</v>
      </c>
      <c r="BB111" s="217">
        <f t="shared" si="158"/>
        <v>4.7E-2</v>
      </c>
      <c r="BC111" s="217">
        <f t="shared" si="159"/>
        <v>4.7E-2</v>
      </c>
      <c r="BD111" s="220">
        <f t="shared" si="160"/>
        <v>4.7E-2</v>
      </c>
      <c r="BE111" s="217">
        <f t="shared" si="161"/>
        <v>4.7E-2</v>
      </c>
      <c r="BF111" s="217">
        <f t="shared" si="162"/>
        <v>4.7E-2</v>
      </c>
      <c r="BG111" s="217">
        <f t="shared" si="163"/>
        <v>4.7E-2</v>
      </c>
      <c r="BH111" s="217">
        <f t="shared" si="164"/>
        <v>4.7E-2</v>
      </c>
      <c r="BI111" s="220">
        <f t="shared" si="165"/>
        <v>4.7E-2</v>
      </c>
      <c r="BJ111" s="21"/>
      <c r="BK111" s="21"/>
      <c r="BL111" s="21"/>
    </row>
    <row r="112" spans="1:64" s="25" customFormat="1">
      <c r="A112" s="481" t="str">
        <f t="shared" si="214"/>
        <v>4.500% Notes due 2042</v>
      </c>
      <c r="B112" s="217"/>
      <c r="C112" s="217"/>
      <c r="D112" s="217"/>
      <c r="E112" s="31"/>
      <c r="F112" s="220"/>
      <c r="G112" s="217"/>
      <c r="H112" s="217"/>
      <c r="I112" s="217"/>
      <c r="J112" s="31"/>
      <c r="K112" s="218"/>
      <c r="L112" s="217"/>
      <c r="M112" s="217"/>
      <c r="N112" s="217"/>
      <c r="O112" s="31"/>
      <c r="P112" s="218"/>
      <c r="Q112" s="31"/>
      <c r="R112" s="31"/>
      <c r="S112" s="31"/>
      <c r="T112" s="31"/>
      <c r="U112" s="218"/>
      <c r="V112" s="31"/>
      <c r="W112" s="31"/>
      <c r="X112" s="31"/>
      <c r="Y112" s="31"/>
      <c r="Z112" s="218"/>
      <c r="AA112" s="217"/>
      <c r="AB112" s="217">
        <v>4.4999999999999998E-2</v>
      </c>
      <c r="AC112" s="217">
        <f t="shared" si="177"/>
        <v>4.4999999999999998E-2</v>
      </c>
      <c r="AD112" s="217">
        <f t="shared" si="177"/>
        <v>4.4999999999999998E-2</v>
      </c>
      <c r="AE112" s="220">
        <f t="shared" si="177"/>
        <v>4.4999999999999998E-2</v>
      </c>
      <c r="AF112" s="217">
        <f t="shared" si="177"/>
        <v>4.4999999999999998E-2</v>
      </c>
      <c r="AG112" s="217">
        <f t="shared" si="177"/>
        <v>4.4999999999999998E-2</v>
      </c>
      <c r="AH112" s="217">
        <f t="shared" si="177"/>
        <v>4.4999999999999998E-2</v>
      </c>
      <c r="AI112" s="217">
        <f t="shared" si="177"/>
        <v>4.4999999999999998E-2</v>
      </c>
      <c r="AJ112" s="220">
        <f t="shared" si="177"/>
        <v>4.4999999999999998E-2</v>
      </c>
      <c r="AK112" s="217">
        <f t="shared" si="142"/>
        <v>4.4999999999999998E-2</v>
      </c>
      <c r="AL112" s="217">
        <f t="shared" si="143"/>
        <v>4.4999999999999998E-2</v>
      </c>
      <c r="AM112" s="217">
        <f t="shared" si="144"/>
        <v>4.4999999999999998E-2</v>
      </c>
      <c r="AN112" s="217">
        <f t="shared" si="145"/>
        <v>4.4999999999999998E-2</v>
      </c>
      <c r="AO112" s="220">
        <f t="shared" si="145"/>
        <v>4.4999999999999998E-2</v>
      </c>
      <c r="AP112" s="217">
        <f t="shared" si="146"/>
        <v>4.4999999999999998E-2</v>
      </c>
      <c r="AQ112" s="217">
        <f t="shared" si="147"/>
        <v>4.4999999999999998E-2</v>
      </c>
      <c r="AR112" s="217">
        <f t="shared" si="148"/>
        <v>4.4999999999999998E-2</v>
      </c>
      <c r="AS112" s="217">
        <f t="shared" si="149"/>
        <v>4.4999999999999998E-2</v>
      </c>
      <c r="AT112" s="220">
        <f t="shared" si="150"/>
        <v>4.4999999999999998E-2</v>
      </c>
      <c r="AU112" s="217">
        <f t="shared" si="151"/>
        <v>4.4999999999999998E-2</v>
      </c>
      <c r="AV112" s="217">
        <f t="shared" si="152"/>
        <v>4.4999999999999998E-2</v>
      </c>
      <c r="AW112" s="217">
        <f t="shared" si="153"/>
        <v>4.4999999999999998E-2</v>
      </c>
      <c r="AX112" s="217">
        <f t="shared" si="154"/>
        <v>4.4999999999999998E-2</v>
      </c>
      <c r="AY112" s="220">
        <f t="shared" si="155"/>
        <v>4.4999999999999998E-2</v>
      </c>
      <c r="AZ112" s="217">
        <f t="shared" si="156"/>
        <v>4.4999999999999998E-2</v>
      </c>
      <c r="BA112" s="217">
        <f t="shared" si="157"/>
        <v>4.4999999999999998E-2</v>
      </c>
      <c r="BB112" s="217">
        <f t="shared" si="158"/>
        <v>4.4999999999999998E-2</v>
      </c>
      <c r="BC112" s="217">
        <f t="shared" si="159"/>
        <v>4.4999999999999998E-2</v>
      </c>
      <c r="BD112" s="220">
        <f t="shared" si="160"/>
        <v>4.4999999999999998E-2</v>
      </c>
      <c r="BE112" s="217">
        <f t="shared" si="161"/>
        <v>4.4999999999999998E-2</v>
      </c>
      <c r="BF112" s="217">
        <f t="shared" si="162"/>
        <v>4.4999999999999998E-2</v>
      </c>
      <c r="BG112" s="217">
        <f t="shared" si="163"/>
        <v>4.4999999999999998E-2</v>
      </c>
      <c r="BH112" s="217">
        <f t="shared" si="164"/>
        <v>4.4999999999999998E-2</v>
      </c>
      <c r="BI112" s="220">
        <f t="shared" si="165"/>
        <v>4.4999999999999998E-2</v>
      </c>
      <c r="BJ112" s="21"/>
      <c r="BK112" s="21"/>
      <c r="BL112" s="21"/>
    </row>
    <row r="113" spans="1:64" s="25" customFormat="1">
      <c r="A113" s="481" t="str">
        <f t="shared" si="214"/>
        <v>4.800% Notes due 2043</v>
      </c>
      <c r="B113" s="217"/>
      <c r="C113" s="217"/>
      <c r="D113" s="217"/>
      <c r="E113" s="31"/>
      <c r="F113" s="220"/>
      <c r="G113" s="217"/>
      <c r="H113" s="217"/>
      <c r="I113" s="217"/>
      <c r="J113" s="31"/>
      <c r="K113" s="218"/>
      <c r="L113" s="217"/>
      <c r="M113" s="217"/>
      <c r="N113" s="217"/>
      <c r="O113" s="31"/>
      <c r="P113" s="218"/>
      <c r="Q113" s="31"/>
      <c r="R113" s="31"/>
      <c r="S113" s="31"/>
      <c r="T113" s="31"/>
      <c r="U113" s="218"/>
      <c r="V113" s="31"/>
      <c r="W113" s="31"/>
      <c r="X113" s="31"/>
      <c r="Y113" s="31"/>
      <c r="Z113" s="218"/>
      <c r="AA113" s="217"/>
      <c r="AB113" s="217">
        <v>4.8000000000000001E-2</v>
      </c>
      <c r="AC113" s="217">
        <f t="shared" si="177"/>
        <v>4.8000000000000001E-2</v>
      </c>
      <c r="AD113" s="217">
        <f t="shared" si="177"/>
        <v>4.8000000000000001E-2</v>
      </c>
      <c r="AE113" s="220">
        <f t="shared" si="177"/>
        <v>4.8000000000000001E-2</v>
      </c>
      <c r="AF113" s="217">
        <f t="shared" si="177"/>
        <v>4.8000000000000001E-2</v>
      </c>
      <c r="AG113" s="217">
        <f t="shared" si="177"/>
        <v>4.8000000000000001E-2</v>
      </c>
      <c r="AH113" s="217">
        <f t="shared" si="177"/>
        <v>4.8000000000000001E-2</v>
      </c>
      <c r="AI113" s="217">
        <f t="shared" si="177"/>
        <v>4.8000000000000001E-2</v>
      </c>
      <c r="AJ113" s="220">
        <f t="shared" si="177"/>
        <v>4.8000000000000001E-2</v>
      </c>
      <c r="AK113" s="217">
        <f t="shared" si="142"/>
        <v>4.8000000000000001E-2</v>
      </c>
      <c r="AL113" s="217">
        <f t="shared" si="143"/>
        <v>4.8000000000000001E-2</v>
      </c>
      <c r="AM113" s="217">
        <f t="shared" si="144"/>
        <v>4.8000000000000001E-2</v>
      </c>
      <c r="AN113" s="217">
        <f t="shared" si="145"/>
        <v>4.8000000000000001E-2</v>
      </c>
      <c r="AO113" s="220">
        <f t="shared" si="145"/>
        <v>4.8000000000000001E-2</v>
      </c>
      <c r="AP113" s="217">
        <f t="shared" si="146"/>
        <v>4.8000000000000001E-2</v>
      </c>
      <c r="AQ113" s="217">
        <f t="shared" si="147"/>
        <v>4.8000000000000001E-2</v>
      </c>
      <c r="AR113" s="217">
        <f t="shared" si="148"/>
        <v>4.8000000000000001E-2</v>
      </c>
      <c r="AS113" s="217">
        <f t="shared" si="149"/>
        <v>4.8000000000000001E-2</v>
      </c>
      <c r="AT113" s="220">
        <f t="shared" si="150"/>
        <v>4.8000000000000001E-2</v>
      </c>
      <c r="AU113" s="217">
        <f t="shared" si="151"/>
        <v>4.8000000000000001E-2</v>
      </c>
      <c r="AV113" s="217">
        <f t="shared" si="152"/>
        <v>4.8000000000000001E-2</v>
      </c>
      <c r="AW113" s="217">
        <f t="shared" si="153"/>
        <v>4.8000000000000001E-2</v>
      </c>
      <c r="AX113" s="217">
        <f t="shared" si="154"/>
        <v>4.8000000000000001E-2</v>
      </c>
      <c r="AY113" s="220">
        <f t="shared" si="155"/>
        <v>4.8000000000000001E-2</v>
      </c>
      <c r="AZ113" s="217">
        <f t="shared" si="156"/>
        <v>4.8000000000000001E-2</v>
      </c>
      <c r="BA113" s="217">
        <f t="shared" si="157"/>
        <v>4.8000000000000001E-2</v>
      </c>
      <c r="BB113" s="217">
        <f t="shared" si="158"/>
        <v>4.8000000000000001E-2</v>
      </c>
      <c r="BC113" s="217">
        <f t="shared" si="159"/>
        <v>4.8000000000000001E-2</v>
      </c>
      <c r="BD113" s="220">
        <f t="shared" si="160"/>
        <v>4.8000000000000001E-2</v>
      </c>
      <c r="BE113" s="217">
        <f t="shared" si="161"/>
        <v>4.8000000000000001E-2</v>
      </c>
      <c r="BF113" s="217">
        <f t="shared" si="162"/>
        <v>4.8000000000000001E-2</v>
      </c>
      <c r="BG113" s="217">
        <f t="shared" si="163"/>
        <v>4.8000000000000001E-2</v>
      </c>
      <c r="BH113" s="217">
        <f t="shared" si="164"/>
        <v>4.8000000000000001E-2</v>
      </c>
      <c r="BI113" s="220">
        <f t="shared" si="165"/>
        <v>4.8000000000000001E-2</v>
      </c>
      <c r="BJ113" s="21"/>
      <c r="BK113" s="21"/>
      <c r="BL113" s="21"/>
    </row>
    <row r="114" spans="1:64" s="25" customFormat="1">
      <c r="A114" s="481" t="str">
        <f t="shared" si="214"/>
        <v>4.200% Notes due 2044</v>
      </c>
      <c r="B114" s="217"/>
      <c r="C114" s="217"/>
      <c r="D114" s="217"/>
      <c r="E114" s="31"/>
      <c r="F114" s="220"/>
      <c r="G114" s="217"/>
      <c r="H114" s="217"/>
      <c r="I114" s="217"/>
      <c r="J114" s="31"/>
      <c r="K114" s="218"/>
      <c r="L114" s="217"/>
      <c r="M114" s="217"/>
      <c r="N114" s="217"/>
      <c r="O114" s="31"/>
      <c r="P114" s="218"/>
      <c r="Q114" s="31"/>
      <c r="R114" s="31"/>
      <c r="S114" s="31"/>
      <c r="T114" s="31"/>
      <c r="U114" s="218"/>
      <c r="V114" s="31"/>
      <c r="W114" s="31"/>
      <c r="X114" s="31"/>
      <c r="Y114" s="31"/>
      <c r="Z114" s="218"/>
      <c r="AA114" s="217"/>
      <c r="AB114" s="217">
        <v>4.2000000000000003E-2</v>
      </c>
      <c r="AC114" s="217">
        <f t="shared" si="177"/>
        <v>4.2000000000000003E-2</v>
      </c>
      <c r="AD114" s="217">
        <f t="shared" si="177"/>
        <v>4.2000000000000003E-2</v>
      </c>
      <c r="AE114" s="220">
        <f t="shared" si="177"/>
        <v>4.2000000000000003E-2</v>
      </c>
      <c r="AF114" s="217">
        <f t="shared" si="177"/>
        <v>4.2000000000000003E-2</v>
      </c>
      <c r="AG114" s="217">
        <f t="shared" si="177"/>
        <v>4.2000000000000003E-2</v>
      </c>
      <c r="AH114" s="217">
        <f t="shared" si="177"/>
        <v>4.2000000000000003E-2</v>
      </c>
      <c r="AI114" s="217">
        <f t="shared" si="177"/>
        <v>4.2000000000000003E-2</v>
      </c>
      <c r="AJ114" s="220">
        <f t="shared" si="177"/>
        <v>4.2000000000000003E-2</v>
      </c>
      <c r="AK114" s="217">
        <f t="shared" si="142"/>
        <v>4.2000000000000003E-2</v>
      </c>
      <c r="AL114" s="217">
        <f t="shared" si="143"/>
        <v>4.2000000000000003E-2</v>
      </c>
      <c r="AM114" s="217">
        <f t="shared" si="144"/>
        <v>4.2000000000000003E-2</v>
      </c>
      <c r="AN114" s="217">
        <f t="shared" si="145"/>
        <v>4.2000000000000003E-2</v>
      </c>
      <c r="AO114" s="220">
        <f t="shared" si="145"/>
        <v>4.2000000000000003E-2</v>
      </c>
      <c r="AP114" s="217">
        <f t="shared" si="146"/>
        <v>4.2000000000000003E-2</v>
      </c>
      <c r="AQ114" s="217">
        <f t="shared" si="147"/>
        <v>4.2000000000000003E-2</v>
      </c>
      <c r="AR114" s="217">
        <f t="shared" si="148"/>
        <v>4.2000000000000003E-2</v>
      </c>
      <c r="AS114" s="217">
        <f t="shared" si="149"/>
        <v>4.2000000000000003E-2</v>
      </c>
      <c r="AT114" s="220">
        <f t="shared" si="150"/>
        <v>4.2000000000000003E-2</v>
      </c>
      <c r="AU114" s="217">
        <f t="shared" si="151"/>
        <v>4.2000000000000003E-2</v>
      </c>
      <c r="AV114" s="217">
        <f t="shared" si="152"/>
        <v>4.2000000000000003E-2</v>
      </c>
      <c r="AW114" s="217">
        <f t="shared" si="153"/>
        <v>4.2000000000000003E-2</v>
      </c>
      <c r="AX114" s="217">
        <f t="shared" si="154"/>
        <v>4.2000000000000003E-2</v>
      </c>
      <c r="AY114" s="220">
        <f t="shared" si="155"/>
        <v>4.2000000000000003E-2</v>
      </c>
      <c r="AZ114" s="217">
        <f t="shared" si="156"/>
        <v>4.2000000000000003E-2</v>
      </c>
      <c r="BA114" s="217">
        <f t="shared" si="157"/>
        <v>4.2000000000000003E-2</v>
      </c>
      <c r="BB114" s="217">
        <f t="shared" si="158"/>
        <v>4.2000000000000003E-2</v>
      </c>
      <c r="BC114" s="217">
        <f t="shared" si="159"/>
        <v>4.2000000000000003E-2</v>
      </c>
      <c r="BD114" s="220">
        <f t="shared" si="160"/>
        <v>4.2000000000000003E-2</v>
      </c>
      <c r="BE114" s="217">
        <f t="shared" si="161"/>
        <v>4.2000000000000003E-2</v>
      </c>
      <c r="BF114" s="217">
        <f t="shared" si="162"/>
        <v>4.2000000000000003E-2</v>
      </c>
      <c r="BG114" s="217">
        <f t="shared" si="163"/>
        <v>4.2000000000000003E-2</v>
      </c>
      <c r="BH114" s="217">
        <f t="shared" si="164"/>
        <v>4.2000000000000003E-2</v>
      </c>
      <c r="BI114" s="220">
        <f t="shared" si="165"/>
        <v>4.2000000000000003E-2</v>
      </c>
      <c r="BJ114" s="21"/>
      <c r="BK114" s="21"/>
      <c r="BL114" s="21"/>
    </row>
    <row r="115" spans="1:64" s="25" customFormat="1">
      <c r="A115" s="481" t="str">
        <f t="shared" si="214"/>
        <v>4.150% Notes due 2045</v>
      </c>
      <c r="B115" s="217"/>
      <c r="C115" s="217"/>
      <c r="D115" s="217"/>
      <c r="E115" s="31"/>
      <c r="F115" s="220"/>
      <c r="G115" s="217"/>
      <c r="H115" s="217"/>
      <c r="I115" s="217"/>
      <c r="J115" s="31"/>
      <c r="K115" s="218"/>
      <c r="L115" s="217"/>
      <c r="M115" s="217"/>
      <c r="N115" s="217"/>
      <c r="O115" s="31"/>
      <c r="P115" s="218"/>
      <c r="Q115" s="31"/>
      <c r="R115" s="31"/>
      <c r="S115" s="31"/>
      <c r="T115" s="31"/>
      <c r="U115" s="218"/>
      <c r="V115" s="31"/>
      <c r="W115" s="31"/>
      <c r="X115" s="31"/>
      <c r="Y115" s="31"/>
      <c r="Z115" s="218"/>
      <c r="AA115" s="217"/>
      <c r="AB115" s="217">
        <v>4.1500000000000002E-2</v>
      </c>
      <c r="AC115" s="217">
        <f t="shared" si="177"/>
        <v>4.1500000000000002E-2</v>
      </c>
      <c r="AD115" s="217">
        <f t="shared" si="177"/>
        <v>4.1500000000000002E-2</v>
      </c>
      <c r="AE115" s="220">
        <f t="shared" si="177"/>
        <v>4.1500000000000002E-2</v>
      </c>
      <c r="AF115" s="217">
        <f t="shared" si="177"/>
        <v>4.1500000000000002E-2</v>
      </c>
      <c r="AG115" s="217">
        <f t="shared" si="177"/>
        <v>4.1500000000000002E-2</v>
      </c>
      <c r="AH115" s="217">
        <f t="shared" si="177"/>
        <v>4.1500000000000002E-2</v>
      </c>
      <c r="AI115" s="217">
        <f t="shared" si="177"/>
        <v>4.1500000000000002E-2</v>
      </c>
      <c r="AJ115" s="220">
        <f t="shared" si="177"/>
        <v>4.1500000000000002E-2</v>
      </c>
      <c r="AK115" s="217">
        <f t="shared" si="142"/>
        <v>4.1500000000000002E-2</v>
      </c>
      <c r="AL115" s="217">
        <f t="shared" si="143"/>
        <v>4.1500000000000002E-2</v>
      </c>
      <c r="AM115" s="217">
        <f t="shared" si="144"/>
        <v>4.1500000000000002E-2</v>
      </c>
      <c r="AN115" s="217">
        <f t="shared" si="145"/>
        <v>4.1500000000000002E-2</v>
      </c>
      <c r="AO115" s="220">
        <f t="shared" si="145"/>
        <v>4.1500000000000002E-2</v>
      </c>
      <c r="AP115" s="217">
        <f t="shared" si="146"/>
        <v>4.1500000000000002E-2</v>
      </c>
      <c r="AQ115" s="217">
        <f t="shared" si="147"/>
        <v>4.1500000000000002E-2</v>
      </c>
      <c r="AR115" s="217">
        <f t="shared" si="148"/>
        <v>4.1500000000000002E-2</v>
      </c>
      <c r="AS115" s="217">
        <f t="shared" si="149"/>
        <v>4.1500000000000002E-2</v>
      </c>
      <c r="AT115" s="220">
        <f t="shared" si="150"/>
        <v>4.1500000000000002E-2</v>
      </c>
      <c r="AU115" s="217">
        <f t="shared" si="151"/>
        <v>4.1500000000000002E-2</v>
      </c>
      <c r="AV115" s="217">
        <f t="shared" si="152"/>
        <v>4.1500000000000002E-2</v>
      </c>
      <c r="AW115" s="217">
        <f t="shared" si="153"/>
        <v>4.1500000000000002E-2</v>
      </c>
      <c r="AX115" s="217">
        <f t="shared" si="154"/>
        <v>4.1500000000000002E-2</v>
      </c>
      <c r="AY115" s="220">
        <f t="shared" si="155"/>
        <v>4.1500000000000002E-2</v>
      </c>
      <c r="AZ115" s="217">
        <f t="shared" si="156"/>
        <v>4.1500000000000002E-2</v>
      </c>
      <c r="BA115" s="217">
        <f t="shared" si="157"/>
        <v>4.1500000000000002E-2</v>
      </c>
      <c r="BB115" s="217">
        <f t="shared" si="158"/>
        <v>4.1500000000000002E-2</v>
      </c>
      <c r="BC115" s="217">
        <f t="shared" si="159"/>
        <v>4.1500000000000002E-2</v>
      </c>
      <c r="BD115" s="220">
        <f t="shared" si="160"/>
        <v>4.1500000000000002E-2</v>
      </c>
      <c r="BE115" s="217">
        <f t="shared" si="161"/>
        <v>4.1500000000000002E-2</v>
      </c>
      <c r="BF115" s="217">
        <f t="shared" si="162"/>
        <v>4.1500000000000002E-2</v>
      </c>
      <c r="BG115" s="217">
        <f t="shared" si="163"/>
        <v>4.1500000000000002E-2</v>
      </c>
      <c r="BH115" s="217">
        <f t="shared" si="164"/>
        <v>4.1500000000000002E-2</v>
      </c>
      <c r="BI115" s="220">
        <f t="shared" si="165"/>
        <v>4.1500000000000002E-2</v>
      </c>
      <c r="BJ115" s="21"/>
      <c r="BK115" s="21"/>
      <c r="BL115" s="21"/>
    </row>
    <row r="116" spans="1:64" s="25" customFormat="1">
      <c r="A116" s="481" t="str">
        <f t="shared" si="214"/>
        <v>3.750% Notes due 2046</v>
      </c>
      <c r="B116" s="217"/>
      <c r="C116" s="217"/>
      <c r="D116" s="217"/>
      <c r="E116" s="31"/>
      <c r="F116" s="220"/>
      <c r="G116" s="217"/>
      <c r="H116" s="217"/>
      <c r="I116" s="217"/>
      <c r="J116" s="31"/>
      <c r="K116" s="218"/>
      <c r="L116" s="217"/>
      <c r="M116" s="217"/>
      <c r="N116" s="217"/>
      <c r="O116" s="31"/>
      <c r="P116" s="218"/>
      <c r="Q116" s="31"/>
      <c r="R116" s="31"/>
      <c r="S116" s="31"/>
      <c r="T116" s="31"/>
      <c r="U116" s="218"/>
      <c r="V116" s="31"/>
      <c r="W116" s="31"/>
      <c r="X116" s="31"/>
      <c r="Y116" s="31"/>
      <c r="Z116" s="218"/>
      <c r="AA116" s="217"/>
      <c r="AB116" s="217">
        <v>3.7499999999999999E-2</v>
      </c>
      <c r="AC116" s="217">
        <f t="shared" si="177"/>
        <v>3.7499999999999999E-2</v>
      </c>
      <c r="AD116" s="217">
        <f t="shared" si="177"/>
        <v>3.7499999999999999E-2</v>
      </c>
      <c r="AE116" s="220">
        <f t="shared" si="177"/>
        <v>3.7499999999999999E-2</v>
      </c>
      <c r="AF116" s="217">
        <f t="shared" si="177"/>
        <v>3.7499999999999999E-2</v>
      </c>
      <c r="AG116" s="217">
        <f t="shared" si="177"/>
        <v>3.7499999999999999E-2</v>
      </c>
      <c r="AH116" s="217">
        <f t="shared" si="177"/>
        <v>3.7499999999999999E-2</v>
      </c>
      <c r="AI116" s="217">
        <f t="shared" si="177"/>
        <v>3.7499999999999999E-2</v>
      </c>
      <c r="AJ116" s="220">
        <f t="shared" si="177"/>
        <v>3.7499999999999999E-2</v>
      </c>
      <c r="AK116" s="217">
        <f t="shared" si="142"/>
        <v>3.7499999999999999E-2</v>
      </c>
      <c r="AL116" s="217">
        <f t="shared" si="143"/>
        <v>3.7499999999999999E-2</v>
      </c>
      <c r="AM116" s="217">
        <f t="shared" si="144"/>
        <v>3.7499999999999999E-2</v>
      </c>
      <c r="AN116" s="217">
        <f t="shared" si="145"/>
        <v>3.7499999999999999E-2</v>
      </c>
      <c r="AO116" s="220">
        <f t="shared" si="145"/>
        <v>3.7499999999999999E-2</v>
      </c>
      <c r="AP116" s="217">
        <f t="shared" si="146"/>
        <v>3.7499999999999999E-2</v>
      </c>
      <c r="AQ116" s="217">
        <f t="shared" si="147"/>
        <v>3.7499999999999999E-2</v>
      </c>
      <c r="AR116" s="217">
        <f t="shared" si="148"/>
        <v>3.7499999999999999E-2</v>
      </c>
      <c r="AS116" s="217">
        <f t="shared" si="149"/>
        <v>3.7499999999999999E-2</v>
      </c>
      <c r="AT116" s="220">
        <f t="shared" si="150"/>
        <v>3.7499999999999999E-2</v>
      </c>
      <c r="AU116" s="217">
        <f t="shared" si="151"/>
        <v>3.7499999999999999E-2</v>
      </c>
      <c r="AV116" s="217">
        <f t="shared" si="152"/>
        <v>3.7499999999999999E-2</v>
      </c>
      <c r="AW116" s="217">
        <f t="shared" si="153"/>
        <v>3.7499999999999999E-2</v>
      </c>
      <c r="AX116" s="217">
        <f t="shared" si="154"/>
        <v>3.7499999999999999E-2</v>
      </c>
      <c r="AY116" s="220">
        <f t="shared" si="155"/>
        <v>3.7499999999999999E-2</v>
      </c>
      <c r="AZ116" s="217">
        <f t="shared" si="156"/>
        <v>3.7499999999999999E-2</v>
      </c>
      <c r="BA116" s="217">
        <f t="shared" si="157"/>
        <v>3.7499999999999999E-2</v>
      </c>
      <c r="BB116" s="217">
        <f t="shared" si="158"/>
        <v>3.7499999999999999E-2</v>
      </c>
      <c r="BC116" s="217">
        <f t="shared" si="159"/>
        <v>3.7499999999999999E-2</v>
      </c>
      <c r="BD116" s="220">
        <f t="shared" si="160"/>
        <v>3.7499999999999999E-2</v>
      </c>
      <c r="BE116" s="217">
        <f t="shared" si="161"/>
        <v>3.7499999999999999E-2</v>
      </c>
      <c r="BF116" s="217">
        <f t="shared" si="162"/>
        <v>3.7499999999999999E-2</v>
      </c>
      <c r="BG116" s="217">
        <f t="shared" si="163"/>
        <v>3.7499999999999999E-2</v>
      </c>
      <c r="BH116" s="217">
        <f t="shared" si="164"/>
        <v>3.7499999999999999E-2</v>
      </c>
      <c r="BI116" s="220">
        <f t="shared" si="165"/>
        <v>3.7499999999999999E-2</v>
      </c>
      <c r="BJ116" s="21"/>
      <c r="BK116" s="21"/>
      <c r="BL116" s="21"/>
    </row>
    <row r="117" spans="1:64" s="25" customFormat="1">
      <c r="A117" s="481" t="str">
        <f t="shared" si="214"/>
        <v>4.050% Notes due 2047</v>
      </c>
      <c r="B117" s="217"/>
      <c r="C117" s="217"/>
      <c r="D117" s="217"/>
      <c r="E117" s="31"/>
      <c r="F117" s="220"/>
      <c r="G117" s="217"/>
      <c r="H117" s="217"/>
      <c r="I117" s="217"/>
      <c r="J117" s="31"/>
      <c r="K117" s="218"/>
      <c r="L117" s="217"/>
      <c r="M117" s="217"/>
      <c r="N117" s="217"/>
      <c r="O117" s="31"/>
      <c r="P117" s="218"/>
      <c r="Q117" s="31"/>
      <c r="R117" s="31"/>
      <c r="S117" s="31"/>
      <c r="T117" s="31"/>
      <c r="U117" s="218"/>
      <c r="V117" s="31"/>
      <c r="W117" s="31"/>
      <c r="X117" s="31"/>
      <c r="Y117" s="31"/>
      <c r="Z117" s="218"/>
      <c r="AA117" s="217"/>
      <c r="AB117" s="217">
        <v>4.0500000000000001E-2</v>
      </c>
      <c r="AC117" s="217">
        <f t="shared" si="177"/>
        <v>4.0500000000000001E-2</v>
      </c>
      <c r="AD117" s="217">
        <f t="shared" si="177"/>
        <v>4.0500000000000001E-2</v>
      </c>
      <c r="AE117" s="220">
        <f t="shared" si="177"/>
        <v>4.0500000000000001E-2</v>
      </c>
      <c r="AF117" s="217">
        <f t="shared" si="177"/>
        <v>4.0500000000000001E-2</v>
      </c>
      <c r="AG117" s="217">
        <f t="shared" si="177"/>
        <v>4.0500000000000001E-2</v>
      </c>
      <c r="AH117" s="217">
        <f t="shared" si="177"/>
        <v>4.0500000000000001E-2</v>
      </c>
      <c r="AI117" s="217">
        <f t="shared" si="177"/>
        <v>4.0500000000000001E-2</v>
      </c>
      <c r="AJ117" s="220">
        <f t="shared" si="177"/>
        <v>4.0500000000000001E-2</v>
      </c>
      <c r="AK117" s="217">
        <f t="shared" si="142"/>
        <v>4.0500000000000001E-2</v>
      </c>
      <c r="AL117" s="217">
        <f t="shared" si="143"/>
        <v>4.0500000000000001E-2</v>
      </c>
      <c r="AM117" s="217">
        <f t="shared" si="144"/>
        <v>4.0500000000000001E-2</v>
      </c>
      <c r="AN117" s="217">
        <f t="shared" si="145"/>
        <v>4.0500000000000001E-2</v>
      </c>
      <c r="AO117" s="220">
        <f t="shared" si="145"/>
        <v>4.0500000000000001E-2</v>
      </c>
      <c r="AP117" s="217">
        <f t="shared" si="146"/>
        <v>4.0500000000000001E-2</v>
      </c>
      <c r="AQ117" s="217">
        <f t="shared" si="147"/>
        <v>4.0500000000000001E-2</v>
      </c>
      <c r="AR117" s="217">
        <f t="shared" si="148"/>
        <v>4.0500000000000001E-2</v>
      </c>
      <c r="AS117" s="217">
        <f t="shared" si="149"/>
        <v>4.0500000000000001E-2</v>
      </c>
      <c r="AT117" s="220">
        <f t="shared" si="150"/>
        <v>4.0500000000000001E-2</v>
      </c>
      <c r="AU117" s="217">
        <f t="shared" si="151"/>
        <v>4.0500000000000001E-2</v>
      </c>
      <c r="AV117" s="217">
        <f t="shared" si="152"/>
        <v>4.0500000000000001E-2</v>
      </c>
      <c r="AW117" s="217">
        <f t="shared" si="153"/>
        <v>4.0500000000000001E-2</v>
      </c>
      <c r="AX117" s="217">
        <f t="shared" si="154"/>
        <v>4.0500000000000001E-2</v>
      </c>
      <c r="AY117" s="220">
        <f t="shared" si="155"/>
        <v>4.0500000000000001E-2</v>
      </c>
      <c r="AZ117" s="217">
        <f t="shared" si="156"/>
        <v>4.0500000000000001E-2</v>
      </c>
      <c r="BA117" s="217">
        <f t="shared" si="157"/>
        <v>4.0500000000000001E-2</v>
      </c>
      <c r="BB117" s="217">
        <f t="shared" si="158"/>
        <v>4.0500000000000001E-2</v>
      </c>
      <c r="BC117" s="217">
        <f t="shared" si="159"/>
        <v>4.0500000000000001E-2</v>
      </c>
      <c r="BD117" s="220">
        <f t="shared" si="160"/>
        <v>4.0500000000000001E-2</v>
      </c>
      <c r="BE117" s="217">
        <f t="shared" si="161"/>
        <v>4.0500000000000001E-2</v>
      </c>
      <c r="BF117" s="217">
        <f t="shared" si="162"/>
        <v>4.0500000000000001E-2</v>
      </c>
      <c r="BG117" s="217">
        <f t="shared" si="163"/>
        <v>4.0500000000000001E-2</v>
      </c>
      <c r="BH117" s="217">
        <f t="shared" si="164"/>
        <v>4.0500000000000001E-2</v>
      </c>
      <c r="BI117" s="220">
        <f t="shared" si="165"/>
        <v>4.0500000000000001E-2</v>
      </c>
      <c r="BJ117" s="21"/>
      <c r="BK117" s="21"/>
      <c r="BL117" s="21"/>
    </row>
    <row r="118" spans="1:64" s="25" customFormat="1">
      <c r="A118" s="481" t="str">
        <f t="shared" si="214"/>
        <v>4.350% Notes due 2047</v>
      </c>
      <c r="B118" s="217"/>
      <c r="C118" s="217"/>
      <c r="D118" s="217"/>
      <c r="E118" s="31"/>
      <c r="F118" s="220"/>
      <c r="G118" s="217"/>
      <c r="H118" s="217"/>
      <c r="I118" s="217"/>
      <c r="J118" s="31"/>
      <c r="K118" s="218"/>
      <c r="L118" s="217"/>
      <c r="M118" s="217"/>
      <c r="N118" s="217"/>
      <c r="O118" s="31"/>
      <c r="P118" s="218"/>
      <c r="Q118" s="31"/>
      <c r="R118" s="31"/>
      <c r="S118" s="31"/>
      <c r="T118" s="31"/>
      <c r="U118" s="218"/>
      <c r="V118" s="31"/>
      <c r="W118" s="31"/>
      <c r="X118" s="31"/>
      <c r="Y118" s="31"/>
      <c r="Z118" s="218"/>
      <c r="AA118" s="217"/>
      <c r="AB118" s="217">
        <v>4.3499999999999997E-2</v>
      </c>
      <c r="AC118" s="217">
        <f t="shared" ref="AB118:AJ128" si="215">AB118</f>
        <v>4.3499999999999997E-2</v>
      </c>
      <c r="AD118" s="217">
        <f t="shared" si="215"/>
        <v>4.3499999999999997E-2</v>
      </c>
      <c r="AE118" s="220">
        <f t="shared" si="215"/>
        <v>4.3499999999999997E-2</v>
      </c>
      <c r="AF118" s="217">
        <f t="shared" si="215"/>
        <v>4.3499999999999997E-2</v>
      </c>
      <c r="AG118" s="217">
        <f t="shared" si="215"/>
        <v>4.3499999999999997E-2</v>
      </c>
      <c r="AH118" s="217">
        <f t="shared" si="215"/>
        <v>4.3499999999999997E-2</v>
      </c>
      <c r="AI118" s="217">
        <f t="shared" si="215"/>
        <v>4.3499999999999997E-2</v>
      </c>
      <c r="AJ118" s="220">
        <f t="shared" si="215"/>
        <v>4.3499999999999997E-2</v>
      </c>
      <c r="AK118" s="217">
        <f t="shared" si="142"/>
        <v>4.3499999999999997E-2</v>
      </c>
      <c r="AL118" s="217">
        <f t="shared" si="143"/>
        <v>4.3499999999999997E-2</v>
      </c>
      <c r="AM118" s="217">
        <f t="shared" si="144"/>
        <v>4.3499999999999997E-2</v>
      </c>
      <c r="AN118" s="217">
        <f t="shared" si="145"/>
        <v>4.3499999999999997E-2</v>
      </c>
      <c r="AO118" s="220">
        <f t="shared" si="145"/>
        <v>4.3499999999999997E-2</v>
      </c>
      <c r="AP118" s="217">
        <f t="shared" si="146"/>
        <v>4.3499999999999997E-2</v>
      </c>
      <c r="AQ118" s="217">
        <f t="shared" si="147"/>
        <v>4.3499999999999997E-2</v>
      </c>
      <c r="AR118" s="217">
        <f t="shared" si="148"/>
        <v>4.3499999999999997E-2</v>
      </c>
      <c r="AS118" s="217">
        <f t="shared" si="149"/>
        <v>4.3499999999999997E-2</v>
      </c>
      <c r="AT118" s="220">
        <f t="shared" si="150"/>
        <v>4.3499999999999997E-2</v>
      </c>
      <c r="AU118" s="217">
        <f t="shared" si="151"/>
        <v>4.3499999999999997E-2</v>
      </c>
      <c r="AV118" s="217">
        <f t="shared" si="152"/>
        <v>4.3499999999999997E-2</v>
      </c>
      <c r="AW118" s="217">
        <f t="shared" si="153"/>
        <v>4.3499999999999997E-2</v>
      </c>
      <c r="AX118" s="217">
        <f t="shared" si="154"/>
        <v>4.3499999999999997E-2</v>
      </c>
      <c r="AY118" s="220">
        <f t="shared" si="155"/>
        <v>4.3499999999999997E-2</v>
      </c>
      <c r="AZ118" s="217">
        <f t="shared" si="156"/>
        <v>4.3499999999999997E-2</v>
      </c>
      <c r="BA118" s="217">
        <f t="shared" si="157"/>
        <v>4.3499999999999997E-2</v>
      </c>
      <c r="BB118" s="217">
        <f t="shared" si="158"/>
        <v>4.3499999999999997E-2</v>
      </c>
      <c r="BC118" s="217">
        <f t="shared" si="159"/>
        <v>4.3499999999999997E-2</v>
      </c>
      <c r="BD118" s="220">
        <f t="shared" si="160"/>
        <v>4.3499999999999997E-2</v>
      </c>
      <c r="BE118" s="217">
        <f t="shared" si="161"/>
        <v>4.3499999999999997E-2</v>
      </c>
      <c r="BF118" s="217">
        <f t="shared" si="162"/>
        <v>4.3499999999999997E-2</v>
      </c>
      <c r="BG118" s="217">
        <f t="shared" si="163"/>
        <v>4.3499999999999997E-2</v>
      </c>
      <c r="BH118" s="217">
        <f t="shared" si="164"/>
        <v>4.3499999999999997E-2</v>
      </c>
      <c r="BI118" s="220">
        <f t="shared" si="165"/>
        <v>4.3499999999999997E-2</v>
      </c>
      <c r="BJ118" s="21"/>
      <c r="BK118" s="21"/>
      <c r="BL118" s="21"/>
    </row>
    <row r="119" spans="1:64" s="25" customFormat="1">
      <c r="A119" s="481" t="str">
        <f t="shared" si="214"/>
        <v>4.625% Notes due 2048</v>
      </c>
      <c r="B119" s="217"/>
      <c r="C119" s="217"/>
      <c r="D119" s="217"/>
      <c r="E119" s="31"/>
      <c r="F119" s="220"/>
      <c r="G119" s="217"/>
      <c r="H119" s="217"/>
      <c r="I119" s="217"/>
      <c r="J119" s="31"/>
      <c r="K119" s="218"/>
      <c r="L119" s="217"/>
      <c r="M119" s="217"/>
      <c r="N119" s="217"/>
      <c r="O119" s="31"/>
      <c r="P119" s="218"/>
      <c r="Q119" s="31"/>
      <c r="R119" s="31"/>
      <c r="S119" s="31"/>
      <c r="T119" s="31"/>
      <c r="U119" s="218"/>
      <c r="V119" s="31"/>
      <c r="W119" s="31"/>
      <c r="X119" s="31"/>
      <c r="Y119" s="31"/>
      <c r="Z119" s="218"/>
      <c r="AA119" s="217"/>
      <c r="AB119" s="217">
        <v>4.6249999999999999E-2</v>
      </c>
      <c r="AC119" s="217">
        <f t="shared" si="215"/>
        <v>4.6249999999999999E-2</v>
      </c>
      <c r="AD119" s="217">
        <f t="shared" si="215"/>
        <v>4.6249999999999999E-2</v>
      </c>
      <c r="AE119" s="220">
        <f t="shared" si="215"/>
        <v>4.6249999999999999E-2</v>
      </c>
      <c r="AF119" s="217">
        <f t="shared" si="215"/>
        <v>4.6249999999999999E-2</v>
      </c>
      <c r="AG119" s="217">
        <f t="shared" si="215"/>
        <v>4.6249999999999999E-2</v>
      </c>
      <c r="AH119" s="217">
        <f t="shared" si="215"/>
        <v>4.6249999999999999E-2</v>
      </c>
      <c r="AI119" s="217">
        <f t="shared" si="215"/>
        <v>4.6249999999999999E-2</v>
      </c>
      <c r="AJ119" s="220">
        <f t="shared" si="215"/>
        <v>4.6249999999999999E-2</v>
      </c>
      <c r="AK119" s="217">
        <f t="shared" si="142"/>
        <v>4.6249999999999999E-2</v>
      </c>
      <c r="AL119" s="217">
        <f t="shared" si="143"/>
        <v>4.6249999999999999E-2</v>
      </c>
      <c r="AM119" s="217">
        <f t="shared" si="144"/>
        <v>4.6249999999999999E-2</v>
      </c>
      <c r="AN119" s="217">
        <f t="shared" si="145"/>
        <v>4.6249999999999999E-2</v>
      </c>
      <c r="AO119" s="220">
        <f t="shared" si="145"/>
        <v>4.6249999999999999E-2</v>
      </c>
      <c r="AP119" s="217">
        <f t="shared" si="146"/>
        <v>4.6249999999999999E-2</v>
      </c>
      <c r="AQ119" s="217">
        <f t="shared" si="147"/>
        <v>4.6249999999999999E-2</v>
      </c>
      <c r="AR119" s="217">
        <f t="shared" si="148"/>
        <v>4.6249999999999999E-2</v>
      </c>
      <c r="AS119" s="217">
        <f t="shared" si="149"/>
        <v>4.6249999999999999E-2</v>
      </c>
      <c r="AT119" s="220">
        <f t="shared" si="150"/>
        <v>4.6249999999999999E-2</v>
      </c>
      <c r="AU119" s="217">
        <f t="shared" si="151"/>
        <v>4.6249999999999999E-2</v>
      </c>
      <c r="AV119" s="217">
        <f t="shared" si="152"/>
        <v>4.6249999999999999E-2</v>
      </c>
      <c r="AW119" s="217">
        <f t="shared" si="153"/>
        <v>4.6249999999999999E-2</v>
      </c>
      <c r="AX119" s="217">
        <f t="shared" si="154"/>
        <v>4.6249999999999999E-2</v>
      </c>
      <c r="AY119" s="220">
        <f t="shared" si="155"/>
        <v>4.6249999999999999E-2</v>
      </c>
      <c r="AZ119" s="217">
        <f t="shared" si="156"/>
        <v>4.6249999999999999E-2</v>
      </c>
      <c r="BA119" s="217">
        <f t="shared" si="157"/>
        <v>4.6249999999999999E-2</v>
      </c>
      <c r="BB119" s="217">
        <f t="shared" si="158"/>
        <v>4.6249999999999999E-2</v>
      </c>
      <c r="BC119" s="217">
        <f t="shared" si="159"/>
        <v>4.6249999999999999E-2</v>
      </c>
      <c r="BD119" s="220">
        <f t="shared" si="160"/>
        <v>4.6249999999999999E-2</v>
      </c>
      <c r="BE119" s="217">
        <f t="shared" si="161"/>
        <v>4.6249999999999999E-2</v>
      </c>
      <c r="BF119" s="217">
        <f t="shared" si="162"/>
        <v>4.6249999999999999E-2</v>
      </c>
      <c r="BG119" s="217">
        <f t="shared" si="163"/>
        <v>4.6249999999999999E-2</v>
      </c>
      <c r="BH119" s="217">
        <f t="shared" si="164"/>
        <v>4.6249999999999999E-2</v>
      </c>
      <c r="BI119" s="220">
        <f t="shared" si="165"/>
        <v>4.6249999999999999E-2</v>
      </c>
      <c r="BJ119" s="21"/>
      <c r="BK119" s="21"/>
      <c r="BL119" s="21"/>
    </row>
    <row r="120" spans="1:64" s="25" customFormat="1">
      <c r="A120" s="481" t="str">
        <f t="shared" si="214"/>
        <v>3.125% Notes due 2050</v>
      </c>
      <c r="B120" s="217"/>
      <c r="C120" s="217"/>
      <c r="D120" s="217"/>
      <c r="E120" s="31"/>
      <c r="F120" s="220"/>
      <c r="G120" s="217"/>
      <c r="H120" s="217"/>
      <c r="I120" s="217"/>
      <c r="J120" s="31"/>
      <c r="K120" s="218"/>
      <c r="L120" s="217"/>
      <c r="M120" s="217"/>
      <c r="N120" s="217"/>
      <c r="O120" s="31"/>
      <c r="P120" s="218"/>
      <c r="Q120" s="31"/>
      <c r="R120" s="31"/>
      <c r="S120" s="31"/>
      <c r="T120" s="31"/>
      <c r="U120" s="218"/>
      <c r="V120" s="31"/>
      <c r="W120" s="31"/>
      <c r="X120" s="31"/>
      <c r="Y120" s="31"/>
      <c r="Z120" s="218"/>
      <c r="AA120" s="217"/>
      <c r="AB120" s="217">
        <v>3.125E-2</v>
      </c>
      <c r="AC120" s="217">
        <f t="shared" si="215"/>
        <v>3.125E-2</v>
      </c>
      <c r="AD120" s="217">
        <f t="shared" si="215"/>
        <v>3.125E-2</v>
      </c>
      <c r="AE120" s="220">
        <f t="shared" si="215"/>
        <v>3.125E-2</v>
      </c>
      <c r="AF120" s="217">
        <f t="shared" si="215"/>
        <v>3.125E-2</v>
      </c>
      <c r="AG120" s="217">
        <f t="shared" si="215"/>
        <v>3.125E-2</v>
      </c>
      <c r="AH120" s="217">
        <f t="shared" si="215"/>
        <v>3.125E-2</v>
      </c>
      <c r="AI120" s="217">
        <f t="shared" si="215"/>
        <v>3.125E-2</v>
      </c>
      <c r="AJ120" s="220">
        <f t="shared" si="215"/>
        <v>3.125E-2</v>
      </c>
      <c r="AK120" s="217">
        <f t="shared" si="142"/>
        <v>3.125E-2</v>
      </c>
      <c r="AL120" s="217">
        <f t="shared" si="143"/>
        <v>3.125E-2</v>
      </c>
      <c r="AM120" s="217">
        <f t="shared" si="144"/>
        <v>3.125E-2</v>
      </c>
      <c r="AN120" s="217">
        <f t="shared" si="145"/>
        <v>3.125E-2</v>
      </c>
      <c r="AO120" s="220">
        <f t="shared" si="145"/>
        <v>3.125E-2</v>
      </c>
      <c r="AP120" s="217">
        <f t="shared" si="146"/>
        <v>3.125E-2</v>
      </c>
      <c r="AQ120" s="217">
        <f t="shared" si="147"/>
        <v>3.125E-2</v>
      </c>
      <c r="AR120" s="217">
        <f t="shared" si="148"/>
        <v>3.125E-2</v>
      </c>
      <c r="AS120" s="217">
        <f t="shared" si="149"/>
        <v>3.125E-2</v>
      </c>
      <c r="AT120" s="220">
        <f t="shared" si="150"/>
        <v>3.125E-2</v>
      </c>
      <c r="AU120" s="217">
        <f t="shared" si="151"/>
        <v>3.125E-2</v>
      </c>
      <c r="AV120" s="217">
        <f t="shared" si="152"/>
        <v>3.125E-2</v>
      </c>
      <c r="AW120" s="217">
        <f t="shared" si="153"/>
        <v>3.125E-2</v>
      </c>
      <c r="AX120" s="217">
        <f t="shared" si="154"/>
        <v>3.125E-2</v>
      </c>
      <c r="AY120" s="220">
        <f t="shared" si="155"/>
        <v>3.125E-2</v>
      </c>
      <c r="AZ120" s="217">
        <f t="shared" si="156"/>
        <v>3.125E-2</v>
      </c>
      <c r="BA120" s="217">
        <f t="shared" si="157"/>
        <v>3.125E-2</v>
      </c>
      <c r="BB120" s="217">
        <f t="shared" si="158"/>
        <v>3.125E-2</v>
      </c>
      <c r="BC120" s="217">
        <f t="shared" si="159"/>
        <v>3.125E-2</v>
      </c>
      <c r="BD120" s="220">
        <f t="shared" si="160"/>
        <v>3.125E-2</v>
      </c>
      <c r="BE120" s="217">
        <f t="shared" si="161"/>
        <v>3.125E-2</v>
      </c>
      <c r="BF120" s="217">
        <f t="shared" si="162"/>
        <v>3.125E-2</v>
      </c>
      <c r="BG120" s="217">
        <f t="shared" si="163"/>
        <v>3.125E-2</v>
      </c>
      <c r="BH120" s="217">
        <f t="shared" si="164"/>
        <v>3.125E-2</v>
      </c>
      <c r="BI120" s="220">
        <f t="shared" si="165"/>
        <v>3.125E-2</v>
      </c>
      <c r="BJ120" s="21"/>
      <c r="BK120" s="21"/>
      <c r="BL120" s="21"/>
    </row>
    <row r="121" spans="1:64" s="25" customFormat="1">
      <c r="A121" s="481" t="str">
        <f t="shared" si="214"/>
        <v>2.820% Notes due 2051</v>
      </c>
      <c r="B121" s="217"/>
      <c r="C121" s="217"/>
      <c r="D121" s="217"/>
      <c r="E121" s="31"/>
      <c r="F121" s="220"/>
      <c r="G121" s="217"/>
      <c r="H121" s="217"/>
      <c r="I121" s="217"/>
      <c r="J121" s="31"/>
      <c r="K121" s="218"/>
      <c r="L121" s="217"/>
      <c r="M121" s="217"/>
      <c r="N121" s="217"/>
      <c r="O121" s="31"/>
      <c r="P121" s="218"/>
      <c r="Q121" s="31"/>
      <c r="R121" s="31"/>
      <c r="S121" s="31"/>
      <c r="T121" s="31"/>
      <c r="U121" s="218"/>
      <c r="V121" s="31"/>
      <c r="W121" s="31"/>
      <c r="X121" s="31"/>
      <c r="Y121" s="31"/>
      <c r="Z121" s="218"/>
      <c r="AA121" s="217"/>
      <c r="AB121" s="217">
        <v>0</v>
      </c>
      <c r="AC121" s="217">
        <f t="shared" ref="AC121" si="216">AB121</f>
        <v>0</v>
      </c>
      <c r="AD121" s="217">
        <f t="shared" ref="AD121" si="217">AC121</f>
        <v>0</v>
      </c>
      <c r="AE121" s="220">
        <f t="shared" ref="AE121" si="218">AD121</f>
        <v>0</v>
      </c>
      <c r="AF121" s="217">
        <f t="shared" ref="AF121" si="219">AE121</f>
        <v>0</v>
      </c>
      <c r="AG121" s="217">
        <f t="shared" ref="AG121" si="220">AF121</f>
        <v>0</v>
      </c>
      <c r="AH121" s="217">
        <v>2.8199999999999999E-2</v>
      </c>
      <c r="AI121" s="217">
        <f t="shared" ref="AI121" si="221">AH121</f>
        <v>2.8199999999999999E-2</v>
      </c>
      <c r="AJ121" s="220">
        <f t="shared" ref="AJ121" si="222">AI121</f>
        <v>2.8199999999999999E-2</v>
      </c>
      <c r="AK121" s="217">
        <f t="shared" si="142"/>
        <v>2.8199999999999999E-2</v>
      </c>
      <c r="AL121" s="217">
        <f t="shared" si="143"/>
        <v>2.8199999999999999E-2</v>
      </c>
      <c r="AM121" s="217">
        <f t="shared" si="144"/>
        <v>2.8199999999999999E-2</v>
      </c>
      <c r="AN121" s="217">
        <f t="shared" si="145"/>
        <v>2.8199999999999999E-2</v>
      </c>
      <c r="AO121" s="220">
        <f t="shared" si="145"/>
        <v>2.8199999999999999E-2</v>
      </c>
      <c r="AP121" s="217">
        <f t="shared" si="146"/>
        <v>2.8199999999999999E-2</v>
      </c>
      <c r="AQ121" s="217">
        <f t="shared" si="147"/>
        <v>2.8199999999999999E-2</v>
      </c>
      <c r="AR121" s="217">
        <f t="shared" si="148"/>
        <v>2.8199999999999999E-2</v>
      </c>
      <c r="AS121" s="217">
        <f t="shared" si="149"/>
        <v>2.8199999999999999E-2</v>
      </c>
      <c r="AT121" s="220">
        <f t="shared" si="150"/>
        <v>2.8199999999999999E-2</v>
      </c>
      <c r="AU121" s="217">
        <f t="shared" si="151"/>
        <v>2.8199999999999999E-2</v>
      </c>
      <c r="AV121" s="217">
        <f t="shared" si="152"/>
        <v>2.8199999999999999E-2</v>
      </c>
      <c r="AW121" s="217">
        <f t="shared" si="153"/>
        <v>2.8199999999999999E-2</v>
      </c>
      <c r="AX121" s="217">
        <f t="shared" si="154"/>
        <v>2.8199999999999999E-2</v>
      </c>
      <c r="AY121" s="220">
        <f t="shared" si="155"/>
        <v>2.8199999999999999E-2</v>
      </c>
      <c r="AZ121" s="217">
        <f t="shared" si="156"/>
        <v>2.8199999999999999E-2</v>
      </c>
      <c r="BA121" s="217">
        <f t="shared" si="157"/>
        <v>2.8199999999999999E-2</v>
      </c>
      <c r="BB121" s="217">
        <f t="shared" si="158"/>
        <v>2.8199999999999999E-2</v>
      </c>
      <c r="BC121" s="217">
        <f t="shared" si="159"/>
        <v>2.8199999999999999E-2</v>
      </c>
      <c r="BD121" s="220">
        <f t="shared" si="160"/>
        <v>2.8199999999999999E-2</v>
      </c>
      <c r="BE121" s="217">
        <f t="shared" si="161"/>
        <v>2.8199999999999999E-2</v>
      </c>
      <c r="BF121" s="217">
        <f t="shared" si="162"/>
        <v>2.8199999999999999E-2</v>
      </c>
      <c r="BG121" s="217">
        <f t="shared" si="163"/>
        <v>2.8199999999999999E-2</v>
      </c>
      <c r="BH121" s="217">
        <f t="shared" si="164"/>
        <v>2.8199999999999999E-2</v>
      </c>
      <c r="BI121" s="220">
        <f t="shared" si="165"/>
        <v>2.8199999999999999E-2</v>
      </c>
      <c r="BJ121" s="21"/>
      <c r="BK121" s="21"/>
      <c r="BL121" s="21"/>
    </row>
    <row r="122" spans="1:64" s="25" customFormat="1">
      <c r="A122" s="481" t="s">
        <v>427</v>
      </c>
      <c r="B122" s="217"/>
      <c r="C122" s="217"/>
      <c r="D122" s="217"/>
      <c r="E122" s="31"/>
      <c r="F122" s="220"/>
      <c r="G122" s="217"/>
      <c r="H122" s="217"/>
      <c r="I122" s="217"/>
      <c r="J122" s="31"/>
      <c r="K122" s="218"/>
      <c r="L122" s="217"/>
      <c r="M122" s="217"/>
      <c r="N122" s="217"/>
      <c r="O122" s="31"/>
      <c r="P122" s="218"/>
      <c r="Q122" s="31"/>
      <c r="R122" s="31"/>
      <c r="S122" s="31"/>
      <c r="T122" s="31"/>
      <c r="U122" s="218"/>
      <c r="V122" s="31"/>
      <c r="W122" s="31"/>
      <c r="X122" s="31"/>
      <c r="Y122" s="31"/>
      <c r="Z122" s="218"/>
      <c r="AA122" s="217"/>
      <c r="AB122" s="217">
        <v>0</v>
      </c>
      <c r="AC122" s="217">
        <f t="shared" ref="AC122" si="223">AB122</f>
        <v>0</v>
      </c>
      <c r="AD122" s="217">
        <f t="shared" ref="AD122:AD123" si="224">AC122</f>
        <v>0</v>
      </c>
      <c r="AE122" s="220">
        <f t="shared" ref="AE122:AE123" si="225">AD122</f>
        <v>0</v>
      </c>
      <c r="AF122" s="217">
        <f t="shared" ref="AF122:AF123" si="226">AE122</f>
        <v>0</v>
      </c>
      <c r="AG122" s="217">
        <f t="shared" ref="AG122:AG123" si="227">AF122</f>
        <v>0</v>
      </c>
      <c r="AH122" s="217">
        <v>0</v>
      </c>
      <c r="AI122" s="217">
        <v>3.0300000000000001E-2</v>
      </c>
      <c r="AJ122" s="220">
        <f t="shared" ref="AJ122:AJ123" si="228">AI122</f>
        <v>3.0300000000000001E-2</v>
      </c>
      <c r="AK122" s="217">
        <f t="shared" ref="AK122:AK123" si="229">AJ122</f>
        <v>3.0300000000000001E-2</v>
      </c>
      <c r="AL122" s="217">
        <f t="shared" ref="AL122:AL123" si="230">AK122</f>
        <v>3.0300000000000001E-2</v>
      </c>
      <c r="AM122" s="217">
        <f t="shared" ref="AM122:AM123" si="231">AL122</f>
        <v>3.0300000000000001E-2</v>
      </c>
      <c r="AN122" s="217">
        <f t="shared" ref="AN122:AN123" si="232">AM122</f>
        <v>3.0300000000000001E-2</v>
      </c>
      <c r="AO122" s="220">
        <f t="shared" ref="AO122:AO123" si="233">AN122</f>
        <v>3.0300000000000001E-2</v>
      </c>
      <c r="AP122" s="217">
        <f t="shared" si="146"/>
        <v>3.0300000000000001E-2</v>
      </c>
      <c r="AQ122" s="217">
        <f t="shared" si="147"/>
        <v>3.0300000000000001E-2</v>
      </c>
      <c r="AR122" s="217">
        <f t="shared" si="148"/>
        <v>3.0300000000000001E-2</v>
      </c>
      <c r="AS122" s="217">
        <f t="shared" si="149"/>
        <v>3.0300000000000001E-2</v>
      </c>
      <c r="AT122" s="220">
        <f t="shared" si="150"/>
        <v>3.0300000000000001E-2</v>
      </c>
      <c r="AU122" s="217">
        <f t="shared" si="151"/>
        <v>3.0300000000000001E-2</v>
      </c>
      <c r="AV122" s="217">
        <f t="shared" si="152"/>
        <v>3.0300000000000001E-2</v>
      </c>
      <c r="AW122" s="217">
        <f t="shared" si="153"/>
        <v>3.0300000000000001E-2</v>
      </c>
      <c r="AX122" s="217">
        <f t="shared" si="154"/>
        <v>3.0300000000000001E-2</v>
      </c>
      <c r="AY122" s="220">
        <f t="shared" si="155"/>
        <v>3.0300000000000001E-2</v>
      </c>
      <c r="AZ122" s="217">
        <f t="shared" si="156"/>
        <v>3.0300000000000001E-2</v>
      </c>
      <c r="BA122" s="217">
        <f t="shared" si="157"/>
        <v>3.0300000000000001E-2</v>
      </c>
      <c r="BB122" s="217">
        <f t="shared" si="158"/>
        <v>3.0300000000000001E-2</v>
      </c>
      <c r="BC122" s="217">
        <f t="shared" si="159"/>
        <v>3.0300000000000001E-2</v>
      </c>
      <c r="BD122" s="220">
        <f t="shared" si="160"/>
        <v>3.0300000000000001E-2</v>
      </c>
      <c r="BE122" s="217">
        <f t="shared" si="161"/>
        <v>3.0300000000000001E-2</v>
      </c>
      <c r="BF122" s="217">
        <f t="shared" si="162"/>
        <v>3.0300000000000001E-2</v>
      </c>
      <c r="BG122" s="217">
        <f t="shared" si="163"/>
        <v>3.0300000000000001E-2</v>
      </c>
      <c r="BH122" s="217">
        <f t="shared" si="164"/>
        <v>3.0300000000000001E-2</v>
      </c>
      <c r="BI122" s="220">
        <f t="shared" si="165"/>
        <v>3.0300000000000001E-2</v>
      </c>
      <c r="BJ122" s="21"/>
      <c r="BK122" s="21"/>
      <c r="BL122" s="21"/>
    </row>
    <row r="123" spans="1:64" s="25" customFormat="1">
      <c r="A123" s="492" t="s">
        <v>443</v>
      </c>
      <c r="B123" s="217"/>
      <c r="C123" s="217"/>
      <c r="D123" s="217"/>
      <c r="E123" s="31"/>
      <c r="F123" s="220"/>
      <c r="G123" s="217"/>
      <c r="H123" s="217"/>
      <c r="I123" s="217"/>
      <c r="J123" s="31"/>
      <c r="K123" s="218"/>
      <c r="L123" s="217"/>
      <c r="M123" s="217"/>
      <c r="N123" s="217"/>
      <c r="O123" s="31"/>
      <c r="P123" s="218"/>
      <c r="Q123" s="31"/>
      <c r="R123" s="31"/>
      <c r="S123" s="31"/>
      <c r="T123" s="31"/>
      <c r="U123" s="218"/>
      <c r="V123" s="31"/>
      <c r="W123" s="31"/>
      <c r="X123" s="31"/>
      <c r="Y123" s="31"/>
      <c r="Z123" s="218"/>
      <c r="AA123" s="217"/>
      <c r="AB123" s="217"/>
      <c r="AC123" s="217">
        <v>5.3749999999999999E-2</v>
      </c>
      <c r="AD123" s="217">
        <f t="shared" si="224"/>
        <v>5.3749999999999999E-2</v>
      </c>
      <c r="AE123" s="220">
        <f t="shared" si="225"/>
        <v>5.3749999999999999E-2</v>
      </c>
      <c r="AF123" s="217">
        <f t="shared" si="226"/>
        <v>5.3749999999999999E-2</v>
      </c>
      <c r="AG123" s="217">
        <f t="shared" si="227"/>
        <v>5.3749999999999999E-2</v>
      </c>
      <c r="AH123" s="217">
        <f t="shared" ref="AH123" si="234">AG123</f>
        <v>5.3749999999999999E-2</v>
      </c>
      <c r="AI123" s="217">
        <f t="shared" ref="AI123" si="235">AH123</f>
        <v>5.3749999999999999E-2</v>
      </c>
      <c r="AJ123" s="220">
        <f t="shared" si="228"/>
        <v>5.3749999999999999E-2</v>
      </c>
      <c r="AK123" s="217">
        <f t="shared" si="229"/>
        <v>5.3749999999999999E-2</v>
      </c>
      <c r="AL123" s="217">
        <f t="shared" si="230"/>
        <v>5.3749999999999999E-2</v>
      </c>
      <c r="AM123" s="217">
        <f t="shared" si="231"/>
        <v>5.3749999999999999E-2</v>
      </c>
      <c r="AN123" s="217">
        <f t="shared" si="232"/>
        <v>5.3749999999999999E-2</v>
      </c>
      <c r="AO123" s="220">
        <f t="shared" si="233"/>
        <v>5.3749999999999999E-2</v>
      </c>
      <c r="AP123" s="217">
        <f t="shared" ref="AP123" si="236">AO123</f>
        <v>5.3749999999999999E-2</v>
      </c>
      <c r="AQ123" s="217">
        <f t="shared" ref="AQ123" si="237">AP123</f>
        <v>5.3749999999999999E-2</v>
      </c>
      <c r="AR123" s="217">
        <f t="shared" ref="AR123" si="238">AQ123</f>
        <v>5.3749999999999999E-2</v>
      </c>
      <c r="AS123" s="217">
        <f t="shared" ref="AS123" si="239">AR123</f>
        <v>5.3749999999999999E-2</v>
      </c>
      <c r="AT123" s="220">
        <f t="shared" ref="AT123:AT124" si="240">AS123</f>
        <v>5.3749999999999999E-2</v>
      </c>
      <c r="AU123" s="217">
        <f t="shared" si="151"/>
        <v>5.3749999999999999E-2</v>
      </c>
      <c r="AV123" s="217">
        <f t="shared" si="152"/>
        <v>5.3749999999999999E-2</v>
      </c>
      <c r="AW123" s="217">
        <f t="shared" si="153"/>
        <v>5.3749999999999999E-2</v>
      </c>
      <c r="AX123" s="217">
        <f t="shared" si="154"/>
        <v>5.3749999999999999E-2</v>
      </c>
      <c r="AY123" s="220">
        <f t="shared" si="155"/>
        <v>5.3749999999999999E-2</v>
      </c>
      <c r="AZ123" s="217">
        <f t="shared" si="156"/>
        <v>5.3749999999999999E-2</v>
      </c>
      <c r="BA123" s="217">
        <f t="shared" si="157"/>
        <v>5.3749999999999999E-2</v>
      </c>
      <c r="BB123" s="217">
        <f t="shared" si="158"/>
        <v>5.3749999999999999E-2</v>
      </c>
      <c r="BC123" s="217">
        <f t="shared" si="159"/>
        <v>5.3749999999999999E-2</v>
      </c>
      <c r="BD123" s="220">
        <f t="shared" si="160"/>
        <v>5.3749999999999999E-2</v>
      </c>
      <c r="BE123" s="217">
        <f t="shared" si="161"/>
        <v>5.3749999999999999E-2</v>
      </c>
      <c r="BF123" s="217">
        <f t="shared" si="162"/>
        <v>5.3749999999999999E-2</v>
      </c>
      <c r="BG123" s="217">
        <f t="shared" si="163"/>
        <v>5.3749999999999999E-2</v>
      </c>
      <c r="BH123" s="217">
        <f t="shared" si="164"/>
        <v>5.3749999999999999E-2</v>
      </c>
      <c r="BI123" s="220">
        <f t="shared" si="165"/>
        <v>5.3749999999999999E-2</v>
      </c>
      <c r="BJ123" s="21"/>
      <c r="BK123" s="21"/>
      <c r="BL123" s="21"/>
    </row>
    <row r="124" spans="1:64" s="25" customFormat="1">
      <c r="A124" s="525" t="s">
        <v>475</v>
      </c>
      <c r="B124" s="217"/>
      <c r="C124" s="217"/>
      <c r="D124" s="217"/>
      <c r="E124" s="31"/>
      <c r="F124" s="220"/>
      <c r="G124" s="217"/>
      <c r="H124" s="217"/>
      <c r="I124" s="217"/>
      <c r="J124" s="31"/>
      <c r="K124" s="218"/>
      <c r="L124" s="217"/>
      <c r="M124" s="217"/>
      <c r="N124" s="217"/>
      <c r="O124" s="31"/>
      <c r="P124" s="218"/>
      <c r="Q124" s="31"/>
      <c r="R124" s="31"/>
      <c r="S124" s="31"/>
      <c r="T124" s="31"/>
      <c r="U124" s="218"/>
      <c r="V124" s="31"/>
      <c r="W124" s="31"/>
      <c r="X124" s="31"/>
      <c r="Y124" s="31"/>
      <c r="Z124" s="218"/>
      <c r="AA124" s="217"/>
      <c r="AB124" s="217"/>
      <c r="AC124" s="217"/>
      <c r="AD124" s="217"/>
      <c r="AE124" s="220"/>
      <c r="AF124" s="217"/>
      <c r="AG124" s="217"/>
      <c r="AH124" s="217"/>
      <c r="AI124" s="217"/>
      <c r="AJ124" s="220"/>
      <c r="AK124" s="217"/>
      <c r="AL124" s="217"/>
      <c r="AM124" s="217"/>
      <c r="AN124" s="217"/>
      <c r="AO124" s="220"/>
      <c r="AP124" s="217">
        <v>0</v>
      </c>
      <c r="AQ124" s="217">
        <v>0</v>
      </c>
      <c r="AR124" s="217">
        <v>0</v>
      </c>
      <c r="AS124" s="217">
        <v>6.4000000000000001E-2</v>
      </c>
      <c r="AT124" s="220">
        <f t="shared" si="240"/>
        <v>6.4000000000000001E-2</v>
      </c>
      <c r="AU124" s="217">
        <f t="shared" ref="AU124" si="241">AT124</f>
        <v>6.4000000000000001E-2</v>
      </c>
      <c r="AV124" s="217">
        <f t="shared" ref="AV124" si="242">AU124</f>
        <v>6.4000000000000001E-2</v>
      </c>
      <c r="AW124" s="217">
        <f t="shared" ref="AW124" si="243">AV124</f>
        <v>6.4000000000000001E-2</v>
      </c>
      <c r="AX124" s="217">
        <f t="shared" ref="AX124" si="244">AW124</f>
        <v>6.4000000000000001E-2</v>
      </c>
      <c r="AY124" s="220">
        <f t="shared" ref="AY124" si="245">AX124</f>
        <v>6.4000000000000001E-2</v>
      </c>
      <c r="AZ124" s="217">
        <f t="shared" si="156"/>
        <v>6.4000000000000001E-2</v>
      </c>
      <c r="BA124" s="217">
        <f t="shared" si="157"/>
        <v>6.4000000000000001E-2</v>
      </c>
      <c r="BB124" s="217">
        <f t="shared" si="158"/>
        <v>6.4000000000000001E-2</v>
      </c>
      <c r="BC124" s="217">
        <f t="shared" si="159"/>
        <v>6.4000000000000001E-2</v>
      </c>
      <c r="BD124" s="220">
        <f t="shared" si="160"/>
        <v>6.4000000000000001E-2</v>
      </c>
      <c r="BE124" s="217">
        <f t="shared" si="161"/>
        <v>6.4000000000000001E-2</v>
      </c>
      <c r="BF124" s="217">
        <f t="shared" si="162"/>
        <v>6.4000000000000001E-2</v>
      </c>
      <c r="BG124" s="217">
        <f t="shared" si="163"/>
        <v>6.4000000000000001E-2</v>
      </c>
      <c r="BH124" s="217">
        <f t="shared" si="164"/>
        <v>6.4000000000000001E-2</v>
      </c>
      <c r="BI124" s="220">
        <f t="shared" si="165"/>
        <v>6.4000000000000001E-2</v>
      </c>
      <c r="BJ124" s="21"/>
      <c r="BK124" s="21"/>
      <c r="BL124" s="21"/>
    </row>
    <row r="125" spans="1:64" s="25" customFormat="1">
      <c r="A125" s="3" t="str">
        <f>A57</f>
        <v>Other (Including Finance Leases)</v>
      </c>
      <c r="B125" s="217"/>
      <c r="C125" s="217"/>
      <c r="D125" s="217"/>
      <c r="E125" s="31"/>
      <c r="F125" s="220"/>
      <c r="G125" s="217"/>
      <c r="H125" s="217"/>
      <c r="I125" s="217"/>
      <c r="J125" s="31"/>
      <c r="K125" s="218"/>
      <c r="L125" s="217"/>
      <c r="M125" s="217"/>
      <c r="N125" s="217"/>
      <c r="O125" s="31"/>
      <c r="P125" s="218"/>
      <c r="Q125" s="31"/>
      <c r="R125" s="31"/>
      <c r="S125" s="31"/>
      <c r="T125" s="31"/>
      <c r="U125" s="218"/>
      <c r="V125" s="31"/>
      <c r="W125" s="31"/>
      <c r="X125" s="31"/>
      <c r="Y125" s="31"/>
      <c r="Z125" s="218"/>
      <c r="AA125" s="217"/>
      <c r="AB125" s="217">
        <v>3.7999999999999999E-2</v>
      </c>
      <c r="AC125" s="217">
        <f t="shared" si="215"/>
        <v>3.7999999999999999E-2</v>
      </c>
      <c r="AD125" s="217">
        <f t="shared" si="215"/>
        <v>3.7999999999999999E-2</v>
      </c>
      <c r="AE125" s="220">
        <f t="shared" si="215"/>
        <v>3.7999999999999999E-2</v>
      </c>
      <c r="AF125" s="217">
        <f t="shared" si="215"/>
        <v>3.7999999999999999E-2</v>
      </c>
      <c r="AG125" s="217">
        <f t="shared" si="215"/>
        <v>3.7999999999999999E-2</v>
      </c>
      <c r="AH125" s="217">
        <f t="shared" si="215"/>
        <v>3.7999999999999999E-2</v>
      </c>
      <c r="AI125" s="217">
        <f t="shared" si="215"/>
        <v>3.7999999999999999E-2</v>
      </c>
      <c r="AJ125" s="220">
        <f t="shared" si="215"/>
        <v>3.7999999999999999E-2</v>
      </c>
      <c r="AK125" s="217">
        <f t="shared" si="142"/>
        <v>3.7999999999999999E-2</v>
      </c>
      <c r="AL125" s="217">
        <f t="shared" si="143"/>
        <v>3.7999999999999999E-2</v>
      </c>
      <c r="AM125" s="217">
        <f t="shared" si="144"/>
        <v>3.7999999999999999E-2</v>
      </c>
      <c r="AN125" s="217">
        <f t="shared" si="145"/>
        <v>3.7999999999999999E-2</v>
      </c>
      <c r="AO125" s="220">
        <f t="shared" si="145"/>
        <v>3.7999999999999999E-2</v>
      </c>
      <c r="AP125" s="217">
        <f t="shared" si="146"/>
        <v>3.7999999999999999E-2</v>
      </c>
      <c r="AQ125" s="217">
        <f t="shared" si="147"/>
        <v>3.7999999999999999E-2</v>
      </c>
      <c r="AR125" s="217">
        <f t="shared" si="148"/>
        <v>3.7999999999999999E-2</v>
      </c>
      <c r="AS125" s="217">
        <f t="shared" si="149"/>
        <v>3.7999999999999999E-2</v>
      </c>
      <c r="AT125" s="220">
        <f t="shared" si="150"/>
        <v>3.7999999999999999E-2</v>
      </c>
      <c r="AU125" s="217">
        <f t="shared" si="151"/>
        <v>3.7999999999999999E-2</v>
      </c>
      <c r="AV125" s="217">
        <f t="shared" si="152"/>
        <v>3.7999999999999999E-2</v>
      </c>
      <c r="AW125" s="217">
        <f t="shared" si="153"/>
        <v>3.7999999999999999E-2</v>
      </c>
      <c r="AX125" s="217">
        <f t="shared" si="154"/>
        <v>3.7999999999999999E-2</v>
      </c>
      <c r="AY125" s="220">
        <f t="shared" si="155"/>
        <v>3.7999999999999999E-2</v>
      </c>
      <c r="AZ125" s="217">
        <f t="shared" si="156"/>
        <v>3.7999999999999999E-2</v>
      </c>
      <c r="BA125" s="217">
        <f t="shared" si="157"/>
        <v>3.7999999999999999E-2</v>
      </c>
      <c r="BB125" s="217">
        <f t="shared" si="158"/>
        <v>3.7999999999999999E-2</v>
      </c>
      <c r="BC125" s="217">
        <f t="shared" si="159"/>
        <v>3.7999999999999999E-2</v>
      </c>
      <c r="BD125" s="220">
        <f t="shared" si="160"/>
        <v>3.7999999999999999E-2</v>
      </c>
      <c r="BE125" s="217">
        <f t="shared" si="161"/>
        <v>3.7999999999999999E-2</v>
      </c>
      <c r="BF125" s="217">
        <f t="shared" si="162"/>
        <v>3.7999999999999999E-2</v>
      </c>
      <c r="BG125" s="217">
        <f t="shared" si="163"/>
        <v>3.7999999999999999E-2</v>
      </c>
      <c r="BH125" s="217">
        <f t="shared" si="164"/>
        <v>3.7999999999999999E-2</v>
      </c>
      <c r="BI125" s="220">
        <f t="shared" si="165"/>
        <v>3.7999999999999999E-2</v>
      </c>
      <c r="BJ125" s="21"/>
      <c r="BK125" s="21"/>
      <c r="BL125" s="21"/>
    </row>
    <row r="126" spans="1:64" s="25" customFormat="1">
      <c r="A126" s="3" t="str">
        <f>A58</f>
        <v>Commercial Paper</v>
      </c>
      <c r="B126" s="217"/>
      <c r="C126" s="217"/>
      <c r="D126" s="217"/>
      <c r="E126" s="31"/>
      <c r="F126" s="220"/>
      <c r="G126" s="217"/>
      <c r="H126" s="217"/>
      <c r="I126" s="217"/>
      <c r="J126" s="31"/>
      <c r="K126" s="218"/>
      <c r="L126" s="217"/>
      <c r="M126" s="217"/>
      <c r="N126" s="217"/>
      <c r="O126" s="31"/>
      <c r="P126" s="218"/>
      <c r="Q126" s="31"/>
      <c r="R126" s="31"/>
      <c r="S126" s="31"/>
      <c r="T126" s="31"/>
      <c r="U126" s="218"/>
      <c r="V126" s="31"/>
      <c r="W126" s="31"/>
      <c r="X126" s="31"/>
      <c r="Y126" s="31"/>
      <c r="Z126" s="218"/>
      <c r="AA126" s="217"/>
      <c r="AB126" s="217">
        <v>3.7999999999999999E-2</v>
      </c>
      <c r="AC126" s="217">
        <f t="shared" si="215"/>
        <v>3.7999999999999999E-2</v>
      </c>
      <c r="AD126" s="217">
        <f t="shared" si="215"/>
        <v>3.7999999999999999E-2</v>
      </c>
      <c r="AE126" s="220">
        <f t="shared" si="215"/>
        <v>3.7999999999999999E-2</v>
      </c>
      <c r="AF126" s="217">
        <f t="shared" si="215"/>
        <v>3.7999999999999999E-2</v>
      </c>
      <c r="AG126" s="217">
        <f t="shared" si="215"/>
        <v>3.7999999999999999E-2</v>
      </c>
      <c r="AH126" s="217">
        <f t="shared" si="215"/>
        <v>3.7999999999999999E-2</v>
      </c>
      <c r="AI126" s="217">
        <f t="shared" si="215"/>
        <v>3.7999999999999999E-2</v>
      </c>
      <c r="AJ126" s="220">
        <f t="shared" si="215"/>
        <v>3.7999999999999999E-2</v>
      </c>
      <c r="AK126" s="217">
        <f t="shared" si="142"/>
        <v>3.7999999999999999E-2</v>
      </c>
      <c r="AL126" s="217">
        <f t="shared" si="143"/>
        <v>3.7999999999999999E-2</v>
      </c>
      <c r="AM126" s="217">
        <f t="shared" si="144"/>
        <v>3.7999999999999999E-2</v>
      </c>
      <c r="AN126" s="217">
        <f t="shared" si="145"/>
        <v>3.7999999999999999E-2</v>
      </c>
      <c r="AO126" s="220">
        <f t="shared" si="145"/>
        <v>3.7999999999999999E-2</v>
      </c>
      <c r="AP126" s="217">
        <f t="shared" si="146"/>
        <v>3.7999999999999999E-2</v>
      </c>
      <c r="AQ126" s="217">
        <f t="shared" si="147"/>
        <v>3.7999999999999999E-2</v>
      </c>
      <c r="AR126" s="217">
        <f t="shared" si="148"/>
        <v>3.7999999999999999E-2</v>
      </c>
      <c r="AS126" s="217">
        <f t="shared" si="149"/>
        <v>3.7999999999999999E-2</v>
      </c>
      <c r="AT126" s="220">
        <f t="shared" si="150"/>
        <v>3.7999999999999999E-2</v>
      </c>
      <c r="AU126" s="217">
        <f t="shared" si="151"/>
        <v>3.7999999999999999E-2</v>
      </c>
      <c r="AV126" s="217">
        <f t="shared" si="152"/>
        <v>3.7999999999999999E-2</v>
      </c>
      <c r="AW126" s="217">
        <f t="shared" si="153"/>
        <v>3.7999999999999999E-2</v>
      </c>
      <c r="AX126" s="217">
        <f t="shared" si="154"/>
        <v>3.7999999999999999E-2</v>
      </c>
      <c r="AY126" s="220">
        <f t="shared" si="155"/>
        <v>3.7999999999999999E-2</v>
      </c>
      <c r="AZ126" s="217">
        <f t="shared" si="156"/>
        <v>3.7999999999999999E-2</v>
      </c>
      <c r="BA126" s="217">
        <v>4.7E-2</v>
      </c>
      <c r="BB126" s="217">
        <f t="shared" si="158"/>
        <v>4.7E-2</v>
      </c>
      <c r="BC126" s="217">
        <f t="shared" si="159"/>
        <v>4.7E-2</v>
      </c>
      <c r="BD126" s="220">
        <f t="shared" si="160"/>
        <v>4.7E-2</v>
      </c>
      <c r="BE126" s="217">
        <f t="shared" si="161"/>
        <v>4.7E-2</v>
      </c>
      <c r="BF126" s="217">
        <f t="shared" si="162"/>
        <v>4.7E-2</v>
      </c>
      <c r="BG126" s="217">
        <f t="shared" si="163"/>
        <v>4.7E-2</v>
      </c>
      <c r="BH126" s="217">
        <f t="shared" si="164"/>
        <v>4.7E-2</v>
      </c>
      <c r="BI126" s="220">
        <f t="shared" si="165"/>
        <v>4.7E-2</v>
      </c>
      <c r="BJ126" s="21"/>
      <c r="BK126" s="21"/>
      <c r="BL126" s="21"/>
    </row>
    <row r="127" spans="1:64" s="25" customFormat="1">
      <c r="A127" s="3" t="str">
        <f>A59</f>
        <v>Other Debts</v>
      </c>
      <c r="B127" s="217"/>
      <c r="C127" s="217"/>
      <c r="D127" s="217"/>
      <c r="E127" s="31"/>
      <c r="F127" s="220"/>
      <c r="G127" s="217"/>
      <c r="H127" s="217"/>
      <c r="I127" s="217"/>
      <c r="J127" s="31"/>
      <c r="K127" s="218"/>
      <c r="L127" s="217"/>
      <c r="M127" s="217"/>
      <c r="N127" s="217"/>
      <c r="O127" s="31"/>
      <c r="P127" s="218"/>
      <c r="Q127" s="31"/>
      <c r="R127" s="31"/>
      <c r="S127" s="31"/>
      <c r="T127" s="31"/>
      <c r="U127" s="218"/>
      <c r="V127" s="31"/>
      <c r="W127" s="31"/>
      <c r="X127" s="31"/>
      <c r="Y127" s="31"/>
      <c r="Z127" s="218"/>
      <c r="AA127" s="217"/>
      <c r="AB127" s="217">
        <v>3.7999999999999999E-2</v>
      </c>
      <c r="AC127" s="217">
        <f t="shared" si="215"/>
        <v>3.7999999999999999E-2</v>
      </c>
      <c r="AD127" s="217">
        <f t="shared" si="215"/>
        <v>3.7999999999999999E-2</v>
      </c>
      <c r="AE127" s="220">
        <f t="shared" si="215"/>
        <v>3.7999999999999999E-2</v>
      </c>
      <c r="AF127" s="217">
        <f t="shared" si="215"/>
        <v>3.7999999999999999E-2</v>
      </c>
      <c r="AG127" s="217">
        <f t="shared" si="215"/>
        <v>3.7999999999999999E-2</v>
      </c>
      <c r="AH127" s="217">
        <f t="shared" si="215"/>
        <v>3.7999999999999999E-2</v>
      </c>
      <c r="AI127" s="217">
        <f t="shared" si="215"/>
        <v>3.7999999999999999E-2</v>
      </c>
      <c r="AJ127" s="220">
        <f t="shared" si="215"/>
        <v>3.7999999999999999E-2</v>
      </c>
      <c r="AK127" s="217">
        <f t="shared" si="142"/>
        <v>3.7999999999999999E-2</v>
      </c>
      <c r="AL127" s="217">
        <f t="shared" si="143"/>
        <v>3.7999999999999999E-2</v>
      </c>
      <c r="AM127" s="217">
        <f t="shared" si="144"/>
        <v>3.7999999999999999E-2</v>
      </c>
      <c r="AN127" s="217">
        <f t="shared" si="145"/>
        <v>3.7999999999999999E-2</v>
      </c>
      <c r="AO127" s="220">
        <f t="shared" si="145"/>
        <v>3.7999999999999999E-2</v>
      </c>
      <c r="AP127" s="217">
        <f t="shared" si="146"/>
        <v>3.7999999999999999E-2</v>
      </c>
      <c r="AQ127" s="217">
        <f t="shared" si="147"/>
        <v>3.7999999999999999E-2</v>
      </c>
      <c r="AR127" s="217">
        <f t="shared" si="148"/>
        <v>3.7999999999999999E-2</v>
      </c>
      <c r="AS127" s="217">
        <f t="shared" si="149"/>
        <v>3.7999999999999999E-2</v>
      </c>
      <c r="AT127" s="220">
        <f t="shared" si="150"/>
        <v>3.7999999999999999E-2</v>
      </c>
      <c r="AU127" s="217">
        <f t="shared" si="151"/>
        <v>3.7999999999999999E-2</v>
      </c>
      <c r="AV127" s="217">
        <f t="shared" si="152"/>
        <v>3.7999999999999999E-2</v>
      </c>
      <c r="AW127" s="217">
        <f t="shared" si="153"/>
        <v>3.7999999999999999E-2</v>
      </c>
      <c r="AX127" s="217">
        <f t="shared" si="154"/>
        <v>3.7999999999999999E-2</v>
      </c>
      <c r="AY127" s="220">
        <f t="shared" si="155"/>
        <v>3.7999999999999999E-2</v>
      </c>
      <c r="AZ127" s="217">
        <f t="shared" si="156"/>
        <v>3.7999999999999999E-2</v>
      </c>
      <c r="BA127" s="217">
        <f t="shared" si="157"/>
        <v>3.7999999999999999E-2</v>
      </c>
      <c r="BB127" s="217">
        <f t="shared" si="158"/>
        <v>3.7999999999999999E-2</v>
      </c>
      <c r="BC127" s="217">
        <f t="shared" si="159"/>
        <v>3.7999999999999999E-2</v>
      </c>
      <c r="BD127" s="220">
        <f t="shared" si="160"/>
        <v>3.7999999999999999E-2</v>
      </c>
      <c r="BE127" s="217">
        <f t="shared" si="161"/>
        <v>3.7999999999999999E-2</v>
      </c>
      <c r="BF127" s="217">
        <f t="shared" si="162"/>
        <v>3.7999999999999999E-2</v>
      </c>
      <c r="BG127" s="217">
        <f t="shared" si="163"/>
        <v>3.7999999999999999E-2</v>
      </c>
      <c r="BH127" s="217">
        <f t="shared" si="164"/>
        <v>3.7999999999999999E-2</v>
      </c>
      <c r="BI127" s="220">
        <f t="shared" si="165"/>
        <v>3.7999999999999999E-2</v>
      </c>
      <c r="BJ127" s="21"/>
      <c r="BK127" s="21"/>
      <c r="BL127" s="21"/>
    </row>
    <row r="128" spans="1:64" s="25" customFormat="1">
      <c r="A128" s="3" t="str">
        <f>A60</f>
        <v>Additional Debt</v>
      </c>
      <c r="B128" s="217"/>
      <c r="C128" s="217"/>
      <c r="D128" s="217"/>
      <c r="E128" s="31"/>
      <c r="F128" s="220"/>
      <c r="G128" s="217"/>
      <c r="H128" s="217"/>
      <c r="I128" s="217"/>
      <c r="J128" s="31"/>
      <c r="K128" s="218"/>
      <c r="L128" s="217"/>
      <c r="M128" s="217"/>
      <c r="N128" s="217"/>
      <c r="O128" s="31"/>
      <c r="P128" s="218"/>
      <c r="Q128" s="31"/>
      <c r="R128" s="31"/>
      <c r="S128" s="31"/>
      <c r="T128" s="31"/>
      <c r="U128" s="218"/>
      <c r="V128" s="31"/>
      <c r="W128" s="31"/>
      <c r="X128" s="31"/>
      <c r="Y128" s="31"/>
      <c r="Z128" s="218"/>
      <c r="AA128" s="217"/>
      <c r="AB128" s="217">
        <f t="shared" si="215"/>
        <v>0</v>
      </c>
      <c r="AC128" s="217">
        <f t="shared" si="215"/>
        <v>0</v>
      </c>
      <c r="AD128" s="217">
        <f t="shared" si="215"/>
        <v>0</v>
      </c>
      <c r="AE128" s="220">
        <f t="shared" si="215"/>
        <v>0</v>
      </c>
      <c r="AF128" s="217">
        <f t="shared" si="215"/>
        <v>0</v>
      </c>
      <c r="AG128" s="217">
        <f t="shared" si="215"/>
        <v>0</v>
      </c>
      <c r="AH128" s="217">
        <f t="shared" si="215"/>
        <v>0</v>
      </c>
      <c r="AI128" s="217">
        <f t="shared" si="215"/>
        <v>0</v>
      </c>
      <c r="AJ128" s="220">
        <f t="shared" si="215"/>
        <v>0</v>
      </c>
      <c r="AK128" s="217">
        <f t="shared" si="142"/>
        <v>0</v>
      </c>
      <c r="AL128" s="217">
        <f t="shared" si="143"/>
        <v>0</v>
      </c>
      <c r="AM128" s="217">
        <f t="shared" si="144"/>
        <v>0</v>
      </c>
      <c r="AN128" s="217">
        <f t="shared" si="145"/>
        <v>0</v>
      </c>
      <c r="AO128" s="220">
        <f t="shared" si="145"/>
        <v>0</v>
      </c>
      <c r="AP128" s="217">
        <f t="shared" si="146"/>
        <v>0</v>
      </c>
      <c r="AQ128" s="217">
        <f t="shared" si="147"/>
        <v>0</v>
      </c>
      <c r="AR128" s="217">
        <f t="shared" si="148"/>
        <v>0</v>
      </c>
      <c r="AS128" s="217">
        <v>6.5000000000000002E-2</v>
      </c>
      <c r="AT128" s="220">
        <f t="shared" si="150"/>
        <v>6.5000000000000002E-2</v>
      </c>
      <c r="AU128" s="217">
        <f t="shared" si="151"/>
        <v>6.5000000000000002E-2</v>
      </c>
      <c r="AV128" s="217">
        <f t="shared" si="152"/>
        <v>6.5000000000000002E-2</v>
      </c>
      <c r="AW128" s="217">
        <f t="shared" si="153"/>
        <v>6.5000000000000002E-2</v>
      </c>
      <c r="AX128" s="217">
        <f t="shared" si="154"/>
        <v>6.5000000000000002E-2</v>
      </c>
      <c r="AY128" s="220">
        <f t="shared" si="155"/>
        <v>6.5000000000000002E-2</v>
      </c>
      <c r="AZ128" s="217">
        <f t="shared" si="156"/>
        <v>6.5000000000000002E-2</v>
      </c>
      <c r="BA128" s="217">
        <f t="shared" si="157"/>
        <v>6.5000000000000002E-2</v>
      </c>
      <c r="BB128" s="217">
        <f t="shared" si="158"/>
        <v>6.5000000000000002E-2</v>
      </c>
      <c r="BC128" s="217">
        <f t="shared" si="159"/>
        <v>6.5000000000000002E-2</v>
      </c>
      <c r="BD128" s="220">
        <f t="shared" si="160"/>
        <v>6.5000000000000002E-2</v>
      </c>
      <c r="BE128" s="217">
        <f t="shared" si="161"/>
        <v>6.5000000000000002E-2</v>
      </c>
      <c r="BF128" s="217">
        <f t="shared" si="162"/>
        <v>6.5000000000000002E-2</v>
      </c>
      <c r="BG128" s="217">
        <f t="shared" si="163"/>
        <v>6.5000000000000002E-2</v>
      </c>
      <c r="BH128" s="217">
        <f t="shared" si="164"/>
        <v>6.5000000000000002E-2</v>
      </c>
      <c r="BI128" s="220">
        <f t="shared" si="165"/>
        <v>6.5000000000000002E-2</v>
      </c>
      <c r="BJ128" s="21"/>
      <c r="BK128" s="21"/>
      <c r="BL128" s="21"/>
    </row>
    <row r="129" spans="1:64" s="25" customFormat="1">
      <c r="A129" s="3"/>
      <c r="B129" s="217"/>
      <c r="C129" s="217"/>
      <c r="D129" s="217"/>
      <c r="E129" s="31"/>
      <c r="F129" s="218"/>
      <c r="G129" s="217"/>
      <c r="H129" s="217"/>
      <c r="I129" s="217"/>
      <c r="J129" s="31"/>
      <c r="K129" s="218"/>
      <c r="L129" s="217"/>
      <c r="M129" s="217"/>
      <c r="N129" s="217"/>
      <c r="O129" s="31"/>
      <c r="P129" s="218"/>
      <c r="Q129" s="31"/>
      <c r="R129" s="31"/>
      <c r="S129" s="31"/>
      <c r="T129" s="31"/>
      <c r="U129" s="218"/>
      <c r="V129" s="217"/>
      <c r="W129" s="217"/>
      <c r="X129" s="217"/>
      <c r="Y129" s="217"/>
      <c r="Z129" s="218"/>
      <c r="AA129" s="31"/>
      <c r="AB129" s="31"/>
      <c r="AC129" s="31"/>
      <c r="AD129" s="31"/>
      <c r="AE129" s="220"/>
      <c r="AF129" s="31"/>
      <c r="AG129" s="31"/>
      <c r="AH129" s="31"/>
      <c r="AI129" s="31"/>
      <c r="AJ129" s="220"/>
      <c r="AK129" s="217"/>
      <c r="AL129" s="217"/>
      <c r="AM129" s="217"/>
      <c r="AN129" s="217"/>
      <c r="AO129" s="220"/>
      <c r="AP129" s="217"/>
      <c r="AQ129" s="217"/>
      <c r="AR129" s="217"/>
      <c r="AS129" s="217"/>
      <c r="AT129" s="220"/>
      <c r="AU129" s="217"/>
      <c r="AV129" s="217"/>
      <c r="AW129" s="217"/>
      <c r="AX129" s="217"/>
      <c r="AY129" s="220"/>
      <c r="AZ129" s="217"/>
      <c r="BA129" s="217"/>
      <c r="BB129" s="217"/>
      <c r="BC129" s="217"/>
      <c r="BD129" s="220"/>
      <c r="BE129" s="217"/>
      <c r="BF129" s="217"/>
      <c r="BG129" s="217"/>
      <c r="BH129" s="217"/>
      <c r="BI129" s="220"/>
      <c r="BJ129" s="21"/>
      <c r="BK129" s="21"/>
      <c r="BL129" s="21"/>
    </row>
    <row r="130" spans="1:64" s="25" customFormat="1">
      <c r="A130" s="3" t="s">
        <v>303</v>
      </c>
      <c r="B130" s="217"/>
      <c r="C130" s="217"/>
      <c r="D130" s="217"/>
      <c r="E130" s="31"/>
      <c r="F130" s="220"/>
      <c r="G130" s="217"/>
      <c r="H130" s="217"/>
      <c r="I130" s="217"/>
      <c r="J130" s="31"/>
      <c r="K130" s="218"/>
      <c r="L130" s="217"/>
      <c r="M130" s="217"/>
      <c r="N130" s="217"/>
      <c r="O130" s="31"/>
      <c r="P130" s="218"/>
      <c r="Q130" s="217"/>
      <c r="R130" s="217"/>
      <c r="S130" s="217"/>
      <c r="T130" s="217"/>
      <c r="U130" s="220"/>
      <c r="V130" s="217"/>
      <c r="W130" s="217"/>
      <c r="X130" s="217"/>
      <c r="Y130" s="217"/>
      <c r="Z130" s="220"/>
      <c r="AA130" s="217"/>
      <c r="AB130" s="217">
        <f>AVERAGE(1.1034%,0.404%,0.3102%)</f>
        <v>6.0586666666666662E-3</v>
      </c>
      <c r="AC130" s="217">
        <f>AB130</f>
        <v>6.0586666666666662E-3</v>
      </c>
      <c r="AD130" s="217">
        <f>AC130</f>
        <v>6.0586666666666662E-3</v>
      </c>
      <c r="AE130" s="220">
        <f>AVERAGE(AA130:AD130)</f>
        <v>6.0586666666666662E-3</v>
      </c>
      <c r="AF130" s="217">
        <f>AE130</f>
        <v>6.0586666666666662E-3</v>
      </c>
      <c r="AG130" s="217">
        <f t="shared" ref="AG130:AI131" si="246">AF130</f>
        <v>6.0586666666666662E-3</v>
      </c>
      <c r="AH130" s="217">
        <f t="shared" si="246"/>
        <v>6.0586666666666662E-3</v>
      </c>
      <c r="AI130" s="217">
        <f t="shared" si="246"/>
        <v>6.0586666666666662E-3</v>
      </c>
      <c r="AJ130" s="220">
        <f>AVERAGE(AF130:AI130)</f>
        <v>6.0586666666666662E-3</v>
      </c>
      <c r="AK130" s="217">
        <f t="shared" ref="AK130:AK131" si="247">AJ130</f>
        <v>6.0586666666666662E-3</v>
      </c>
      <c r="AL130" s="217">
        <f t="shared" ref="AL130:AL131" si="248">AK130</f>
        <v>6.0586666666666662E-3</v>
      </c>
      <c r="AM130" s="217">
        <f t="shared" ref="AM130:AM131" si="249">AL130</f>
        <v>6.0586666666666662E-3</v>
      </c>
      <c r="AN130" s="217">
        <f t="shared" ref="AN130:AN131" si="250">AM130</f>
        <v>6.0586666666666662E-3</v>
      </c>
      <c r="AO130" s="220">
        <f>AVERAGE(AK130:AN130)</f>
        <v>6.0586666666666662E-3</v>
      </c>
      <c r="AP130" s="217">
        <f t="shared" ref="AP130:AP131" si="251">AO130</f>
        <v>6.0586666666666662E-3</v>
      </c>
      <c r="AQ130" s="217">
        <f t="shared" ref="AQ130:AQ131" si="252">AP130</f>
        <v>6.0586666666666662E-3</v>
      </c>
      <c r="AR130" s="217">
        <f t="shared" ref="AR130:AR131" si="253">AQ130</f>
        <v>6.0586666666666662E-3</v>
      </c>
      <c r="AS130" s="217">
        <v>5.2999999999999999E-2</v>
      </c>
      <c r="AT130" s="220">
        <f>AVERAGE(AP130:AS130)</f>
        <v>1.7793999999999997E-2</v>
      </c>
      <c r="AU130" s="217">
        <v>5.2999999999999999E-2</v>
      </c>
      <c r="AV130" s="217">
        <f t="shared" ref="AV130:AV131" si="254">AU130</f>
        <v>5.2999999999999999E-2</v>
      </c>
      <c r="AW130" s="217">
        <f t="shared" ref="AW130:AW131" si="255">AV130</f>
        <v>5.2999999999999999E-2</v>
      </c>
      <c r="AX130" s="217">
        <f t="shared" si="154"/>
        <v>5.2999999999999999E-2</v>
      </c>
      <c r="AY130" s="220">
        <f>AVERAGE(AU130:AX130)</f>
        <v>5.2999999999999999E-2</v>
      </c>
      <c r="AZ130" s="217">
        <f t="shared" ref="AZ130:AZ131" si="256">AY130</f>
        <v>5.2999999999999999E-2</v>
      </c>
      <c r="BA130" s="217">
        <f t="shared" ref="BA130:BA131" si="257">AZ130</f>
        <v>5.2999999999999999E-2</v>
      </c>
      <c r="BB130" s="217">
        <f t="shared" ref="BB130:BB131" si="258">BA130</f>
        <v>5.2999999999999999E-2</v>
      </c>
      <c r="BC130" s="217">
        <f t="shared" ref="BC130:BC131" si="259">BB130</f>
        <v>5.2999999999999999E-2</v>
      </c>
      <c r="BD130" s="220">
        <f>AVERAGE(AZ130:BC130)</f>
        <v>5.2999999999999999E-2</v>
      </c>
      <c r="BE130" s="217">
        <f t="shared" ref="BE130:BE131" si="260">BD130</f>
        <v>5.2999999999999999E-2</v>
      </c>
      <c r="BF130" s="217">
        <f t="shared" ref="BF130:BF131" si="261">BE130</f>
        <v>5.2999999999999999E-2</v>
      </c>
      <c r="BG130" s="217">
        <f t="shared" ref="BG130:BG131" si="262">BF130</f>
        <v>5.2999999999999999E-2</v>
      </c>
      <c r="BH130" s="217">
        <f t="shared" ref="BH130:BH131" si="263">BG130</f>
        <v>5.2999999999999999E-2</v>
      </c>
      <c r="BI130" s="220">
        <f>AVERAGE(BE130:BH130)</f>
        <v>5.2999999999999999E-2</v>
      </c>
      <c r="BJ130" s="21"/>
      <c r="BK130" s="21"/>
      <c r="BL130" s="21"/>
    </row>
    <row r="131" spans="1:64" s="25" customFormat="1">
      <c r="A131" s="3" t="s">
        <v>304</v>
      </c>
      <c r="B131" s="217"/>
      <c r="C131" s="217"/>
      <c r="D131" s="217"/>
      <c r="E131" s="31"/>
      <c r="F131" s="220"/>
      <c r="G131" s="217"/>
      <c r="H131" s="217"/>
      <c r="I131" s="217"/>
      <c r="J131" s="31"/>
      <c r="K131" s="218"/>
      <c r="L131" s="217"/>
      <c r="M131" s="217"/>
      <c r="N131" s="217"/>
      <c r="O131" s="31"/>
      <c r="P131" s="218"/>
      <c r="Q131" s="217"/>
      <c r="R131" s="217"/>
      <c r="S131" s="217"/>
      <c r="T131" s="217"/>
      <c r="U131" s="220"/>
      <c r="V131" s="217"/>
      <c r="W131" s="217"/>
      <c r="X131" s="217"/>
      <c r="Y131" s="217"/>
      <c r="Z131" s="220"/>
      <c r="AA131" s="217"/>
      <c r="AB131" s="217">
        <v>-4.4799999999999996E-3</v>
      </c>
      <c r="AC131" s="217">
        <f>AB131</f>
        <v>-4.4799999999999996E-3</v>
      </c>
      <c r="AD131" s="217">
        <f>AC131</f>
        <v>-4.4799999999999996E-3</v>
      </c>
      <c r="AE131" s="220">
        <f>AVERAGE(AA131:AD131)</f>
        <v>-4.4799999999999996E-3</v>
      </c>
      <c r="AF131" s="217">
        <f>AE131</f>
        <v>-4.4799999999999996E-3</v>
      </c>
      <c r="AG131" s="217">
        <f t="shared" si="246"/>
        <v>-4.4799999999999996E-3</v>
      </c>
      <c r="AH131" s="217">
        <f t="shared" si="246"/>
        <v>-4.4799999999999996E-3</v>
      </c>
      <c r="AI131" s="217">
        <f t="shared" si="246"/>
        <v>-4.4799999999999996E-3</v>
      </c>
      <c r="AJ131" s="220">
        <f>AVERAGE(AF131:AI131)</f>
        <v>-4.4799999999999996E-3</v>
      </c>
      <c r="AK131" s="217">
        <f t="shared" si="247"/>
        <v>-4.4799999999999996E-3</v>
      </c>
      <c r="AL131" s="217">
        <f t="shared" si="248"/>
        <v>-4.4799999999999996E-3</v>
      </c>
      <c r="AM131" s="217">
        <f t="shared" si="249"/>
        <v>-4.4799999999999996E-3</v>
      </c>
      <c r="AN131" s="217">
        <f t="shared" si="250"/>
        <v>-4.4799999999999996E-3</v>
      </c>
      <c r="AO131" s="220">
        <f>AVERAGE(AK131:AN131)</f>
        <v>-4.4799999999999996E-3</v>
      </c>
      <c r="AP131" s="217">
        <f t="shared" si="251"/>
        <v>-4.4799999999999996E-3</v>
      </c>
      <c r="AQ131" s="217">
        <f t="shared" si="252"/>
        <v>-4.4799999999999996E-3</v>
      </c>
      <c r="AR131" s="217">
        <f t="shared" si="253"/>
        <v>-4.4799999999999996E-3</v>
      </c>
      <c r="AS131" s="217">
        <v>5.2999999999999999E-2</v>
      </c>
      <c r="AT131" s="220">
        <f>AVERAGE(AP131:AS131)</f>
        <v>9.8899999999999995E-3</v>
      </c>
      <c r="AU131" s="217">
        <v>5.2999999999999999E-2</v>
      </c>
      <c r="AV131" s="217">
        <f t="shared" si="254"/>
        <v>5.2999999999999999E-2</v>
      </c>
      <c r="AW131" s="217">
        <f t="shared" si="255"/>
        <v>5.2999999999999999E-2</v>
      </c>
      <c r="AX131" s="217">
        <f t="shared" si="154"/>
        <v>5.2999999999999999E-2</v>
      </c>
      <c r="AY131" s="220">
        <f>AVERAGE(AU131:AX131)</f>
        <v>5.2999999999999999E-2</v>
      </c>
      <c r="AZ131" s="217">
        <f t="shared" si="256"/>
        <v>5.2999999999999999E-2</v>
      </c>
      <c r="BA131" s="217">
        <f t="shared" si="257"/>
        <v>5.2999999999999999E-2</v>
      </c>
      <c r="BB131" s="217">
        <f t="shared" si="258"/>
        <v>5.2999999999999999E-2</v>
      </c>
      <c r="BC131" s="217">
        <f t="shared" si="259"/>
        <v>5.2999999999999999E-2</v>
      </c>
      <c r="BD131" s="220">
        <f>AVERAGE(AZ131:BC131)</f>
        <v>5.2999999999999999E-2</v>
      </c>
      <c r="BE131" s="217">
        <f t="shared" si="260"/>
        <v>5.2999999999999999E-2</v>
      </c>
      <c r="BF131" s="217">
        <f t="shared" si="261"/>
        <v>5.2999999999999999E-2</v>
      </c>
      <c r="BG131" s="217">
        <f t="shared" si="262"/>
        <v>5.2999999999999999E-2</v>
      </c>
      <c r="BH131" s="217">
        <f t="shared" si="263"/>
        <v>5.2999999999999999E-2</v>
      </c>
      <c r="BI131" s="220">
        <f>AVERAGE(BE131:BH131)</f>
        <v>5.2999999999999999E-2</v>
      </c>
      <c r="BJ131" s="21"/>
      <c r="BK131" s="21"/>
      <c r="BL131" s="21"/>
    </row>
    <row r="132" spans="1:64" s="25" customFormat="1">
      <c r="A132" s="3"/>
      <c r="B132" s="41"/>
      <c r="C132" s="41"/>
      <c r="D132" s="41"/>
      <c r="E132" s="42"/>
      <c r="F132" s="43"/>
      <c r="G132" s="41"/>
      <c r="H132" s="41"/>
      <c r="I132" s="41"/>
      <c r="J132" s="42"/>
      <c r="K132" s="43"/>
      <c r="L132" s="41"/>
      <c r="M132" s="41"/>
      <c r="N132" s="41"/>
      <c r="O132" s="42"/>
      <c r="P132" s="43"/>
      <c r="Q132" s="41"/>
      <c r="R132" s="41"/>
      <c r="S132" s="41"/>
      <c r="T132" s="42"/>
      <c r="U132" s="43"/>
      <c r="V132" s="41"/>
      <c r="W132" s="41"/>
      <c r="X132" s="41"/>
      <c r="Y132" s="42"/>
      <c r="Z132" s="218"/>
      <c r="AA132" s="41"/>
      <c r="AB132" s="41"/>
      <c r="AC132" s="41"/>
      <c r="AD132" s="42"/>
      <c r="AE132" s="26"/>
      <c r="AF132" s="41"/>
      <c r="AG132" s="41"/>
      <c r="AH132" s="41"/>
      <c r="AI132" s="42"/>
      <c r="AJ132" s="26"/>
      <c r="AO132" s="26"/>
      <c r="AT132" s="26"/>
      <c r="AY132" s="26"/>
      <c r="BD132" s="26"/>
      <c r="BI132" s="26"/>
      <c r="BJ132" s="21"/>
      <c r="BK132" s="21"/>
      <c r="BL132" s="21"/>
    </row>
    <row r="133" spans="1:64" s="25" customFormat="1">
      <c r="A133" s="8" t="s">
        <v>49</v>
      </c>
      <c r="B133" s="124"/>
      <c r="C133" s="124"/>
      <c r="D133" s="124"/>
      <c r="E133" s="124"/>
      <c r="F133" s="125"/>
      <c r="G133" s="124"/>
      <c r="H133" s="124"/>
      <c r="I133" s="124"/>
      <c r="J133" s="124"/>
      <c r="K133" s="125"/>
      <c r="L133" s="124"/>
      <c r="M133" s="124"/>
      <c r="N133" s="124"/>
      <c r="O133" s="124"/>
      <c r="P133" s="125"/>
      <c r="Q133" s="124"/>
      <c r="R133" s="124"/>
      <c r="S133" s="124"/>
      <c r="T133" s="124"/>
      <c r="U133" s="125"/>
      <c r="V133" s="124"/>
      <c r="W133" s="124"/>
      <c r="X133" s="124"/>
      <c r="Y133" s="124"/>
      <c r="Z133" s="125"/>
      <c r="AA133" s="124"/>
      <c r="AB133" s="124"/>
      <c r="AC133" s="124"/>
      <c r="AD133" s="124"/>
      <c r="AE133" s="125"/>
      <c r="AF133" s="124"/>
      <c r="AG133" s="124"/>
      <c r="AH133" s="124"/>
      <c r="AI133" s="124"/>
      <c r="AJ133" s="125"/>
      <c r="AK133" s="124"/>
      <c r="AL133" s="124"/>
      <c r="AM133" s="124"/>
      <c r="AN133" s="124"/>
      <c r="AO133" s="125"/>
      <c r="AP133" s="124"/>
      <c r="AQ133" s="124"/>
      <c r="AR133" s="124"/>
      <c r="AS133" s="124"/>
      <c r="AT133" s="125"/>
      <c r="AU133" s="124"/>
      <c r="AV133" s="124"/>
      <c r="AW133" s="124"/>
      <c r="AX133" s="124"/>
      <c r="AY133" s="125"/>
      <c r="AZ133" s="124"/>
      <c r="BA133" s="124"/>
      <c r="BB133" s="124"/>
      <c r="BC133" s="124"/>
      <c r="BD133" s="125"/>
      <c r="BE133" s="124"/>
      <c r="BF133" s="124"/>
      <c r="BG133" s="124"/>
      <c r="BH133" s="124"/>
      <c r="BI133" s="125"/>
      <c r="BJ133" s="21"/>
      <c r="BK133" s="21"/>
      <c r="BL133" s="21"/>
    </row>
    <row r="134" spans="1:64" s="25" customFormat="1">
      <c r="A134" s="3" t="str">
        <f t="shared" ref="A134:A142" si="264">A72</f>
        <v>3.125% Notes due 2020</v>
      </c>
      <c r="B134" s="41"/>
      <c r="C134" s="41"/>
      <c r="D134" s="41"/>
      <c r="E134" s="42"/>
      <c r="F134" s="75"/>
      <c r="G134" s="41"/>
      <c r="H134" s="41"/>
      <c r="I134" s="41"/>
      <c r="J134" s="42"/>
      <c r="K134" s="43"/>
      <c r="L134" s="41"/>
      <c r="M134" s="41"/>
      <c r="N134" s="41"/>
      <c r="O134" s="42"/>
      <c r="P134" s="75"/>
      <c r="Q134" s="42"/>
      <c r="R134" s="42"/>
      <c r="S134" s="42"/>
      <c r="T134" s="42"/>
      <c r="U134" s="75"/>
      <c r="V134" s="42"/>
      <c r="W134" s="42"/>
      <c r="X134" s="42"/>
      <c r="Y134" s="42"/>
      <c r="Z134" s="75"/>
      <c r="AA134" s="42"/>
      <c r="AB134" s="42">
        <f t="shared" ref="AB134:AC142" si="265">+AB4*AB72/4</f>
        <v>7.8125</v>
      </c>
      <c r="AC134" s="42">
        <f t="shared" si="265"/>
        <v>7.8125</v>
      </c>
      <c r="AD134" s="42">
        <f t="shared" ref="AD134:AD142" si="266">+AVERAGE(AD4,AC4)*AD72/4</f>
        <v>3.90625</v>
      </c>
      <c r="AE134" s="75">
        <f t="shared" ref="AE134:AE190" si="267">SUM(AA134:AD134)</f>
        <v>19.53125</v>
      </c>
      <c r="AF134" s="42">
        <f t="shared" ref="AF134:AI142" si="268">+AVERAGE(AF4,AE4)*AF72/4</f>
        <v>0</v>
      </c>
      <c r="AG134" s="42">
        <f t="shared" si="268"/>
        <v>0</v>
      </c>
      <c r="AH134" s="42">
        <f t="shared" si="268"/>
        <v>0</v>
      </c>
      <c r="AI134" s="42">
        <f t="shared" si="268"/>
        <v>0</v>
      </c>
      <c r="AJ134" s="75">
        <f t="shared" ref="AJ134:AJ172" si="269">SUM(AF134:AI134)</f>
        <v>0</v>
      </c>
      <c r="AK134" s="42">
        <f t="shared" ref="AK134:AN142" si="270">+AVERAGE(AK4,AJ4)*AK72/4</f>
        <v>0</v>
      </c>
      <c r="AL134" s="42">
        <f t="shared" si="270"/>
        <v>0</v>
      </c>
      <c r="AM134" s="42">
        <f t="shared" si="270"/>
        <v>0</v>
      </c>
      <c r="AN134" s="42">
        <f t="shared" si="270"/>
        <v>0</v>
      </c>
      <c r="AO134" s="75">
        <f t="shared" ref="AO134:AO172" si="271">SUM(AK134:AN134)</f>
        <v>0</v>
      </c>
      <c r="AP134" s="42">
        <f t="shared" ref="AP134:AS142" si="272">+AVERAGE(AP4,AO4)*AP72/4</f>
        <v>0</v>
      </c>
      <c r="AQ134" s="42">
        <f t="shared" si="272"/>
        <v>0</v>
      </c>
      <c r="AR134" s="42">
        <f t="shared" si="272"/>
        <v>0</v>
      </c>
      <c r="AS134" s="42">
        <f t="shared" si="272"/>
        <v>0</v>
      </c>
      <c r="AT134" s="75">
        <f t="shared" ref="AT134:AT159" si="273">SUM(AP134:AS134)</f>
        <v>0</v>
      </c>
      <c r="AU134" s="42">
        <f t="shared" ref="AU134:AX146" si="274">+AVERAGE(AU4,AT4)*AU72/4</f>
        <v>0</v>
      </c>
      <c r="AV134" s="42">
        <f t="shared" si="274"/>
        <v>0</v>
      </c>
      <c r="AW134" s="42">
        <f t="shared" si="274"/>
        <v>0</v>
      </c>
      <c r="AX134" s="42">
        <f t="shared" si="274"/>
        <v>0</v>
      </c>
      <c r="AY134" s="75">
        <f t="shared" ref="AY134:AY145" si="275">SUM(AU134:AX134)</f>
        <v>0</v>
      </c>
      <c r="AZ134" s="42">
        <f t="shared" ref="AZ134:AZ190" si="276">+AVERAGE(AZ4,AY4)*AZ72/4</f>
        <v>0</v>
      </c>
      <c r="BA134" s="42">
        <f t="shared" ref="BA134:BA190" si="277">+AVERAGE(BA4,AZ4)*BA72/4</f>
        <v>0</v>
      </c>
      <c r="BB134" s="42">
        <f t="shared" ref="BB134:BB190" si="278">+AVERAGE(BB4,BA4)*BB72/4</f>
        <v>0</v>
      </c>
      <c r="BC134" s="42">
        <f t="shared" ref="BC134:BC190" si="279">+AVERAGE(BC4,BB4)*BC72/4</f>
        <v>0</v>
      </c>
      <c r="BD134" s="75">
        <f t="shared" ref="BD134:BD142" si="280">SUM(AZ134:BC134)</f>
        <v>0</v>
      </c>
      <c r="BE134" s="42">
        <f t="shared" ref="BE134:BE190" si="281">+AVERAGE(BE4,BD4)*BE72/4</f>
        <v>0</v>
      </c>
      <c r="BF134" s="42">
        <f t="shared" ref="BF134:BF190" si="282">+AVERAGE(BF4,BE4)*BF72/4</f>
        <v>0</v>
      </c>
      <c r="BG134" s="42">
        <f t="shared" ref="BG134:BG190" si="283">+AVERAGE(BG4,BF4)*BG72/4</f>
        <v>0</v>
      </c>
      <c r="BH134" s="42">
        <f t="shared" ref="BH134:BH190" si="284">+AVERAGE(BH4,BG4)*BH72/4</f>
        <v>0</v>
      </c>
      <c r="BI134" s="75">
        <f t="shared" ref="BI134:BI142" si="285">SUM(BE134:BH134)</f>
        <v>0</v>
      </c>
      <c r="BJ134" s="21"/>
      <c r="BK134" s="21"/>
      <c r="BL134" s="21"/>
    </row>
    <row r="135" spans="1:64" s="25" customFormat="1">
      <c r="A135" s="3" t="str">
        <f t="shared" si="264"/>
        <v>8.750% Notes due 2021</v>
      </c>
      <c r="B135" s="41"/>
      <c r="C135" s="41"/>
      <c r="D135" s="41"/>
      <c r="E135" s="42"/>
      <c r="F135" s="75"/>
      <c r="G135" s="41"/>
      <c r="H135" s="41"/>
      <c r="I135" s="41"/>
      <c r="J135" s="42"/>
      <c r="K135" s="43"/>
      <c r="L135" s="41"/>
      <c r="M135" s="41"/>
      <c r="N135" s="41"/>
      <c r="O135" s="42"/>
      <c r="P135" s="75"/>
      <c r="Q135" s="42"/>
      <c r="R135" s="42"/>
      <c r="S135" s="42"/>
      <c r="T135" s="42"/>
      <c r="U135" s="75"/>
      <c r="V135" s="42"/>
      <c r="W135" s="42"/>
      <c r="X135" s="42"/>
      <c r="Y135" s="42"/>
      <c r="Z135" s="75"/>
      <c r="AA135" s="42"/>
      <c r="AB135" s="42">
        <f t="shared" si="265"/>
        <v>5.46875</v>
      </c>
      <c r="AC135" s="42">
        <f t="shared" si="265"/>
        <v>5.46875</v>
      </c>
      <c r="AD135" s="42">
        <f t="shared" si="266"/>
        <v>5.46875</v>
      </c>
      <c r="AE135" s="75">
        <f t="shared" si="267"/>
        <v>16.40625</v>
      </c>
      <c r="AF135" s="42">
        <f t="shared" si="268"/>
        <v>2.734375</v>
      </c>
      <c r="AG135" s="42">
        <f t="shared" si="268"/>
        <v>0</v>
      </c>
      <c r="AH135" s="42">
        <f t="shared" si="268"/>
        <v>0</v>
      </c>
      <c r="AI135" s="42">
        <f t="shared" si="268"/>
        <v>0</v>
      </c>
      <c r="AJ135" s="75">
        <f t="shared" si="269"/>
        <v>2.734375</v>
      </c>
      <c r="AK135" s="42">
        <f t="shared" si="270"/>
        <v>0</v>
      </c>
      <c r="AL135" s="42">
        <f t="shared" si="270"/>
        <v>0</v>
      </c>
      <c r="AM135" s="42">
        <f t="shared" si="270"/>
        <v>0</v>
      </c>
      <c r="AN135" s="42">
        <f t="shared" si="270"/>
        <v>0</v>
      </c>
      <c r="AO135" s="75">
        <f t="shared" si="271"/>
        <v>0</v>
      </c>
      <c r="AP135" s="42">
        <f t="shared" si="272"/>
        <v>0</v>
      </c>
      <c r="AQ135" s="42">
        <f t="shared" si="272"/>
        <v>0</v>
      </c>
      <c r="AR135" s="42">
        <f t="shared" si="272"/>
        <v>0</v>
      </c>
      <c r="AS135" s="42">
        <f t="shared" si="272"/>
        <v>0</v>
      </c>
      <c r="AT135" s="75">
        <f t="shared" si="273"/>
        <v>0</v>
      </c>
      <c r="AU135" s="42">
        <f t="shared" si="274"/>
        <v>0</v>
      </c>
      <c r="AV135" s="42">
        <f t="shared" si="274"/>
        <v>0</v>
      </c>
      <c r="AW135" s="42">
        <f t="shared" si="274"/>
        <v>0</v>
      </c>
      <c r="AX135" s="42">
        <f t="shared" si="274"/>
        <v>0</v>
      </c>
      <c r="AY135" s="75">
        <f t="shared" si="275"/>
        <v>0</v>
      </c>
      <c r="AZ135" s="42">
        <f t="shared" si="276"/>
        <v>0</v>
      </c>
      <c r="BA135" s="42">
        <f t="shared" si="277"/>
        <v>0</v>
      </c>
      <c r="BB135" s="42">
        <f t="shared" si="278"/>
        <v>0</v>
      </c>
      <c r="BC135" s="42">
        <f t="shared" si="279"/>
        <v>0</v>
      </c>
      <c r="BD135" s="75">
        <f t="shared" si="280"/>
        <v>0</v>
      </c>
      <c r="BE135" s="42">
        <f t="shared" si="281"/>
        <v>0</v>
      </c>
      <c r="BF135" s="42">
        <f t="shared" si="282"/>
        <v>0</v>
      </c>
      <c r="BG135" s="42">
        <f t="shared" si="283"/>
        <v>0</v>
      </c>
      <c r="BH135" s="42">
        <f t="shared" si="284"/>
        <v>0</v>
      </c>
      <c r="BI135" s="75">
        <f t="shared" si="285"/>
        <v>0</v>
      </c>
      <c r="BJ135" s="21"/>
      <c r="BK135" s="21"/>
      <c r="BL135" s="21"/>
    </row>
    <row r="136" spans="1:64" s="25" customFormat="1">
      <c r="A136" s="3" t="str">
        <f t="shared" si="264"/>
        <v>3.100% Notes due 2021</v>
      </c>
      <c r="B136" s="41"/>
      <c r="C136" s="41"/>
      <c r="D136" s="41"/>
      <c r="E136" s="42"/>
      <c r="F136" s="75"/>
      <c r="G136" s="41"/>
      <c r="H136" s="41"/>
      <c r="I136" s="41"/>
      <c r="J136" s="42"/>
      <c r="K136" s="43"/>
      <c r="L136" s="41"/>
      <c r="M136" s="41"/>
      <c r="N136" s="41"/>
      <c r="O136" s="42"/>
      <c r="P136" s="75"/>
      <c r="Q136" s="42"/>
      <c r="R136" s="42"/>
      <c r="S136" s="42"/>
      <c r="T136" s="42"/>
      <c r="U136" s="75"/>
      <c r="V136" s="42"/>
      <c r="W136" s="42"/>
      <c r="X136" s="42"/>
      <c r="Y136" s="42"/>
      <c r="Z136" s="75"/>
      <c r="AA136" s="42"/>
      <c r="AB136" s="42">
        <f t="shared" si="265"/>
        <v>1.9375</v>
      </c>
      <c r="AC136" s="42">
        <f t="shared" si="265"/>
        <v>1.9375</v>
      </c>
      <c r="AD136" s="42">
        <f t="shared" si="266"/>
        <v>1.9375</v>
      </c>
      <c r="AE136" s="75">
        <f t="shared" si="267"/>
        <v>5.8125</v>
      </c>
      <c r="AF136" s="42">
        <f t="shared" si="268"/>
        <v>1.9375</v>
      </c>
      <c r="AG136" s="42">
        <f t="shared" si="268"/>
        <v>1.9375</v>
      </c>
      <c r="AH136" s="42">
        <f t="shared" si="268"/>
        <v>1.9375</v>
      </c>
      <c r="AI136" s="42">
        <f t="shared" si="268"/>
        <v>0.96875</v>
      </c>
      <c r="AJ136" s="75">
        <f t="shared" si="269"/>
        <v>6.78125</v>
      </c>
      <c r="AK136" s="42">
        <f t="shared" si="270"/>
        <v>0</v>
      </c>
      <c r="AL136" s="42">
        <f t="shared" si="270"/>
        <v>0</v>
      </c>
      <c r="AM136" s="42">
        <f t="shared" si="270"/>
        <v>0</v>
      </c>
      <c r="AN136" s="42">
        <f t="shared" si="270"/>
        <v>0</v>
      </c>
      <c r="AO136" s="75">
        <f t="shared" si="271"/>
        <v>0</v>
      </c>
      <c r="AP136" s="42">
        <f t="shared" si="272"/>
        <v>0</v>
      </c>
      <c r="AQ136" s="42">
        <f t="shared" si="272"/>
        <v>0</v>
      </c>
      <c r="AR136" s="42">
        <f t="shared" si="272"/>
        <v>0</v>
      </c>
      <c r="AS136" s="42">
        <f t="shared" si="272"/>
        <v>0</v>
      </c>
      <c r="AT136" s="75">
        <f t="shared" si="273"/>
        <v>0</v>
      </c>
      <c r="AU136" s="42">
        <f t="shared" si="274"/>
        <v>0</v>
      </c>
      <c r="AV136" s="42">
        <f t="shared" si="274"/>
        <v>0</v>
      </c>
      <c r="AW136" s="42">
        <f t="shared" si="274"/>
        <v>0</v>
      </c>
      <c r="AX136" s="42">
        <f t="shared" si="274"/>
        <v>0</v>
      </c>
      <c r="AY136" s="75">
        <f t="shared" si="275"/>
        <v>0</v>
      </c>
      <c r="AZ136" s="42">
        <f t="shared" si="276"/>
        <v>0</v>
      </c>
      <c r="BA136" s="42">
        <f t="shared" si="277"/>
        <v>0</v>
      </c>
      <c r="BB136" s="42">
        <f t="shared" si="278"/>
        <v>0</v>
      </c>
      <c r="BC136" s="42">
        <f t="shared" si="279"/>
        <v>0</v>
      </c>
      <c r="BD136" s="75">
        <f t="shared" si="280"/>
        <v>0</v>
      </c>
      <c r="BE136" s="42">
        <f t="shared" si="281"/>
        <v>0</v>
      </c>
      <c r="BF136" s="42">
        <f t="shared" si="282"/>
        <v>0</v>
      </c>
      <c r="BG136" s="42">
        <f t="shared" si="283"/>
        <v>0</v>
      </c>
      <c r="BH136" s="42">
        <f t="shared" si="284"/>
        <v>0</v>
      </c>
      <c r="BI136" s="75">
        <f t="shared" si="285"/>
        <v>0</v>
      </c>
      <c r="BJ136" s="21"/>
      <c r="BK136" s="21"/>
      <c r="BL136" s="21"/>
    </row>
    <row r="137" spans="1:64" s="25" customFormat="1">
      <c r="A137" s="3" t="str">
        <f t="shared" si="264"/>
        <v>2.800% Notes due 2022</v>
      </c>
      <c r="B137" s="41"/>
      <c r="C137" s="41"/>
      <c r="D137" s="41"/>
      <c r="E137" s="42"/>
      <c r="F137" s="75"/>
      <c r="G137" s="41"/>
      <c r="H137" s="41"/>
      <c r="I137" s="41"/>
      <c r="J137" s="42"/>
      <c r="K137" s="43"/>
      <c r="L137" s="41"/>
      <c r="M137" s="41"/>
      <c r="N137" s="41"/>
      <c r="O137" s="42"/>
      <c r="P137" s="75"/>
      <c r="Q137" s="42"/>
      <c r="R137" s="42"/>
      <c r="S137" s="42"/>
      <c r="T137" s="42"/>
      <c r="U137" s="75"/>
      <c r="V137" s="42"/>
      <c r="W137" s="42"/>
      <c r="X137" s="42"/>
      <c r="Y137" s="42"/>
      <c r="Z137" s="75"/>
      <c r="AA137" s="42"/>
      <c r="AB137" s="42">
        <f t="shared" si="265"/>
        <v>7.7</v>
      </c>
      <c r="AC137" s="42">
        <f t="shared" si="265"/>
        <v>7.7</v>
      </c>
      <c r="AD137" s="42">
        <f t="shared" si="266"/>
        <v>7.7</v>
      </c>
      <c r="AE137" s="75">
        <f t="shared" si="267"/>
        <v>23.1</v>
      </c>
      <c r="AF137" s="42">
        <f t="shared" si="268"/>
        <v>7.7</v>
      </c>
      <c r="AG137" s="42">
        <f t="shared" si="268"/>
        <v>7.7</v>
      </c>
      <c r="AH137" s="42">
        <f t="shared" si="268"/>
        <v>3.85</v>
      </c>
      <c r="AI137" s="42">
        <f t="shared" si="268"/>
        <v>0</v>
      </c>
      <c r="AJ137" s="75">
        <f t="shared" si="269"/>
        <v>19.25</v>
      </c>
      <c r="AK137" s="42">
        <f t="shared" si="270"/>
        <v>0</v>
      </c>
      <c r="AL137" s="42">
        <f t="shared" si="270"/>
        <v>0</v>
      </c>
      <c r="AM137" s="42">
        <f t="shared" si="270"/>
        <v>0</v>
      </c>
      <c r="AN137" s="42">
        <f t="shared" si="270"/>
        <v>0</v>
      </c>
      <c r="AO137" s="75">
        <f t="shared" si="271"/>
        <v>0</v>
      </c>
      <c r="AP137" s="42">
        <f t="shared" si="272"/>
        <v>0</v>
      </c>
      <c r="AQ137" s="42">
        <f t="shared" si="272"/>
        <v>0</v>
      </c>
      <c r="AR137" s="42">
        <f t="shared" si="272"/>
        <v>0</v>
      </c>
      <c r="AS137" s="42">
        <f t="shared" si="272"/>
        <v>0</v>
      </c>
      <c r="AT137" s="75">
        <f t="shared" si="273"/>
        <v>0</v>
      </c>
      <c r="AU137" s="42">
        <f t="shared" si="274"/>
        <v>0</v>
      </c>
      <c r="AV137" s="42">
        <f t="shared" si="274"/>
        <v>0</v>
      </c>
      <c r="AW137" s="42">
        <f t="shared" si="274"/>
        <v>0</v>
      </c>
      <c r="AX137" s="42">
        <f t="shared" si="274"/>
        <v>0</v>
      </c>
      <c r="AY137" s="75">
        <f t="shared" si="275"/>
        <v>0</v>
      </c>
      <c r="AZ137" s="42">
        <f t="shared" si="276"/>
        <v>0</v>
      </c>
      <c r="BA137" s="42">
        <f t="shared" si="277"/>
        <v>0</v>
      </c>
      <c r="BB137" s="42">
        <f t="shared" si="278"/>
        <v>0</v>
      </c>
      <c r="BC137" s="42">
        <f t="shared" si="279"/>
        <v>0</v>
      </c>
      <c r="BD137" s="75">
        <f t="shared" si="280"/>
        <v>0</v>
      </c>
      <c r="BE137" s="42">
        <f t="shared" si="281"/>
        <v>0</v>
      </c>
      <c r="BF137" s="42">
        <f t="shared" si="282"/>
        <v>0</v>
      </c>
      <c r="BG137" s="42">
        <f t="shared" si="283"/>
        <v>0</v>
      </c>
      <c r="BH137" s="42">
        <f t="shared" si="284"/>
        <v>0</v>
      </c>
      <c r="BI137" s="75">
        <f t="shared" si="285"/>
        <v>0</v>
      </c>
      <c r="BJ137" s="21"/>
      <c r="BK137" s="21"/>
      <c r="BL137" s="21"/>
    </row>
    <row r="138" spans="1:64" s="25" customFormat="1">
      <c r="A138" s="3" t="str">
        <f t="shared" si="264"/>
        <v>2.500% Notes due 2022</v>
      </c>
      <c r="B138" s="41"/>
      <c r="C138" s="41"/>
      <c r="D138" s="41"/>
      <c r="E138" s="42"/>
      <c r="F138" s="75"/>
      <c r="G138" s="41"/>
      <c r="H138" s="41"/>
      <c r="I138" s="41"/>
      <c r="J138" s="42"/>
      <c r="K138" s="43"/>
      <c r="L138" s="41"/>
      <c r="M138" s="41"/>
      <c r="N138" s="41"/>
      <c r="O138" s="42"/>
      <c r="P138" s="75"/>
      <c r="Q138" s="42"/>
      <c r="R138" s="42"/>
      <c r="S138" s="42"/>
      <c r="T138" s="42"/>
      <c r="U138" s="75"/>
      <c r="V138" s="42"/>
      <c r="W138" s="42"/>
      <c r="X138" s="42"/>
      <c r="Y138" s="42"/>
      <c r="Z138" s="75"/>
      <c r="AA138" s="42"/>
      <c r="AB138" s="42">
        <f t="shared" si="265"/>
        <v>6.875</v>
      </c>
      <c r="AC138" s="42">
        <f t="shared" si="265"/>
        <v>6.875</v>
      </c>
      <c r="AD138" s="42">
        <f t="shared" si="266"/>
        <v>6.875</v>
      </c>
      <c r="AE138" s="75">
        <f t="shared" si="267"/>
        <v>20.625</v>
      </c>
      <c r="AF138" s="42">
        <f t="shared" si="268"/>
        <v>6.875</v>
      </c>
      <c r="AG138" s="42">
        <f t="shared" si="268"/>
        <v>6.875</v>
      </c>
      <c r="AH138" s="42">
        <f t="shared" si="268"/>
        <v>3.4375</v>
      </c>
      <c r="AI138" s="42">
        <f t="shared" si="268"/>
        <v>0</v>
      </c>
      <c r="AJ138" s="75">
        <f t="shared" si="269"/>
        <v>17.1875</v>
      </c>
      <c r="AK138" s="42">
        <f t="shared" si="270"/>
        <v>0</v>
      </c>
      <c r="AL138" s="42">
        <f t="shared" si="270"/>
        <v>0</v>
      </c>
      <c r="AM138" s="42">
        <f t="shared" si="270"/>
        <v>0</v>
      </c>
      <c r="AN138" s="42">
        <f t="shared" si="270"/>
        <v>0</v>
      </c>
      <c r="AO138" s="75">
        <f t="shared" si="271"/>
        <v>0</v>
      </c>
      <c r="AP138" s="42">
        <f t="shared" si="272"/>
        <v>0</v>
      </c>
      <c r="AQ138" s="42">
        <f t="shared" si="272"/>
        <v>0</v>
      </c>
      <c r="AR138" s="42">
        <f t="shared" si="272"/>
        <v>0</v>
      </c>
      <c r="AS138" s="42">
        <f t="shared" si="272"/>
        <v>0</v>
      </c>
      <c r="AT138" s="75">
        <f t="shared" si="273"/>
        <v>0</v>
      </c>
      <c r="AU138" s="42">
        <f t="shared" si="274"/>
        <v>0</v>
      </c>
      <c r="AV138" s="42">
        <f t="shared" si="274"/>
        <v>0</v>
      </c>
      <c r="AW138" s="42">
        <f t="shared" si="274"/>
        <v>0</v>
      </c>
      <c r="AX138" s="42">
        <f t="shared" si="274"/>
        <v>0</v>
      </c>
      <c r="AY138" s="75">
        <f t="shared" si="275"/>
        <v>0</v>
      </c>
      <c r="AZ138" s="42">
        <f t="shared" si="276"/>
        <v>0</v>
      </c>
      <c r="BA138" s="42">
        <f t="shared" si="277"/>
        <v>0</v>
      </c>
      <c r="BB138" s="42">
        <f t="shared" si="278"/>
        <v>0</v>
      </c>
      <c r="BC138" s="42">
        <f t="shared" si="279"/>
        <v>0</v>
      </c>
      <c r="BD138" s="75">
        <f t="shared" si="280"/>
        <v>0</v>
      </c>
      <c r="BE138" s="42">
        <f t="shared" si="281"/>
        <v>0</v>
      </c>
      <c r="BF138" s="42">
        <f t="shared" si="282"/>
        <v>0</v>
      </c>
      <c r="BG138" s="42">
        <f t="shared" si="283"/>
        <v>0</v>
      </c>
      <c r="BH138" s="42">
        <f t="shared" si="284"/>
        <v>0</v>
      </c>
      <c r="BI138" s="75">
        <f t="shared" si="285"/>
        <v>0</v>
      </c>
      <c r="BJ138" s="21"/>
      <c r="BK138" s="21"/>
      <c r="BL138" s="21"/>
    </row>
    <row r="139" spans="1:64" s="25" customFormat="1">
      <c r="A139" s="3" t="str">
        <f t="shared" si="264"/>
        <v xml:space="preserve">3.650% Notes due 2023 </v>
      </c>
      <c r="B139" s="41"/>
      <c r="C139" s="41"/>
      <c r="D139" s="41"/>
      <c r="E139" s="42"/>
      <c r="F139" s="75"/>
      <c r="G139" s="41"/>
      <c r="H139" s="41"/>
      <c r="I139" s="41"/>
      <c r="J139" s="42"/>
      <c r="K139" s="43"/>
      <c r="L139" s="41"/>
      <c r="M139" s="41"/>
      <c r="N139" s="41"/>
      <c r="O139" s="42"/>
      <c r="P139" s="75"/>
      <c r="Q139" s="42"/>
      <c r="R139" s="42"/>
      <c r="S139" s="42"/>
      <c r="T139" s="42"/>
      <c r="U139" s="75"/>
      <c r="V139" s="42"/>
      <c r="W139" s="42"/>
      <c r="X139" s="42"/>
      <c r="Y139" s="42"/>
      <c r="Z139" s="75"/>
      <c r="AA139" s="42"/>
      <c r="AB139" s="42">
        <f t="shared" si="265"/>
        <v>1.5603749999999998</v>
      </c>
      <c r="AC139" s="42">
        <f t="shared" si="265"/>
        <v>1.5603749999999998</v>
      </c>
      <c r="AD139" s="42">
        <f t="shared" si="266"/>
        <v>1.5603749999999998</v>
      </c>
      <c r="AE139" s="75">
        <f t="shared" si="267"/>
        <v>4.6811249999999998</v>
      </c>
      <c r="AF139" s="42">
        <f t="shared" si="268"/>
        <v>1.5603749999999998</v>
      </c>
      <c r="AG139" s="42">
        <f t="shared" si="268"/>
        <v>1.5603749999999998</v>
      </c>
      <c r="AH139" s="42">
        <f t="shared" si="268"/>
        <v>1.5603749999999998</v>
      </c>
      <c r="AI139" s="42">
        <f t="shared" si="268"/>
        <v>1.5603749999999998</v>
      </c>
      <c r="AJ139" s="75">
        <f t="shared" si="269"/>
        <v>6.2414999999999994</v>
      </c>
      <c r="AK139" s="42">
        <f t="shared" si="270"/>
        <v>1.5603749999999998</v>
      </c>
      <c r="AL139" s="42">
        <f t="shared" si="270"/>
        <v>1.5603749999999998</v>
      </c>
      <c r="AM139" s="42">
        <f t="shared" si="270"/>
        <v>1.5603749999999998</v>
      </c>
      <c r="AN139" s="42">
        <f t="shared" si="270"/>
        <v>1.5603749999999998</v>
      </c>
      <c r="AO139" s="75">
        <f t="shared" si="271"/>
        <v>6.2414999999999994</v>
      </c>
      <c r="AP139" s="42">
        <f t="shared" si="272"/>
        <v>1.5603749999999998</v>
      </c>
      <c r="AQ139" s="42">
        <f t="shared" si="272"/>
        <v>1.5603749999999998</v>
      </c>
      <c r="AR139" s="42">
        <f t="shared" si="272"/>
        <v>0.78018749999999992</v>
      </c>
      <c r="AS139" s="42">
        <f t="shared" si="272"/>
        <v>0</v>
      </c>
      <c r="AT139" s="75">
        <f t="shared" si="273"/>
        <v>3.9009374999999995</v>
      </c>
      <c r="AU139" s="42">
        <f t="shared" si="274"/>
        <v>0</v>
      </c>
      <c r="AV139" s="42">
        <f t="shared" si="274"/>
        <v>0</v>
      </c>
      <c r="AW139" s="42">
        <f t="shared" si="274"/>
        <v>0</v>
      </c>
      <c r="AX139" s="42">
        <f t="shared" si="274"/>
        <v>0</v>
      </c>
      <c r="AY139" s="75">
        <f t="shared" si="275"/>
        <v>0</v>
      </c>
      <c r="AZ139" s="42">
        <f t="shared" si="276"/>
        <v>0</v>
      </c>
      <c r="BA139" s="42">
        <f t="shared" si="277"/>
        <v>0</v>
      </c>
      <c r="BB139" s="42">
        <f t="shared" si="278"/>
        <v>0</v>
      </c>
      <c r="BC139" s="42">
        <f t="shared" si="279"/>
        <v>0</v>
      </c>
      <c r="BD139" s="75">
        <f t="shared" si="280"/>
        <v>0</v>
      </c>
      <c r="BE139" s="42">
        <f t="shared" si="281"/>
        <v>0</v>
      </c>
      <c r="BF139" s="42">
        <f t="shared" si="282"/>
        <v>0</v>
      </c>
      <c r="BG139" s="42">
        <f t="shared" si="283"/>
        <v>0</v>
      </c>
      <c r="BH139" s="42">
        <f t="shared" si="284"/>
        <v>0</v>
      </c>
      <c r="BI139" s="75">
        <f t="shared" si="285"/>
        <v>0</v>
      </c>
      <c r="BJ139" s="21"/>
      <c r="BK139" s="21"/>
      <c r="BL139" s="21"/>
    </row>
    <row r="140" spans="1:64" s="25" customFormat="1">
      <c r="A140" s="3" t="str">
        <f t="shared" si="264"/>
        <v xml:space="preserve">3.700% Notes due 2023 </v>
      </c>
      <c r="B140" s="41"/>
      <c r="C140" s="41"/>
      <c r="D140" s="41"/>
      <c r="E140" s="42"/>
      <c r="F140" s="75"/>
      <c r="G140" s="41"/>
      <c r="H140" s="41"/>
      <c r="I140" s="41"/>
      <c r="J140" s="42"/>
      <c r="K140" s="43"/>
      <c r="L140" s="41"/>
      <c r="M140" s="41"/>
      <c r="N140" s="41"/>
      <c r="O140" s="42"/>
      <c r="P140" s="75"/>
      <c r="Q140" s="42"/>
      <c r="R140" s="42"/>
      <c r="S140" s="42"/>
      <c r="T140" s="42"/>
      <c r="U140" s="75"/>
      <c r="V140" s="42"/>
      <c r="W140" s="42"/>
      <c r="X140" s="42"/>
      <c r="Y140" s="42"/>
      <c r="Z140" s="75"/>
      <c r="AA140" s="42"/>
      <c r="AB140" s="42">
        <f t="shared" si="265"/>
        <v>3.6999999999999997</v>
      </c>
      <c r="AC140" s="42">
        <f t="shared" si="265"/>
        <v>3.6999999999999997</v>
      </c>
      <c r="AD140" s="42">
        <f t="shared" si="266"/>
        <v>3.6999999999999997</v>
      </c>
      <c r="AE140" s="75">
        <f t="shared" si="267"/>
        <v>11.1</v>
      </c>
      <c r="AF140" s="42">
        <f t="shared" si="268"/>
        <v>3.6999999999999997</v>
      </c>
      <c r="AG140" s="42">
        <f t="shared" si="268"/>
        <v>3.6999999999999997</v>
      </c>
      <c r="AH140" s="42">
        <f t="shared" si="268"/>
        <v>3.6999999999999997</v>
      </c>
      <c r="AI140" s="42">
        <f t="shared" si="268"/>
        <v>3.6999999999999997</v>
      </c>
      <c r="AJ140" s="75">
        <f t="shared" si="269"/>
        <v>14.799999999999999</v>
      </c>
      <c r="AK140" s="42">
        <f t="shared" si="270"/>
        <v>3.6999999999999997</v>
      </c>
      <c r="AL140" s="42">
        <f t="shared" si="270"/>
        <v>3.6999999999999997</v>
      </c>
      <c r="AM140" s="42">
        <f t="shared" si="270"/>
        <v>3.6999999999999997</v>
      </c>
      <c r="AN140" s="42">
        <f t="shared" si="270"/>
        <v>3.6999999999999997</v>
      </c>
      <c r="AO140" s="75">
        <f t="shared" si="271"/>
        <v>14.799999999999999</v>
      </c>
      <c r="AP140" s="42">
        <f t="shared" si="272"/>
        <v>3.6999999999999997</v>
      </c>
      <c r="AQ140" s="42">
        <f t="shared" si="272"/>
        <v>3.6999999999999997</v>
      </c>
      <c r="AR140" s="42">
        <f t="shared" si="272"/>
        <v>3.6999999999999997</v>
      </c>
      <c r="AS140" s="42">
        <f t="shared" si="272"/>
        <v>1.8499999999999999</v>
      </c>
      <c r="AT140" s="75">
        <f t="shared" si="273"/>
        <v>12.95</v>
      </c>
      <c r="AU140" s="42">
        <f t="shared" si="274"/>
        <v>0</v>
      </c>
      <c r="AV140" s="42">
        <f t="shared" si="274"/>
        <v>0</v>
      </c>
      <c r="AW140" s="42">
        <f t="shared" si="274"/>
        <v>0</v>
      </c>
      <c r="AX140" s="42">
        <f t="shared" si="274"/>
        <v>0</v>
      </c>
      <c r="AY140" s="75">
        <f t="shared" si="275"/>
        <v>0</v>
      </c>
      <c r="AZ140" s="42">
        <f t="shared" si="276"/>
        <v>0</v>
      </c>
      <c r="BA140" s="42">
        <f t="shared" si="277"/>
        <v>0</v>
      </c>
      <c r="BB140" s="42">
        <f t="shared" si="278"/>
        <v>0</v>
      </c>
      <c r="BC140" s="42">
        <f t="shared" si="279"/>
        <v>0</v>
      </c>
      <c r="BD140" s="75">
        <f t="shared" si="280"/>
        <v>0</v>
      </c>
      <c r="BE140" s="42">
        <f t="shared" si="281"/>
        <v>0</v>
      </c>
      <c r="BF140" s="42">
        <f t="shared" si="282"/>
        <v>0</v>
      </c>
      <c r="BG140" s="42">
        <f t="shared" si="283"/>
        <v>0</v>
      </c>
      <c r="BH140" s="42">
        <f t="shared" si="284"/>
        <v>0</v>
      </c>
      <c r="BI140" s="75">
        <f t="shared" si="285"/>
        <v>0</v>
      </c>
      <c r="BJ140" s="21"/>
      <c r="BK140" s="21"/>
      <c r="BL140" s="21"/>
    </row>
    <row r="141" spans="1:64" s="25" customFormat="1">
      <c r="A141" s="3" t="str">
        <f t="shared" si="264"/>
        <v xml:space="preserve">3.200% Notes due 2024 </v>
      </c>
      <c r="B141" s="41"/>
      <c r="C141" s="41"/>
      <c r="D141" s="41"/>
      <c r="E141" s="42"/>
      <c r="F141" s="75"/>
      <c r="G141" s="41"/>
      <c r="H141" s="41"/>
      <c r="I141" s="41"/>
      <c r="J141" s="42"/>
      <c r="K141" s="43"/>
      <c r="L141" s="41"/>
      <c r="M141" s="41"/>
      <c r="N141" s="41"/>
      <c r="O141" s="42"/>
      <c r="P141" s="75"/>
      <c r="Q141" s="42"/>
      <c r="R141" s="42"/>
      <c r="S141" s="42"/>
      <c r="T141" s="42"/>
      <c r="U141" s="75"/>
      <c r="V141" s="42"/>
      <c r="W141" s="42"/>
      <c r="X141" s="42"/>
      <c r="Y141" s="42"/>
      <c r="Z141" s="75"/>
      <c r="AA141" s="42"/>
      <c r="AB141" s="42">
        <f t="shared" si="265"/>
        <v>7.6000000000000005</v>
      </c>
      <c r="AC141" s="42">
        <f t="shared" si="265"/>
        <v>7.6000000000000005</v>
      </c>
      <c r="AD141" s="42">
        <f t="shared" si="266"/>
        <v>7.6000000000000005</v>
      </c>
      <c r="AE141" s="75">
        <f t="shared" si="267"/>
        <v>22.8</v>
      </c>
      <c r="AF141" s="42">
        <f t="shared" si="268"/>
        <v>7.6000000000000005</v>
      </c>
      <c r="AG141" s="42">
        <f t="shared" si="268"/>
        <v>7.6000000000000005</v>
      </c>
      <c r="AH141" s="42">
        <f t="shared" si="268"/>
        <v>7.6000000000000005</v>
      </c>
      <c r="AI141" s="42">
        <f t="shared" si="268"/>
        <v>7.6000000000000005</v>
      </c>
      <c r="AJ141" s="75">
        <f t="shared" si="269"/>
        <v>30.400000000000002</v>
      </c>
      <c r="AK141" s="42">
        <f t="shared" si="270"/>
        <v>7.6000000000000005</v>
      </c>
      <c r="AL141" s="42">
        <f t="shared" si="270"/>
        <v>7.6000000000000005</v>
      </c>
      <c r="AM141" s="42">
        <f t="shared" si="270"/>
        <v>7.6000000000000005</v>
      </c>
      <c r="AN141" s="42">
        <f t="shared" si="270"/>
        <v>7.6000000000000005</v>
      </c>
      <c r="AO141" s="75">
        <f t="shared" si="271"/>
        <v>30.400000000000002</v>
      </c>
      <c r="AP141" s="42">
        <f t="shared" si="272"/>
        <v>7.6000000000000005</v>
      </c>
      <c r="AQ141" s="42">
        <f t="shared" si="272"/>
        <v>7.6000000000000005</v>
      </c>
      <c r="AR141" s="42">
        <f t="shared" si="272"/>
        <v>7.6000000000000005</v>
      </c>
      <c r="AS141" s="42">
        <f t="shared" si="272"/>
        <v>7.6000000000000005</v>
      </c>
      <c r="AT141" s="75">
        <f t="shared" si="273"/>
        <v>30.400000000000002</v>
      </c>
      <c r="AU141" s="42">
        <f t="shared" si="274"/>
        <v>3.8000000000000003</v>
      </c>
      <c r="AV141" s="42">
        <f t="shared" si="274"/>
        <v>0</v>
      </c>
      <c r="AW141" s="42">
        <f t="shared" si="274"/>
        <v>0</v>
      </c>
      <c r="AX141" s="42">
        <f t="shared" si="274"/>
        <v>0</v>
      </c>
      <c r="AY141" s="75">
        <f t="shared" si="275"/>
        <v>3.8000000000000003</v>
      </c>
      <c r="AZ141" s="42">
        <f t="shared" si="276"/>
        <v>0</v>
      </c>
      <c r="BA141" s="42">
        <f t="shared" si="277"/>
        <v>0</v>
      </c>
      <c r="BB141" s="42">
        <f t="shared" si="278"/>
        <v>0</v>
      </c>
      <c r="BC141" s="42">
        <f t="shared" si="279"/>
        <v>0</v>
      </c>
      <c r="BD141" s="75">
        <f t="shared" si="280"/>
        <v>0</v>
      </c>
      <c r="BE141" s="42">
        <f t="shared" si="281"/>
        <v>0</v>
      </c>
      <c r="BF141" s="42">
        <f t="shared" si="282"/>
        <v>0</v>
      </c>
      <c r="BG141" s="42">
        <f t="shared" si="283"/>
        <v>0</v>
      </c>
      <c r="BH141" s="42">
        <f t="shared" si="284"/>
        <v>0</v>
      </c>
      <c r="BI141" s="75">
        <f t="shared" si="285"/>
        <v>0</v>
      </c>
      <c r="BJ141" s="21"/>
      <c r="BK141" s="21"/>
      <c r="BL141" s="21"/>
    </row>
    <row r="142" spans="1:64" s="25" customFormat="1">
      <c r="A142" s="3" t="str">
        <f t="shared" si="264"/>
        <v>3.150% Notes due 2024</v>
      </c>
      <c r="B142" s="41"/>
      <c r="C142" s="41"/>
      <c r="D142" s="41"/>
      <c r="E142" s="42"/>
      <c r="F142" s="75"/>
      <c r="G142" s="41"/>
      <c r="H142" s="41"/>
      <c r="I142" s="41"/>
      <c r="J142" s="42"/>
      <c r="K142" s="43"/>
      <c r="L142" s="41"/>
      <c r="M142" s="41"/>
      <c r="N142" s="41"/>
      <c r="O142" s="42"/>
      <c r="P142" s="75"/>
      <c r="Q142" s="42"/>
      <c r="R142" s="42"/>
      <c r="S142" s="42"/>
      <c r="T142" s="42"/>
      <c r="U142" s="75"/>
      <c r="V142" s="42"/>
      <c r="W142" s="42"/>
      <c r="X142" s="42"/>
      <c r="Y142" s="42"/>
      <c r="Z142" s="75"/>
      <c r="AA142" s="42"/>
      <c r="AB142" s="42">
        <f t="shared" si="265"/>
        <v>2.3624999999999998</v>
      </c>
      <c r="AC142" s="42">
        <f t="shared" si="265"/>
        <v>2.3624999999999998</v>
      </c>
      <c r="AD142" s="42">
        <f t="shared" si="266"/>
        <v>2.3624999999999998</v>
      </c>
      <c r="AE142" s="75">
        <f t="shared" si="267"/>
        <v>7.0874999999999995</v>
      </c>
      <c r="AF142" s="42">
        <f t="shared" si="268"/>
        <v>2.3624999999999998</v>
      </c>
      <c r="AG142" s="42">
        <f t="shared" si="268"/>
        <v>2.3624999999999998</v>
      </c>
      <c r="AH142" s="42">
        <f t="shared" si="268"/>
        <v>2.3624999999999998</v>
      </c>
      <c r="AI142" s="42">
        <f t="shared" si="268"/>
        <v>2.3624999999999998</v>
      </c>
      <c r="AJ142" s="75">
        <f t="shared" si="269"/>
        <v>9.4499999999999993</v>
      </c>
      <c r="AK142" s="42">
        <f t="shared" si="270"/>
        <v>2.3624999999999998</v>
      </c>
      <c r="AL142" s="42">
        <f t="shared" si="270"/>
        <v>2.3624999999999998</v>
      </c>
      <c r="AM142" s="42">
        <f t="shared" si="270"/>
        <v>2.3624999999999998</v>
      </c>
      <c r="AN142" s="42">
        <f t="shared" si="270"/>
        <v>2.3624999999999998</v>
      </c>
      <c r="AO142" s="75">
        <f t="shared" si="271"/>
        <v>9.4499999999999993</v>
      </c>
      <c r="AP142" s="42">
        <f t="shared" si="272"/>
        <v>2.3624999999999998</v>
      </c>
      <c r="AQ142" s="42">
        <f t="shared" si="272"/>
        <v>2.3624999999999998</v>
      </c>
      <c r="AR142" s="42">
        <f t="shared" si="272"/>
        <v>2.3624999999999998</v>
      </c>
      <c r="AS142" s="42">
        <f t="shared" si="272"/>
        <v>2.3624999999999998</v>
      </c>
      <c r="AT142" s="75">
        <f t="shared" si="273"/>
        <v>9.4499999999999993</v>
      </c>
      <c r="AU142" s="42">
        <f t="shared" si="274"/>
        <v>2.3624999999999998</v>
      </c>
      <c r="AV142" s="42">
        <f t="shared" si="274"/>
        <v>2.3624999999999998</v>
      </c>
      <c r="AW142" s="42">
        <f t="shared" si="274"/>
        <v>2.3624999999999998</v>
      </c>
      <c r="AX142" s="42">
        <f t="shared" si="274"/>
        <v>1.1812499999999999</v>
      </c>
      <c r="AY142" s="75">
        <f t="shared" si="275"/>
        <v>8.2687499999999989</v>
      </c>
      <c r="AZ142" s="42">
        <f t="shared" si="276"/>
        <v>0</v>
      </c>
      <c r="BA142" s="42">
        <f t="shared" si="277"/>
        <v>0</v>
      </c>
      <c r="BB142" s="42">
        <f t="shared" si="278"/>
        <v>0</v>
      </c>
      <c r="BC142" s="42">
        <f t="shared" si="279"/>
        <v>0</v>
      </c>
      <c r="BD142" s="75">
        <f t="shared" si="280"/>
        <v>0</v>
      </c>
      <c r="BE142" s="42">
        <f t="shared" si="281"/>
        <v>0</v>
      </c>
      <c r="BF142" s="42">
        <f t="shared" si="282"/>
        <v>0</v>
      </c>
      <c r="BG142" s="42">
        <f t="shared" si="283"/>
        <v>0</v>
      </c>
      <c r="BH142" s="42">
        <f t="shared" si="284"/>
        <v>0</v>
      </c>
      <c r="BI142" s="75">
        <f t="shared" si="285"/>
        <v>0</v>
      </c>
      <c r="BJ142" s="21"/>
      <c r="BK142" s="21"/>
      <c r="BL142" s="21"/>
    </row>
    <row r="143" spans="1:64" s="25" customFormat="1">
      <c r="A143" s="525" t="s">
        <v>471</v>
      </c>
      <c r="B143" s="41"/>
      <c r="C143" s="41"/>
      <c r="D143" s="41"/>
      <c r="E143" s="42"/>
      <c r="F143" s="75"/>
      <c r="G143" s="41"/>
      <c r="H143" s="41"/>
      <c r="I143" s="41"/>
      <c r="J143" s="42"/>
      <c r="K143" s="43"/>
      <c r="L143" s="41"/>
      <c r="M143" s="41"/>
      <c r="N143" s="41"/>
      <c r="O143" s="42"/>
      <c r="P143" s="75"/>
      <c r="Q143" s="42"/>
      <c r="R143" s="42"/>
      <c r="S143" s="42"/>
      <c r="T143" s="42"/>
      <c r="U143" s="75"/>
      <c r="V143" s="42"/>
      <c r="W143" s="42"/>
      <c r="X143" s="42"/>
      <c r="Y143" s="42"/>
      <c r="Z143" s="75"/>
      <c r="AA143" s="42"/>
      <c r="AB143" s="42"/>
      <c r="AC143" s="42"/>
      <c r="AD143" s="42"/>
      <c r="AE143" s="75"/>
      <c r="AF143" s="42"/>
      <c r="AG143" s="42"/>
      <c r="AH143" s="42"/>
      <c r="AI143" s="42"/>
      <c r="AJ143" s="75"/>
      <c r="AK143" s="42"/>
      <c r="AL143" s="42"/>
      <c r="AM143" s="42"/>
      <c r="AN143" s="42"/>
      <c r="AO143" s="75"/>
      <c r="AP143" s="42"/>
      <c r="AQ143" s="42"/>
      <c r="AR143" s="42"/>
      <c r="AS143" s="42">
        <f>+AVERAGE(AS13,AR13)*AS81/4</f>
        <v>6.125</v>
      </c>
      <c r="AT143" s="75">
        <f t="shared" ref="AT143" si="286">SUM(AP143:AS143)</f>
        <v>6.125</v>
      </c>
      <c r="AU143" s="42">
        <f t="shared" si="274"/>
        <v>32.625</v>
      </c>
      <c r="AV143" s="42">
        <f t="shared" si="274"/>
        <v>26.5078125</v>
      </c>
      <c r="AW143" s="42">
        <f t="shared" si="274"/>
        <v>20.390625</v>
      </c>
      <c r="AX143" s="42">
        <f t="shared" si="274"/>
        <v>16.3125</v>
      </c>
      <c r="AY143" s="75">
        <f t="shared" ref="AY143" si="287">SUM(AU143:AX143)</f>
        <v>95.8359375</v>
      </c>
      <c r="AZ143" s="42">
        <f t="shared" si="276"/>
        <v>12.234375</v>
      </c>
      <c r="BA143" s="42">
        <f t="shared" si="277"/>
        <v>6.1171875</v>
      </c>
      <c r="BB143" s="42">
        <f t="shared" si="278"/>
        <v>0</v>
      </c>
      <c r="BC143" s="42">
        <f t="shared" si="279"/>
        <v>0</v>
      </c>
      <c r="BD143" s="75">
        <f t="shared" ref="BD143" si="288">SUM(AZ143:BC143)</f>
        <v>18.3515625</v>
      </c>
      <c r="BE143" s="42">
        <f t="shared" si="281"/>
        <v>0</v>
      </c>
      <c r="BF143" s="42">
        <f t="shared" si="282"/>
        <v>0</v>
      </c>
      <c r="BG143" s="42">
        <f t="shared" si="283"/>
        <v>0</v>
      </c>
      <c r="BH143" s="42">
        <f t="shared" si="284"/>
        <v>0</v>
      </c>
      <c r="BI143" s="75">
        <f t="shared" ref="BI143" si="289">SUM(BE143:BH143)</f>
        <v>0</v>
      </c>
      <c r="BJ143" s="21"/>
      <c r="BK143" s="21"/>
      <c r="BL143" s="21"/>
    </row>
    <row r="144" spans="1:64" s="25" customFormat="1">
      <c r="A144" s="3" t="str">
        <f>A82</f>
        <v>3.950% Notes due 2025</v>
      </c>
      <c r="B144" s="41"/>
      <c r="C144" s="41"/>
      <c r="D144" s="41"/>
      <c r="E144" s="42"/>
      <c r="F144" s="75"/>
      <c r="G144" s="41"/>
      <c r="H144" s="41"/>
      <c r="I144" s="41"/>
      <c r="J144" s="42"/>
      <c r="K144" s="43"/>
      <c r="L144" s="41"/>
      <c r="M144" s="41"/>
      <c r="N144" s="41"/>
      <c r="O144" s="42"/>
      <c r="P144" s="75"/>
      <c r="Q144" s="42"/>
      <c r="R144" s="42"/>
      <c r="S144" s="42"/>
      <c r="T144" s="42"/>
      <c r="U144" s="75"/>
      <c r="V144" s="42"/>
      <c r="W144" s="42"/>
      <c r="X144" s="42"/>
      <c r="Y144" s="42"/>
      <c r="Z144" s="75"/>
      <c r="AA144" s="42"/>
      <c r="AB144" s="42">
        <f>+AB14*AB82/4</f>
        <v>14.8125</v>
      </c>
      <c r="AC144" s="42">
        <f>+AC14*AC82/4</f>
        <v>14.8125</v>
      </c>
      <c r="AD144" s="42">
        <f>+AVERAGE(AD14,AC14)*AD82/4</f>
        <v>14.8125</v>
      </c>
      <c r="AE144" s="75">
        <f t="shared" si="267"/>
        <v>44.4375</v>
      </c>
      <c r="AF144" s="42">
        <f t="shared" ref="AF144:AI145" si="290">+AVERAGE(AF14,AE14)*AF82/4</f>
        <v>14.8125</v>
      </c>
      <c r="AG144" s="42">
        <f t="shared" si="290"/>
        <v>14.8125</v>
      </c>
      <c r="AH144" s="42">
        <f t="shared" si="290"/>
        <v>14.8125</v>
      </c>
      <c r="AI144" s="42">
        <f t="shared" si="290"/>
        <v>14.8125</v>
      </c>
      <c r="AJ144" s="75">
        <f t="shared" si="269"/>
        <v>59.25</v>
      </c>
      <c r="AK144" s="42">
        <f t="shared" ref="AK144:AN146" si="291">+AVERAGE(AK14,AJ14)*AK82/4</f>
        <v>14.8125</v>
      </c>
      <c r="AL144" s="42">
        <f t="shared" si="291"/>
        <v>14.8125</v>
      </c>
      <c r="AM144" s="42">
        <f t="shared" si="291"/>
        <v>14.8125</v>
      </c>
      <c r="AN144" s="42">
        <f t="shared" si="291"/>
        <v>14.8125</v>
      </c>
      <c r="AO144" s="75">
        <f t="shared" si="271"/>
        <v>59.25</v>
      </c>
      <c r="AP144" s="42">
        <f t="shared" ref="AP144:AR146" si="292">+AVERAGE(AP14,AO14)*AP82/4</f>
        <v>14.8125</v>
      </c>
      <c r="AQ144" s="42">
        <f t="shared" si="292"/>
        <v>14.8125</v>
      </c>
      <c r="AR144" s="42">
        <f t="shared" si="292"/>
        <v>14.8125</v>
      </c>
      <c r="AS144" s="42">
        <f>+AVERAGE(AS14,AR14)*AS82/4</f>
        <v>14.8125</v>
      </c>
      <c r="AT144" s="75">
        <f t="shared" si="273"/>
        <v>59.25</v>
      </c>
      <c r="AU144" s="42">
        <f t="shared" si="274"/>
        <v>14.8125</v>
      </c>
      <c r="AV144" s="42">
        <f t="shared" si="274"/>
        <v>14.8125</v>
      </c>
      <c r="AW144" s="42">
        <f t="shared" si="274"/>
        <v>14.8125</v>
      </c>
      <c r="AX144" s="42">
        <f t="shared" si="274"/>
        <v>14.8125</v>
      </c>
      <c r="AY144" s="75">
        <f t="shared" si="275"/>
        <v>59.25</v>
      </c>
      <c r="AZ144" s="42">
        <f t="shared" si="276"/>
        <v>14.8125</v>
      </c>
      <c r="BA144" s="42">
        <f t="shared" si="277"/>
        <v>14.8125</v>
      </c>
      <c r="BB144" s="42">
        <f t="shared" si="278"/>
        <v>7.40625</v>
      </c>
      <c r="BC144" s="42">
        <f t="shared" si="279"/>
        <v>0</v>
      </c>
      <c r="BD144" s="75">
        <f t="shared" ref="BD144:BD145" si="293">SUM(AZ144:BC144)</f>
        <v>37.03125</v>
      </c>
      <c r="BE144" s="42">
        <f t="shared" si="281"/>
        <v>0</v>
      </c>
      <c r="BF144" s="42">
        <f t="shared" si="282"/>
        <v>0</v>
      </c>
      <c r="BG144" s="42">
        <f t="shared" si="283"/>
        <v>0</v>
      </c>
      <c r="BH144" s="42">
        <f t="shared" si="284"/>
        <v>0</v>
      </c>
      <c r="BI144" s="75">
        <f t="shared" ref="BI144:BI145" si="294">SUM(BE144:BH144)</f>
        <v>0</v>
      </c>
      <c r="BJ144" s="21"/>
      <c r="BK144" s="21"/>
      <c r="BL144" s="21"/>
    </row>
    <row r="145" spans="1:64" s="25" customFormat="1">
      <c r="A145" s="3" t="str">
        <f>A83</f>
        <v xml:space="preserve">2.650% Notes due 2026 </v>
      </c>
      <c r="B145" s="41"/>
      <c r="C145" s="41"/>
      <c r="D145" s="41"/>
      <c r="E145" s="42"/>
      <c r="F145" s="75"/>
      <c r="G145" s="41"/>
      <c r="H145" s="41"/>
      <c r="I145" s="41"/>
      <c r="J145" s="42"/>
      <c r="K145" s="43"/>
      <c r="L145" s="41"/>
      <c r="M145" s="41"/>
      <c r="N145" s="41"/>
      <c r="O145" s="42"/>
      <c r="P145" s="75"/>
      <c r="Q145" s="42"/>
      <c r="R145" s="42"/>
      <c r="S145" s="42"/>
      <c r="T145" s="42"/>
      <c r="U145" s="75"/>
      <c r="V145" s="42"/>
      <c r="W145" s="42"/>
      <c r="X145" s="42"/>
      <c r="Y145" s="42"/>
      <c r="Z145" s="75"/>
      <c r="AA145" s="42"/>
      <c r="AB145" s="42">
        <f>+AB15*AB83/4</f>
        <v>4.7633749999999999</v>
      </c>
      <c r="AC145" s="42">
        <f>+AC15*AC83/4</f>
        <v>4.7633749999999999</v>
      </c>
      <c r="AD145" s="42">
        <f>+AVERAGE(AD15,AC15)*AD83/4</f>
        <v>4.7633749999999999</v>
      </c>
      <c r="AE145" s="75">
        <f t="shared" si="267"/>
        <v>14.290125</v>
      </c>
      <c r="AF145" s="42">
        <f t="shared" si="290"/>
        <v>4.7633749999999999</v>
      </c>
      <c r="AG145" s="42">
        <f t="shared" si="290"/>
        <v>4.7633749999999999</v>
      </c>
      <c r="AH145" s="42">
        <f t="shared" si="290"/>
        <v>4.7633749999999999</v>
      </c>
      <c r="AI145" s="42">
        <f t="shared" si="290"/>
        <v>4.7633749999999999</v>
      </c>
      <c r="AJ145" s="75">
        <f t="shared" si="269"/>
        <v>19.0535</v>
      </c>
      <c r="AK145" s="42">
        <f t="shared" si="291"/>
        <v>4.7633749999999999</v>
      </c>
      <c r="AL145" s="42">
        <f t="shared" si="291"/>
        <v>4.7633749999999999</v>
      </c>
      <c r="AM145" s="42">
        <f t="shared" si="291"/>
        <v>4.7633749999999999</v>
      </c>
      <c r="AN145" s="42">
        <f t="shared" si="291"/>
        <v>4.7633749999999999</v>
      </c>
      <c r="AO145" s="75">
        <f t="shared" si="271"/>
        <v>19.0535</v>
      </c>
      <c r="AP145" s="42">
        <f t="shared" si="292"/>
        <v>4.7633749999999999</v>
      </c>
      <c r="AQ145" s="42">
        <f t="shared" si="292"/>
        <v>4.7633749999999999</v>
      </c>
      <c r="AR145" s="42">
        <f t="shared" si="292"/>
        <v>4.7633749999999999</v>
      </c>
      <c r="AS145" s="42">
        <f>+AVERAGE(AS15,AR15)*AS83/4</f>
        <v>4.7633749999999999</v>
      </c>
      <c r="AT145" s="75">
        <f t="shared" si="273"/>
        <v>19.0535</v>
      </c>
      <c r="AU145" s="42">
        <f t="shared" si="274"/>
        <v>4.7633749999999999</v>
      </c>
      <c r="AV145" s="42">
        <f t="shared" si="274"/>
        <v>4.7633749999999999</v>
      </c>
      <c r="AW145" s="42">
        <f t="shared" si="274"/>
        <v>4.7633749999999999</v>
      </c>
      <c r="AX145" s="42">
        <f t="shared" si="274"/>
        <v>4.7633749999999999</v>
      </c>
      <c r="AY145" s="75">
        <f t="shared" si="275"/>
        <v>19.0535</v>
      </c>
      <c r="AZ145" s="42">
        <f t="shared" si="276"/>
        <v>4.7633749999999999</v>
      </c>
      <c r="BA145" s="42">
        <f t="shared" si="277"/>
        <v>4.7633749999999999</v>
      </c>
      <c r="BB145" s="42">
        <f t="shared" si="278"/>
        <v>4.7633749999999999</v>
      </c>
      <c r="BC145" s="42">
        <f t="shared" si="279"/>
        <v>4.7633749999999999</v>
      </c>
      <c r="BD145" s="75">
        <f t="shared" si="293"/>
        <v>19.0535</v>
      </c>
      <c r="BE145" s="42">
        <f t="shared" si="281"/>
        <v>4.7633749999999999</v>
      </c>
      <c r="BF145" s="42">
        <f t="shared" si="282"/>
        <v>4.7633749999999999</v>
      </c>
      <c r="BG145" s="42">
        <f t="shared" si="283"/>
        <v>4.7633749999999999</v>
      </c>
      <c r="BH145" s="42">
        <f t="shared" si="284"/>
        <v>2.3816875</v>
      </c>
      <c r="BI145" s="75">
        <f t="shared" si="294"/>
        <v>16.671812500000001</v>
      </c>
      <c r="BJ145" s="21"/>
      <c r="BK145" s="21"/>
      <c r="BL145" s="21"/>
    </row>
    <row r="146" spans="1:64" s="25" customFormat="1">
      <c r="A146" s="492" t="str">
        <f>A84</f>
        <v>5.000% Notes due 2026</v>
      </c>
      <c r="B146" s="41"/>
      <c r="C146" s="41"/>
      <c r="D146" s="41"/>
      <c r="E146" s="42"/>
      <c r="F146" s="75"/>
      <c r="G146" s="41"/>
      <c r="H146" s="41"/>
      <c r="I146" s="41"/>
      <c r="J146" s="42"/>
      <c r="K146" s="43"/>
      <c r="L146" s="41"/>
      <c r="M146" s="41"/>
      <c r="N146" s="41"/>
      <c r="O146" s="42"/>
      <c r="P146" s="75"/>
      <c r="Q146" s="42"/>
      <c r="R146" s="42"/>
      <c r="S146" s="42"/>
      <c r="T146" s="42"/>
      <c r="U146" s="75"/>
      <c r="V146" s="42"/>
      <c r="W146" s="42"/>
      <c r="X146" s="42"/>
      <c r="Y146" s="42"/>
      <c r="Z146" s="75"/>
      <c r="AA146" s="42"/>
      <c r="AB146" s="42">
        <f>+AB16*AB84/4</f>
        <v>0</v>
      </c>
      <c r="AC146" s="42"/>
      <c r="AD146" s="42"/>
      <c r="AE146" s="75"/>
      <c r="AF146" s="42"/>
      <c r="AG146" s="42"/>
      <c r="AH146" s="42"/>
      <c r="AI146" s="42"/>
      <c r="AJ146" s="75"/>
      <c r="AK146" s="42">
        <f t="shared" si="291"/>
        <v>0</v>
      </c>
      <c r="AL146" s="42">
        <f t="shared" si="291"/>
        <v>0</v>
      </c>
      <c r="AM146" s="42">
        <f t="shared" si="291"/>
        <v>0</v>
      </c>
      <c r="AN146" s="42">
        <f t="shared" si="291"/>
        <v>0</v>
      </c>
      <c r="AO146" s="75">
        <f t="shared" ref="AO146" si="295">SUM(AK146:AN146)</f>
        <v>0</v>
      </c>
      <c r="AP146" s="42">
        <f t="shared" si="292"/>
        <v>3.125</v>
      </c>
      <c r="AQ146" s="42">
        <f t="shared" si="292"/>
        <v>6.25</v>
      </c>
      <c r="AR146" s="42">
        <f t="shared" si="292"/>
        <v>6.25</v>
      </c>
      <c r="AS146" s="42">
        <f>+AVERAGE(AS16,AR16)*AS84/4</f>
        <v>6.25</v>
      </c>
      <c r="AT146" s="75">
        <f t="shared" ref="AT146" si="296">SUM(AP146:AS146)</f>
        <v>21.875</v>
      </c>
      <c r="AU146" s="42">
        <f t="shared" si="274"/>
        <v>6.25</v>
      </c>
      <c r="AV146" s="42">
        <f t="shared" si="274"/>
        <v>6.25</v>
      </c>
      <c r="AW146" s="42">
        <f t="shared" si="274"/>
        <v>6.25</v>
      </c>
      <c r="AX146" s="42">
        <f t="shared" si="274"/>
        <v>6.25</v>
      </c>
      <c r="AY146" s="75">
        <f t="shared" ref="AY146" si="297">SUM(AU146:AX146)</f>
        <v>25</v>
      </c>
      <c r="AZ146" s="42">
        <f t="shared" si="276"/>
        <v>6.25</v>
      </c>
      <c r="BA146" s="42">
        <f t="shared" si="277"/>
        <v>6.25</v>
      </c>
      <c r="BB146" s="42">
        <f t="shared" si="278"/>
        <v>6.25</v>
      </c>
      <c r="BC146" s="42">
        <f t="shared" si="279"/>
        <v>6.25</v>
      </c>
      <c r="BD146" s="75">
        <f t="shared" ref="BD146" si="298">SUM(AZ146:BC146)</f>
        <v>25</v>
      </c>
      <c r="BE146" s="42">
        <f t="shared" si="281"/>
        <v>3.125</v>
      </c>
      <c r="BF146" s="42">
        <f t="shared" si="282"/>
        <v>0</v>
      </c>
      <c r="BG146" s="42">
        <f t="shared" si="283"/>
        <v>0</v>
      </c>
      <c r="BH146" s="42">
        <f t="shared" si="284"/>
        <v>0</v>
      </c>
      <c r="BI146" s="75">
        <f t="shared" ref="BI146:BI156" si="299">SUM(BE146:BH146)</f>
        <v>3.125</v>
      </c>
      <c r="BJ146" s="21"/>
      <c r="BK146" s="21"/>
      <c r="BL146" s="21"/>
    </row>
    <row r="147" spans="1:64" s="25" customFormat="1">
      <c r="A147" s="525" t="s">
        <v>473</v>
      </c>
      <c r="B147" s="41"/>
      <c r="C147" s="41"/>
      <c r="D147" s="41"/>
      <c r="E147" s="42"/>
      <c r="F147" s="75"/>
      <c r="G147" s="41"/>
      <c r="H147" s="41"/>
      <c r="I147" s="41"/>
      <c r="J147" s="42"/>
      <c r="K147" s="43"/>
      <c r="L147" s="41"/>
      <c r="M147" s="41"/>
      <c r="N147" s="41"/>
      <c r="O147" s="42"/>
      <c r="P147" s="75"/>
      <c r="Q147" s="42"/>
      <c r="R147" s="42"/>
      <c r="S147" s="42"/>
      <c r="T147" s="42"/>
      <c r="U147" s="75"/>
      <c r="V147" s="42"/>
      <c r="W147" s="42"/>
      <c r="X147" s="42"/>
      <c r="Y147" s="42"/>
      <c r="Z147" s="75"/>
      <c r="AA147" s="42"/>
      <c r="AB147" s="42"/>
      <c r="AC147" s="42"/>
      <c r="AD147" s="42"/>
      <c r="AE147" s="75"/>
      <c r="AF147" s="42"/>
      <c r="AG147" s="42"/>
      <c r="AH147" s="42"/>
      <c r="AI147" s="42"/>
      <c r="AJ147" s="75"/>
      <c r="AK147" s="42"/>
      <c r="AL147" s="42"/>
      <c r="AM147" s="42"/>
      <c r="AN147" s="42"/>
      <c r="AO147" s="75"/>
      <c r="AP147" s="42"/>
      <c r="AQ147" s="42"/>
      <c r="AR147" s="42"/>
      <c r="AS147" s="42">
        <f t="shared" ref="AS147:AS148" si="300">+AVERAGE(AS17,AR17)*AS85/4</f>
        <v>17.96875</v>
      </c>
      <c r="AT147" s="75">
        <f t="shared" ref="AT147:AT148" si="301">SUM(AP147:AS147)</f>
        <v>17.96875</v>
      </c>
      <c r="AU147" s="42">
        <f t="shared" ref="AU147:AX147" si="302">+AVERAGE(AU17,AT17)*AU85/4</f>
        <v>17.96875</v>
      </c>
      <c r="AV147" s="42">
        <f t="shared" si="302"/>
        <v>17.96875</v>
      </c>
      <c r="AW147" s="42">
        <f t="shared" si="302"/>
        <v>17.96875</v>
      </c>
      <c r="AX147" s="42">
        <f t="shared" si="302"/>
        <v>17.96875</v>
      </c>
      <c r="AY147" s="75">
        <f t="shared" ref="AY147:AY148" si="303">SUM(AU147:AX147)</f>
        <v>71.875</v>
      </c>
      <c r="AZ147" s="42">
        <f t="shared" si="276"/>
        <v>17.96875</v>
      </c>
      <c r="BA147" s="42">
        <f t="shared" si="277"/>
        <v>17.96875</v>
      </c>
      <c r="BB147" s="42">
        <f t="shared" si="278"/>
        <v>17.96875</v>
      </c>
      <c r="BC147" s="42">
        <f t="shared" si="279"/>
        <v>17.96875</v>
      </c>
      <c r="BD147" s="75">
        <f t="shared" ref="BD147:BD155" si="304">SUM(AZ147:BC147)</f>
        <v>71.875</v>
      </c>
      <c r="BE147" s="42">
        <f t="shared" si="281"/>
        <v>17.96875</v>
      </c>
      <c r="BF147" s="42">
        <f t="shared" si="282"/>
        <v>17.96875</v>
      </c>
      <c r="BG147" s="42">
        <f t="shared" si="283"/>
        <v>17.96875</v>
      </c>
      <c r="BH147" s="42">
        <f t="shared" si="284"/>
        <v>8.984375</v>
      </c>
      <c r="BI147" s="75">
        <f t="shared" si="299"/>
        <v>62.890625</v>
      </c>
      <c r="BJ147" s="21"/>
      <c r="BK147" s="21"/>
      <c r="BL147" s="21"/>
    </row>
    <row r="148" spans="1:64" s="25" customFormat="1">
      <c r="A148" s="525" t="s">
        <v>472</v>
      </c>
      <c r="B148" s="41"/>
      <c r="C148" s="41"/>
      <c r="D148" s="41"/>
      <c r="E148" s="42"/>
      <c r="F148" s="75"/>
      <c r="G148" s="41"/>
      <c r="H148" s="41"/>
      <c r="I148" s="41"/>
      <c r="J148" s="42"/>
      <c r="K148" s="43"/>
      <c r="L148" s="41"/>
      <c r="M148" s="41"/>
      <c r="N148" s="41"/>
      <c r="O148" s="42"/>
      <c r="P148" s="75"/>
      <c r="Q148" s="42"/>
      <c r="R148" s="42"/>
      <c r="S148" s="42"/>
      <c r="T148" s="42"/>
      <c r="U148" s="75"/>
      <c r="V148" s="42"/>
      <c r="W148" s="42"/>
      <c r="X148" s="42"/>
      <c r="Y148" s="42"/>
      <c r="Z148" s="75"/>
      <c r="AA148" s="42"/>
      <c r="AB148" s="42"/>
      <c r="AC148" s="42"/>
      <c r="AD148" s="42"/>
      <c r="AE148" s="75"/>
      <c r="AF148" s="42"/>
      <c r="AG148" s="42"/>
      <c r="AH148" s="42"/>
      <c r="AI148" s="42"/>
      <c r="AJ148" s="75"/>
      <c r="AK148" s="42"/>
      <c r="AL148" s="42"/>
      <c r="AM148" s="42"/>
      <c r="AN148" s="42"/>
      <c r="AO148" s="75"/>
      <c r="AP148" s="42"/>
      <c r="AQ148" s="42"/>
      <c r="AR148" s="42"/>
      <c r="AS148" s="42">
        <f t="shared" si="300"/>
        <v>6.125</v>
      </c>
      <c r="AT148" s="75">
        <f t="shared" si="301"/>
        <v>6.125</v>
      </c>
      <c r="AU148" s="42">
        <f t="shared" ref="AU148:AX148" si="305">+AVERAGE(AU18,AT18)*AU86/4</f>
        <v>32.625</v>
      </c>
      <c r="AV148" s="42">
        <f t="shared" si="305"/>
        <v>32.625</v>
      </c>
      <c r="AW148" s="42">
        <f t="shared" si="305"/>
        <v>32.625</v>
      </c>
      <c r="AX148" s="42">
        <f t="shared" si="305"/>
        <v>32.625</v>
      </c>
      <c r="AY148" s="75">
        <f t="shared" si="303"/>
        <v>130.5</v>
      </c>
      <c r="AZ148" s="42">
        <f t="shared" si="276"/>
        <v>32.625</v>
      </c>
      <c r="BA148" s="42">
        <f t="shared" si="277"/>
        <v>32.625</v>
      </c>
      <c r="BB148" s="42">
        <f t="shared" si="278"/>
        <v>32.625</v>
      </c>
      <c r="BC148" s="42">
        <f t="shared" si="279"/>
        <v>23.653124999999999</v>
      </c>
      <c r="BD148" s="75">
        <f t="shared" si="304"/>
        <v>121.528125</v>
      </c>
      <c r="BE148" s="42">
        <f t="shared" si="281"/>
        <v>14.68125</v>
      </c>
      <c r="BF148" s="42">
        <f t="shared" si="282"/>
        <v>14.68125</v>
      </c>
      <c r="BG148" s="42">
        <f t="shared" si="283"/>
        <v>14.68125</v>
      </c>
      <c r="BH148" s="42">
        <f t="shared" si="284"/>
        <v>7.3406250000000002</v>
      </c>
      <c r="BI148" s="75">
        <f t="shared" si="299"/>
        <v>51.384375000000006</v>
      </c>
      <c r="BJ148" s="21"/>
      <c r="BK148" s="21"/>
      <c r="BL148" s="21"/>
    </row>
    <row r="149" spans="1:64" s="25" customFormat="1">
      <c r="A149" s="3" t="str">
        <f t="shared" ref="A149:A155" si="306">A87</f>
        <v>3.125% Notes due 2027</v>
      </c>
      <c r="B149" s="41"/>
      <c r="C149" s="41"/>
      <c r="D149" s="41"/>
      <c r="E149" s="42"/>
      <c r="F149" s="75"/>
      <c r="G149" s="41"/>
      <c r="H149" s="41"/>
      <c r="I149" s="41"/>
      <c r="J149" s="42"/>
      <c r="K149" s="43"/>
      <c r="L149" s="41"/>
      <c r="M149" s="41"/>
      <c r="N149" s="41"/>
      <c r="O149" s="42"/>
      <c r="P149" s="75"/>
      <c r="Q149" s="42"/>
      <c r="R149" s="42"/>
      <c r="S149" s="42"/>
      <c r="T149" s="42"/>
      <c r="U149" s="75"/>
      <c r="V149" s="42"/>
      <c r="W149" s="42"/>
      <c r="X149" s="42"/>
      <c r="Y149" s="42"/>
      <c r="Z149" s="75"/>
      <c r="AA149" s="42"/>
      <c r="AB149" s="42">
        <f t="shared" ref="AB149:AC155" si="307">+AB19*AB87/4</f>
        <v>8.59375</v>
      </c>
      <c r="AC149" s="42">
        <f t="shared" si="307"/>
        <v>8.59375</v>
      </c>
      <c r="AD149" s="42">
        <f t="shared" ref="AD149:AD155" si="308">+AVERAGE(AD19,AC19)*AD87/4</f>
        <v>8.59375</v>
      </c>
      <c r="AE149" s="75">
        <f t="shared" si="267"/>
        <v>25.78125</v>
      </c>
      <c r="AF149" s="42">
        <f t="shared" ref="AF149:AI155" si="309">+AVERAGE(AF19,AE19)*AF87/4</f>
        <v>8.59375</v>
      </c>
      <c r="AG149" s="42">
        <f t="shared" si="309"/>
        <v>8.59375</v>
      </c>
      <c r="AH149" s="42">
        <f t="shared" si="309"/>
        <v>8.59375</v>
      </c>
      <c r="AI149" s="42">
        <f t="shared" si="309"/>
        <v>8.59375</v>
      </c>
      <c r="AJ149" s="75">
        <f t="shared" si="269"/>
        <v>34.375</v>
      </c>
      <c r="AK149" s="42">
        <f t="shared" ref="AK149:AN155" si="310">+AVERAGE(AK19,AJ19)*AK87/4</f>
        <v>8.59375</v>
      </c>
      <c r="AL149" s="42">
        <f t="shared" si="310"/>
        <v>8.59375</v>
      </c>
      <c r="AM149" s="42">
        <f t="shared" si="310"/>
        <v>8.59375</v>
      </c>
      <c r="AN149" s="42">
        <f t="shared" si="310"/>
        <v>8.59375</v>
      </c>
      <c r="AO149" s="75">
        <f t="shared" si="271"/>
        <v>34.375</v>
      </c>
      <c r="AP149" s="42">
        <f t="shared" ref="AP149:AS155" si="311">+AVERAGE(AP19,AO19)*AP87/4</f>
        <v>8.59375</v>
      </c>
      <c r="AQ149" s="42">
        <f t="shared" si="311"/>
        <v>8.59375</v>
      </c>
      <c r="AR149" s="42">
        <f t="shared" si="311"/>
        <v>8.59375</v>
      </c>
      <c r="AS149" s="42">
        <f t="shared" si="311"/>
        <v>8.59375</v>
      </c>
      <c r="AT149" s="75">
        <f t="shared" si="273"/>
        <v>34.375</v>
      </c>
      <c r="AU149" s="42">
        <f t="shared" ref="AU149:AX168" si="312">+AVERAGE(AU19,AT19)*AU87/4</f>
        <v>8.59375</v>
      </c>
      <c r="AV149" s="42">
        <f t="shared" si="312"/>
        <v>8.59375</v>
      </c>
      <c r="AW149" s="42">
        <f t="shared" si="312"/>
        <v>8.59375</v>
      </c>
      <c r="AX149" s="42">
        <f t="shared" si="312"/>
        <v>8.59375</v>
      </c>
      <c r="AY149" s="75">
        <f t="shared" ref="AY149:AY159" si="313">SUM(AU149:AX149)</f>
        <v>34.375</v>
      </c>
      <c r="AZ149" s="42">
        <f t="shared" si="276"/>
        <v>8.59375</v>
      </c>
      <c r="BA149" s="42">
        <f t="shared" si="277"/>
        <v>8.59375</v>
      </c>
      <c r="BB149" s="42">
        <f t="shared" si="278"/>
        <v>8.59375</v>
      </c>
      <c r="BC149" s="42">
        <f t="shared" si="279"/>
        <v>8.59375</v>
      </c>
      <c r="BD149" s="75">
        <f t="shared" si="304"/>
        <v>34.375</v>
      </c>
      <c r="BE149" s="42">
        <f t="shared" si="281"/>
        <v>8.59375</v>
      </c>
      <c r="BF149" s="42">
        <f t="shared" si="282"/>
        <v>8.59375</v>
      </c>
      <c r="BG149" s="42">
        <f t="shared" si="283"/>
        <v>8.59375</v>
      </c>
      <c r="BH149" s="42">
        <f t="shared" si="284"/>
        <v>8.59375</v>
      </c>
      <c r="BI149" s="75">
        <f t="shared" si="299"/>
        <v>34.375</v>
      </c>
      <c r="BJ149" s="21"/>
      <c r="BK149" s="21"/>
      <c r="BL149" s="21"/>
    </row>
    <row r="150" spans="1:64" s="25" customFormat="1">
      <c r="A150" s="3" t="str">
        <f t="shared" si="306"/>
        <v>3.500% Notes due 2027</v>
      </c>
      <c r="B150" s="41"/>
      <c r="C150" s="41"/>
      <c r="D150" s="41"/>
      <c r="E150" s="42"/>
      <c r="F150" s="75"/>
      <c r="G150" s="41"/>
      <c r="H150" s="41"/>
      <c r="I150" s="41"/>
      <c r="J150" s="42"/>
      <c r="K150" s="43"/>
      <c r="L150" s="41"/>
      <c r="M150" s="41"/>
      <c r="N150" s="41"/>
      <c r="O150" s="42"/>
      <c r="P150" s="75"/>
      <c r="Q150" s="42"/>
      <c r="R150" s="42"/>
      <c r="S150" s="42"/>
      <c r="T150" s="42"/>
      <c r="U150" s="75"/>
      <c r="V150" s="42"/>
      <c r="W150" s="42"/>
      <c r="X150" s="42"/>
      <c r="Y150" s="42"/>
      <c r="Z150" s="75"/>
      <c r="AA150" s="42"/>
      <c r="AB150" s="42">
        <f t="shared" si="307"/>
        <v>11.375000000000002</v>
      </c>
      <c r="AC150" s="42">
        <f t="shared" si="307"/>
        <v>11.375000000000002</v>
      </c>
      <c r="AD150" s="42">
        <f t="shared" si="308"/>
        <v>11.375000000000002</v>
      </c>
      <c r="AE150" s="75">
        <f t="shared" si="267"/>
        <v>34.125000000000007</v>
      </c>
      <c r="AF150" s="42">
        <f t="shared" si="309"/>
        <v>11.375000000000002</v>
      </c>
      <c r="AG150" s="42">
        <f t="shared" si="309"/>
        <v>11.375000000000002</v>
      </c>
      <c r="AH150" s="42">
        <f t="shared" si="309"/>
        <v>11.375000000000002</v>
      </c>
      <c r="AI150" s="42">
        <f t="shared" si="309"/>
        <v>11.375000000000002</v>
      </c>
      <c r="AJ150" s="75">
        <f t="shared" si="269"/>
        <v>45.500000000000007</v>
      </c>
      <c r="AK150" s="42">
        <f t="shared" si="310"/>
        <v>11.375000000000002</v>
      </c>
      <c r="AL150" s="42">
        <f t="shared" si="310"/>
        <v>11.375000000000002</v>
      </c>
      <c r="AM150" s="42">
        <f t="shared" si="310"/>
        <v>11.375000000000002</v>
      </c>
      <c r="AN150" s="42">
        <f t="shared" si="310"/>
        <v>11.375000000000002</v>
      </c>
      <c r="AO150" s="75">
        <f t="shared" si="271"/>
        <v>45.500000000000007</v>
      </c>
      <c r="AP150" s="42">
        <f t="shared" si="311"/>
        <v>11.375000000000002</v>
      </c>
      <c r="AQ150" s="42">
        <f t="shared" si="311"/>
        <v>11.375000000000002</v>
      </c>
      <c r="AR150" s="42">
        <f t="shared" si="311"/>
        <v>11.375000000000002</v>
      </c>
      <c r="AS150" s="42">
        <f t="shared" si="311"/>
        <v>11.375000000000002</v>
      </c>
      <c r="AT150" s="75">
        <f t="shared" si="273"/>
        <v>45.500000000000007</v>
      </c>
      <c r="AU150" s="42">
        <f t="shared" si="312"/>
        <v>11.375000000000002</v>
      </c>
      <c r="AV150" s="42">
        <f t="shared" si="312"/>
        <v>11.375000000000002</v>
      </c>
      <c r="AW150" s="42">
        <f t="shared" si="312"/>
        <v>11.375000000000002</v>
      </c>
      <c r="AX150" s="42">
        <f t="shared" si="312"/>
        <v>11.375000000000002</v>
      </c>
      <c r="AY150" s="75">
        <f t="shared" si="313"/>
        <v>45.500000000000007</v>
      </c>
      <c r="AZ150" s="42">
        <f t="shared" si="276"/>
        <v>11.375000000000002</v>
      </c>
      <c r="BA150" s="42">
        <f t="shared" si="277"/>
        <v>11.375000000000002</v>
      </c>
      <c r="BB150" s="42">
        <f t="shared" si="278"/>
        <v>11.375000000000002</v>
      </c>
      <c r="BC150" s="42">
        <f t="shared" si="279"/>
        <v>11.375000000000002</v>
      </c>
      <c r="BD150" s="75">
        <f t="shared" si="304"/>
        <v>45.500000000000007</v>
      </c>
      <c r="BE150" s="42">
        <f t="shared" si="281"/>
        <v>11.375000000000002</v>
      </c>
      <c r="BF150" s="42">
        <f t="shared" si="282"/>
        <v>11.375000000000002</v>
      </c>
      <c r="BG150" s="42">
        <f t="shared" si="283"/>
        <v>11.375000000000002</v>
      </c>
      <c r="BH150" s="42">
        <f t="shared" si="284"/>
        <v>11.375000000000002</v>
      </c>
      <c r="BI150" s="75">
        <f t="shared" si="299"/>
        <v>45.500000000000007</v>
      </c>
      <c r="BJ150" s="21"/>
      <c r="BK150" s="21"/>
      <c r="BL150" s="21"/>
    </row>
    <row r="151" spans="1:64" s="25" customFormat="1">
      <c r="A151" s="3" t="str">
        <f t="shared" si="306"/>
        <v>7.200% Notes due 2027</v>
      </c>
      <c r="B151" s="41"/>
      <c r="C151" s="41"/>
      <c r="D151" s="41"/>
      <c r="E151" s="42"/>
      <c r="F151" s="75"/>
      <c r="G151" s="41"/>
      <c r="H151" s="41"/>
      <c r="I151" s="41"/>
      <c r="J151" s="42"/>
      <c r="K151" s="43"/>
      <c r="L151" s="41"/>
      <c r="M151" s="41"/>
      <c r="N151" s="41"/>
      <c r="O151" s="42"/>
      <c r="P151" s="75"/>
      <c r="Q151" s="42"/>
      <c r="R151" s="42"/>
      <c r="S151" s="42"/>
      <c r="T151" s="42"/>
      <c r="U151" s="75"/>
      <c r="V151" s="42"/>
      <c r="W151" s="42"/>
      <c r="X151" s="42"/>
      <c r="Y151" s="42"/>
      <c r="Z151" s="75"/>
      <c r="AA151" s="42"/>
      <c r="AB151" s="42">
        <f t="shared" si="307"/>
        <v>6.8759999999999994</v>
      </c>
      <c r="AC151" s="42">
        <f t="shared" si="307"/>
        <v>6.8759999999999994</v>
      </c>
      <c r="AD151" s="42">
        <f t="shared" si="308"/>
        <v>6.8759999999999994</v>
      </c>
      <c r="AE151" s="75">
        <f t="shared" si="267"/>
        <v>20.628</v>
      </c>
      <c r="AF151" s="42">
        <f t="shared" si="309"/>
        <v>6.8759999999999994</v>
      </c>
      <c r="AG151" s="42">
        <f t="shared" si="309"/>
        <v>6.8759999999999994</v>
      </c>
      <c r="AH151" s="42">
        <f t="shared" si="309"/>
        <v>6.8759999999999994</v>
      </c>
      <c r="AI151" s="42">
        <f t="shared" si="309"/>
        <v>6.8759999999999994</v>
      </c>
      <c r="AJ151" s="75">
        <f t="shared" si="269"/>
        <v>27.503999999999998</v>
      </c>
      <c r="AK151" s="42">
        <f t="shared" si="310"/>
        <v>6.8759999999999994</v>
      </c>
      <c r="AL151" s="42">
        <f t="shared" si="310"/>
        <v>6.8759999999999994</v>
      </c>
      <c r="AM151" s="42">
        <f t="shared" si="310"/>
        <v>6.8759999999999994</v>
      </c>
      <c r="AN151" s="42">
        <f t="shared" si="310"/>
        <v>6.8759999999999994</v>
      </c>
      <c r="AO151" s="75">
        <f t="shared" si="271"/>
        <v>27.503999999999998</v>
      </c>
      <c r="AP151" s="42">
        <f t="shared" si="311"/>
        <v>6.8759999999999994</v>
      </c>
      <c r="AQ151" s="42">
        <f t="shared" si="311"/>
        <v>6.8759999999999994</v>
      </c>
      <c r="AR151" s="42">
        <f t="shared" si="311"/>
        <v>6.8759999999999994</v>
      </c>
      <c r="AS151" s="42">
        <f t="shared" si="311"/>
        <v>6.8759999999999994</v>
      </c>
      <c r="AT151" s="75">
        <f t="shared" si="273"/>
        <v>27.503999999999998</v>
      </c>
      <c r="AU151" s="42">
        <f t="shared" si="312"/>
        <v>6.8759999999999994</v>
      </c>
      <c r="AV151" s="42">
        <f t="shared" si="312"/>
        <v>6.8759999999999994</v>
      </c>
      <c r="AW151" s="42">
        <f t="shared" si="312"/>
        <v>6.8759999999999994</v>
      </c>
      <c r="AX151" s="42">
        <f t="shared" si="312"/>
        <v>6.8759999999999994</v>
      </c>
      <c r="AY151" s="75">
        <f t="shared" si="313"/>
        <v>27.503999999999998</v>
      </c>
      <c r="AZ151" s="42">
        <f t="shared" si="276"/>
        <v>6.8759999999999994</v>
      </c>
      <c r="BA151" s="42">
        <f t="shared" si="277"/>
        <v>6.8759999999999994</v>
      </c>
      <c r="BB151" s="42">
        <f t="shared" si="278"/>
        <v>6.8759999999999994</v>
      </c>
      <c r="BC151" s="42">
        <f t="shared" si="279"/>
        <v>6.8759999999999994</v>
      </c>
      <c r="BD151" s="75">
        <f t="shared" si="304"/>
        <v>27.503999999999998</v>
      </c>
      <c r="BE151" s="42">
        <f t="shared" si="281"/>
        <v>6.8759999999999994</v>
      </c>
      <c r="BF151" s="42">
        <f t="shared" si="282"/>
        <v>6.8759999999999994</v>
      </c>
      <c r="BG151" s="42">
        <f t="shared" si="283"/>
        <v>6.8759999999999994</v>
      </c>
      <c r="BH151" s="42">
        <f t="shared" si="284"/>
        <v>6.8759999999999994</v>
      </c>
      <c r="BI151" s="75">
        <f t="shared" si="299"/>
        <v>27.503999999999998</v>
      </c>
      <c r="BJ151" s="21"/>
      <c r="BK151" s="21"/>
      <c r="BL151" s="21"/>
    </row>
    <row r="152" spans="1:64" s="25" customFormat="1">
      <c r="A152" s="3" t="str">
        <f t="shared" si="306"/>
        <v>7.100% Notes due 2027</v>
      </c>
      <c r="B152" s="41"/>
      <c r="C152" s="41"/>
      <c r="D152" s="41"/>
      <c r="E152" s="42"/>
      <c r="F152" s="75"/>
      <c r="G152" s="41"/>
      <c r="H152" s="41"/>
      <c r="I152" s="41"/>
      <c r="J152" s="42"/>
      <c r="K152" s="43"/>
      <c r="L152" s="41"/>
      <c r="M152" s="41"/>
      <c r="N152" s="41"/>
      <c r="O152" s="42"/>
      <c r="P152" s="75"/>
      <c r="Q152" s="42"/>
      <c r="R152" s="42"/>
      <c r="S152" s="42"/>
      <c r="T152" s="42"/>
      <c r="U152" s="75"/>
      <c r="V152" s="42"/>
      <c r="W152" s="42"/>
      <c r="X152" s="42"/>
      <c r="Y152" s="42"/>
      <c r="Z152" s="75"/>
      <c r="AA152" s="42"/>
      <c r="AB152" s="42">
        <f t="shared" si="307"/>
        <v>2.5204999999999997</v>
      </c>
      <c r="AC152" s="42">
        <f t="shared" si="307"/>
        <v>2.5204999999999997</v>
      </c>
      <c r="AD152" s="42">
        <f t="shared" si="308"/>
        <v>2.5204999999999997</v>
      </c>
      <c r="AE152" s="75">
        <f t="shared" si="267"/>
        <v>7.5614999999999988</v>
      </c>
      <c r="AF152" s="42">
        <f t="shared" si="309"/>
        <v>2.511625</v>
      </c>
      <c r="AG152" s="42">
        <f t="shared" si="309"/>
        <v>2.5027499999999998</v>
      </c>
      <c r="AH152" s="42">
        <f t="shared" si="309"/>
        <v>2.5027499999999998</v>
      </c>
      <c r="AI152" s="42">
        <f t="shared" si="309"/>
        <v>2.4494999999999996</v>
      </c>
      <c r="AJ152" s="75">
        <f t="shared" si="269"/>
        <v>9.9666249999999987</v>
      </c>
      <c r="AK152" s="42">
        <f t="shared" si="310"/>
        <v>2.3962499999999998</v>
      </c>
      <c r="AL152" s="42">
        <f t="shared" si="310"/>
        <v>2.3962499999999998</v>
      </c>
      <c r="AM152" s="42">
        <f t="shared" si="310"/>
        <v>2.3962499999999998</v>
      </c>
      <c r="AN152" s="42">
        <f t="shared" si="310"/>
        <v>2.3962499999999998</v>
      </c>
      <c r="AO152" s="75">
        <f t="shared" si="271"/>
        <v>9.5849999999999991</v>
      </c>
      <c r="AP152" s="42">
        <f t="shared" si="311"/>
        <v>2.3962499999999998</v>
      </c>
      <c r="AQ152" s="42">
        <f t="shared" si="311"/>
        <v>2.3962499999999998</v>
      </c>
      <c r="AR152" s="42">
        <f t="shared" si="311"/>
        <v>2.3962499999999998</v>
      </c>
      <c r="AS152" s="42">
        <f t="shared" si="311"/>
        <v>2.3962499999999998</v>
      </c>
      <c r="AT152" s="75">
        <f t="shared" si="273"/>
        <v>9.5849999999999991</v>
      </c>
      <c r="AU152" s="42">
        <f t="shared" si="312"/>
        <v>2.3962499999999998</v>
      </c>
      <c r="AV152" s="42">
        <f t="shared" si="312"/>
        <v>2.3962499999999998</v>
      </c>
      <c r="AW152" s="42">
        <f t="shared" si="312"/>
        <v>2.3962499999999998</v>
      </c>
      <c r="AX152" s="42">
        <f t="shared" si="312"/>
        <v>2.3962499999999998</v>
      </c>
      <c r="AY152" s="75">
        <f t="shared" si="313"/>
        <v>9.5849999999999991</v>
      </c>
      <c r="AZ152" s="42">
        <f t="shared" si="276"/>
        <v>2.3962499999999998</v>
      </c>
      <c r="BA152" s="42">
        <f t="shared" si="277"/>
        <v>2.3962499999999998</v>
      </c>
      <c r="BB152" s="42">
        <f t="shared" si="278"/>
        <v>2.3962499999999998</v>
      </c>
      <c r="BC152" s="42">
        <f t="shared" si="279"/>
        <v>2.3962499999999998</v>
      </c>
      <c r="BD152" s="75">
        <f t="shared" si="304"/>
        <v>9.5849999999999991</v>
      </c>
      <c r="BE152" s="42">
        <f t="shared" si="281"/>
        <v>2.3962499999999998</v>
      </c>
      <c r="BF152" s="42">
        <f t="shared" si="282"/>
        <v>2.3962499999999998</v>
      </c>
      <c r="BG152" s="42">
        <f t="shared" si="283"/>
        <v>2.3962499999999998</v>
      </c>
      <c r="BH152" s="42">
        <f t="shared" si="284"/>
        <v>2.3962499999999998</v>
      </c>
      <c r="BI152" s="75">
        <f t="shared" si="299"/>
        <v>9.5849999999999991</v>
      </c>
      <c r="BJ152" s="21"/>
      <c r="BK152" s="21"/>
      <c r="BL152" s="21"/>
    </row>
    <row r="153" spans="1:64" s="25" customFormat="1">
      <c r="A153" s="3" t="str">
        <f t="shared" si="306"/>
        <v>6.700% Notes due 2028</v>
      </c>
      <c r="B153" s="41"/>
      <c r="C153" s="41"/>
      <c r="D153" s="41"/>
      <c r="E153" s="42"/>
      <c r="F153" s="75"/>
      <c r="G153" s="41"/>
      <c r="H153" s="41"/>
      <c r="I153" s="41"/>
      <c r="J153" s="42"/>
      <c r="K153" s="43"/>
      <c r="L153" s="41"/>
      <c r="M153" s="41"/>
      <c r="N153" s="41"/>
      <c r="O153" s="42"/>
      <c r="P153" s="75"/>
      <c r="Q153" s="42"/>
      <c r="R153" s="42"/>
      <c r="S153" s="42"/>
      <c r="T153" s="42"/>
      <c r="U153" s="75"/>
      <c r="V153" s="42"/>
      <c r="W153" s="42"/>
      <c r="X153" s="42"/>
      <c r="Y153" s="42"/>
      <c r="Z153" s="75"/>
      <c r="AA153" s="42"/>
      <c r="AB153" s="42">
        <f t="shared" si="307"/>
        <v>6.7</v>
      </c>
      <c r="AC153" s="42">
        <f t="shared" si="307"/>
        <v>6.7</v>
      </c>
      <c r="AD153" s="42">
        <f t="shared" si="308"/>
        <v>6.7</v>
      </c>
      <c r="AE153" s="75">
        <f t="shared" si="267"/>
        <v>20.100000000000001</v>
      </c>
      <c r="AF153" s="42">
        <f t="shared" si="309"/>
        <v>6.7</v>
      </c>
      <c r="AG153" s="42">
        <f t="shared" si="309"/>
        <v>6.7</v>
      </c>
      <c r="AH153" s="42">
        <f t="shared" si="309"/>
        <v>6.7</v>
      </c>
      <c r="AI153" s="42">
        <f t="shared" si="309"/>
        <v>5.7368750000000004</v>
      </c>
      <c r="AJ153" s="75">
        <f t="shared" si="269"/>
        <v>25.836875000000003</v>
      </c>
      <c r="AK153" s="42">
        <f t="shared" si="310"/>
        <v>4.7737500000000006</v>
      </c>
      <c r="AL153" s="42">
        <f t="shared" si="310"/>
        <v>4.7737500000000006</v>
      </c>
      <c r="AM153" s="42">
        <f t="shared" si="310"/>
        <v>4.7737500000000006</v>
      </c>
      <c r="AN153" s="42">
        <f t="shared" si="310"/>
        <v>4.7737500000000006</v>
      </c>
      <c r="AO153" s="75">
        <f t="shared" si="271"/>
        <v>19.095000000000002</v>
      </c>
      <c r="AP153" s="42">
        <f t="shared" si="311"/>
        <v>4.7737500000000006</v>
      </c>
      <c r="AQ153" s="42">
        <f t="shared" si="311"/>
        <v>4.7737500000000006</v>
      </c>
      <c r="AR153" s="42">
        <f t="shared" si="311"/>
        <v>4.7737500000000006</v>
      </c>
      <c r="AS153" s="42">
        <f t="shared" si="311"/>
        <v>4.7737500000000006</v>
      </c>
      <c r="AT153" s="75">
        <f t="shared" si="273"/>
        <v>19.095000000000002</v>
      </c>
      <c r="AU153" s="42">
        <f t="shared" si="312"/>
        <v>4.7737500000000006</v>
      </c>
      <c r="AV153" s="42">
        <f t="shared" si="312"/>
        <v>4.7737500000000006</v>
      </c>
      <c r="AW153" s="42">
        <f t="shared" si="312"/>
        <v>4.7737500000000006</v>
      </c>
      <c r="AX153" s="42">
        <f t="shared" si="312"/>
        <v>4.7737500000000006</v>
      </c>
      <c r="AY153" s="75">
        <f t="shared" si="313"/>
        <v>19.095000000000002</v>
      </c>
      <c r="AZ153" s="42">
        <f t="shared" si="276"/>
        <v>4.7737500000000006</v>
      </c>
      <c r="BA153" s="42">
        <f t="shared" si="277"/>
        <v>4.7737500000000006</v>
      </c>
      <c r="BB153" s="42">
        <f t="shared" si="278"/>
        <v>4.7737500000000006</v>
      </c>
      <c r="BC153" s="42">
        <f t="shared" si="279"/>
        <v>4.7737500000000006</v>
      </c>
      <c r="BD153" s="75">
        <f t="shared" si="304"/>
        <v>19.095000000000002</v>
      </c>
      <c r="BE153" s="42">
        <f t="shared" si="281"/>
        <v>4.7737500000000006</v>
      </c>
      <c r="BF153" s="42">
        <f t="shared" si="282"/>
        <v>4.7737500000000006</v>
      </c>
      <c r="BG153" s="42">
        <f t="shared" si="283"/>
        <v>4.7737500000000006</v>
      </c>
      <c r="BH153" s="42">
        <f t="shared" si="284"/>
        <v>4.7737500000000006</v>
      </c>
      <c r="BI153" s="75">
        <f t="shared" si="299"/>
        <v>19.095000000000002</v>
      </c>
      <c r="BJ153" s="21"/>
      <c r="BK153" s="21"/>
      <c r="BL153" s="21"/>
    </row>
    <row r="154" spans="1:64" s="25" customFormat="1">
      <c r="A154" s="3" t="str">
        <f t="shared" si="306"/>
        <v>7.000% Notes due 2028</v>
      </c>
      <c r="B154" s="41"/>
      <c r="C154" s="41"/>
      <c r="D154" s="41"/>
      <c r="E154" s="42"/>
      <c r="F154" s="75"/>
      <c r="G154" s="41"/>
      <c r="H154" s="41"/>
      <c r="I154" s="41"/>
      <c r="J154" s="42"/>
      <c r="K154" s="43"/>
      <c r="L154" s="41"/>
      <c r="M154" s="41"/>
      <c r="N154" s="41"/>
      <c r="O154" s="42"/>
      <c r="P154" s="75"/>
      <c r="Q154" s="42"/>
      <c r="R154" s="42"/>
      <c r="S154" s="42"/>
      <c r="T154" s="42"/>
      <c r="U154" s="75"/>
      <c r="V154" s="42"/>
      <c r="W154" s="42"/>
      <c r="X154" s="42"/>
      <c r="Y154" s="42"/>
      <c r="Z154" s="75"/>
      <c r="AA154" s="42"/>
      <c r="AB154" s="42">
        <f t="shared" si="307"/>
        <v>3.2375000000000003</v>
      </c>
      <c r="AC154" s="42">
        <f t="shared" si="307"/>
        <v>3.2375000000000003</v>
      </c>
      <c r="AD154" s="42">
        <f t="shared" si="308"/>
        <v>3.2375000000000003</v>
      </c>
      <c r="AE154" s="75">
        <f t="shared" si="267"/>
        <v>9.7125000000000004</v>
      </c>
      <c r="AF154" s="42">
        <f t="shared" si="309"/>
        <v>3.2375000000000003</v>
      </c>
      <c r="AG154" s="42">
        <f t="shared" si="309"/>
        <v>3.2375000000000003</v>
      </c>
      <c r="AH154" s="42">
        <f t="shared" si="309"/>
        <v>3.2375000000000003</v>
      </c>
      <c r="AI154" s="42">
        <f t="shared" si="309"/>
        <v>3.2375000000000003</v>
      </c>
      <c r="AJ154" s="75">
        <f t="shared" si="269"/>
        <v>12.950000000000001</v>
      </c>
      <c r="AK154" s="42">
        <f t="shared" si="310"/>
        <v>3.2375000000000003</v>
      </c>
      <c r="AL154" s="42">
        <f t="shared" si="310"/>
        <v>3.2375000000000003</v>
      </c>
      <c r="AM154" s="42">
        <f t="shared" si="310"/>
        <v>3.2375000000000003</v>
      </c>
      <c r="AN154" s="42">
        <f t="shared" si="310"/>
        <v>3.2375000000000003</v>
      </c>
      <c r="AO154" s="75">
        <f t="shared" si="271"/>
        <v>12.950000000000001</v>
      </c>
      <c r="AP154" s="42">
        <f t="shared" si="311"/>
        <v>3.2375000000000003</v>
      </c>
      <c r="AQ154" s="42">
        <f t="shared" si="311"/>
        <v>3.2375000000000003</v>
      </c>
      <c r="AR154" s="42">
        <f t="shared" si="311"/>
        <v>3.2375000000000003</v>
      </c>
      <c r="AS154" s="42">
        <f t="shared" si="311"/>
        <v>3.2375000000000003</v>
      </c>
      <c r="AT154" s="75">
        <f t="shared" si="273"/>
        <v>12.950000000000001</v>
      </c>
      <c r="AU154" s="42">
        <f t="shared" si="312"/>
        <v>3.2375000000000003</v>
      </c>
      <c r="AV154" s="42">
        <f t="shared" si="312"/>
        <v>3.2375000000000003</v>
      </c>
      <c r="AW154" s="42">
        <f t="shared" si="312"/>
        <v>3.2375000000000003</v>
      </c>
      <c r="AX154" s="42">
        <f t="shared" si="312"/>
        <v>3.2375000000000003</v>
      </c>
      <c r="AY154" s="75">
        <f t="shared" si="313"/>
        <v>12.950000000000001</v>
      </c>
      <c r="AZ154" s="42">
        <f t="shared" si="276"/>
        <v>3.2375000000000003</v>
      </c>
      <c r="BA154" s="42">
        <f t="shared" si="277"/>
        <v>3.2375000000000003</v>
      </c>
      <c r="BB154" s="42">
        <f t="shared" si="278"/>
        <v>3.2375000000000003</v>
      </c>
      <c r="BC154" s="42">
        <f t="shared" si="279"/>
        <v>3.2375000000000003</v>
      </c>
      <c r="BD154" s="75">
        <f t="shared" si="304"/>
        <v>12.950000000000001</v>
      </c>
      <c r="BE154" s="42">
        <f t="shared" si="281"/>
        <v>3.2375000000000003</v>
      </c>
      <c r="BF154" s="42">
        <f t="shared" si="282"/>
        <v>3.2375000000000003</v>
      </c>
      <c r="BG154" s="42">
        <f t="shared" si="283"/>
        <v>3.2375000000000003</v>
      </c>
      <c r="BH154" s="42">
        <f t="shared" si="284"/>
        <v>3.2375000000000003</v>
      </c>
      <c r="BI154" s="75">
        <f t="shared" si="299"/>
        <v>12.950000000000001</v>
      </c>
      <c r="BJ154" s="21"/>
      <c r="BK154" s="21"/>
      <c r="BL154" s="21"/>
    </row>
    <row r="155" spans="1:64" s="25" customFormat="1">
      <c r="A155" s="3" t="str">
        <f t="shared" si="306"/>
        <v>4.125% Notes due 2028</v>
      </c>
      <c r="B155" s="41"/>
      <c r="C155" s="41"/>
      <c r="D155" s="41"/>
      <c r="E155" s="42"/>
      <c r="F155" s="75"/>
      <c r="G155" s="41"/>
      <c r="H155" s="41"/>
      <c r="I155" s="41"/>
      <c r="J155" s="42"/>
      <c r="K155" s="43"/>
      <c r="L155" s="41"/>
      <c r="M155" s="41"/>
      <c r="N155" s="41"/>
      <c r="O155" s="42"/>
      <c r="P155" s="75"/>
      <c r="Q155" s="42"/>
      <c r="R155" s="42"/>
      <c r="S155" s="42"/>
      <c r="T155" s="42"/>
      <c r="U155" s="75"/>
      <c r="V155" s="42"/>
      <c r="W155" s="42"/>
      <c r="X155" s="42"/>
      <c r="Y155" s="42"/>
      <c r="Z155" s="75"/>
      <c r="AA155" s="42"/>
      <c r="AB155" s="42">
        <f t="shared" si="307"/>
        <v>30.9375</v>
      </c>
      <c r="AC155" s="42">
        <f t="shared" si="307"/>
        <v>30.9375</v>
      </c>
      <c r="AD155" s="42">
        <f t="shared" si="308"/>
        <v>30.9375</v>
      </c>
      <c r="AE155" s="75">
        <f t="shared" si="267"/>
        <v>92.8125</v>
      </c>
      <c r="AF155" s="42">
        <f t="shared" si="309"/>
        <v>30.9375</v>
      </c>
      <c r="AG155" s="42">
        <f t="shared" si="309"/>
        <v>30.9375</v>
      </c>
      <c r="AH155" s="42">
        <f t="shared" si="309"/>
        <v>30.9375</v>
      </c>
      <c r="AI155" s="42">
        <f t="shared" si="309"/>
        <v>30.9375</v>
      </c>
      <c r="AJ155" s="75">
        <f t="shared" si="269"/>
        <v>123.75</v>
      </c>
      <c r="AK155" s="42">
        <f t="shared" si="310"/>
        <v>30.9375</v>
      </c>
      <c r="AL155" s="42">
        <f t="shared" si="310"/>
        <v>30.9375</v>
      </c>
      <c r="AM155" s="42">
        <f t="shared" si="310"/>
        <v>30.9375</v>
      </c>
      <c r="AN155" s="42">
        <f t="shared" si="310"/>
        <v>30.9375</v>
      </c>
      <c r="AO155" s="75">
        <f t="shared" si="271"/>
        <v>123.75</v>
      </c>
      <c r="AP155" s="42">
        <f t="shared" si="311"/>
        <v>30.9375</v>
      </c>
      <c r="AQ155" s="42">
        <f t="shared" si="311"/>
        <v>30.9375</v>
      </c>
      <c r="AR155" s="42">
        <f t="shared" si="311"/>
        <v>30.9375</v>
      </c>
      <c r="AS155" s="42">
        <f t="shared" si="311"/>
        <v>30.9375</v>
      </c>
      <c r="AT155" s="75">
        <f t="shared" si="273"/>
        <v>123.75</v>
      </c>
      <c r="AU155" s="42">
        <f t="shared" si="312"/>
        <v>30.9375</v>
      </c>
      <c r="AV155" s="42">
        <f t="shared" si="312"/>
        <v>30.9375</v>
      </c>
      <c r="AW155" s="42">
        <f t="shared" si="312"/>
        <v>30.9375</v>
      </c>
      <c r="AX155" s="42">
        <f t="shared" si="312"/>
        <v>30.9375</v>
      </c>
      <c r="AY155" s="75">
        <f t="shared" si="313"/>
        <v>123.75</v>
      </c>
      <c r="AZ155" s="42">
        <f t="shared" si="276"/>
        <v>30.9375</v>
      </c>
      <c r="BA155" s="42">
        <f t="shared" si="277"/>
        <v>30.9375</v>
      </c>
      <c r="BB155" s="42">
        <f t="shared" si="278"/>
        <v>30.9375</v>
      </c>
      <c r="BC155" s="42">
        <f t="shared" si="279"/>
        <v>30.9375</v>
      </c>
      <c r="BD155" s="75">
        <f t="shared" si="304"/>
        <v>123.75</v>
      </c>
      <c r="BE155" s="42">
        <f t="shared" si="281"/>
        <v>30.9375</v>
      </c>
      <c r="BF155" s="42">
        <f t="shared" si="282"/>
        <v>30.9375</v>
      </c>
      <c r="BG155" s="42">
        <f t="shared" si="283"/>
        <v>30.9375</v>
      </c>
      <c r="BH155" s="42">
        <f t="shared" si="284"/>
        <v>30.9375</v>
      </c>
      <c r="BI155" s="75">
        <f t="shared" si="299"/>
        <v>123.75</v>
      </c>
      <c r="BJ155" s="21"/>
      <c r="BK155" s="21"/>
      <c r="BL155" s="21"/>
    </row>
    <row r="156" spans="1:64" s="25" customFormat="1">
      <c r="A156" s="525" t="s">
        <v>477</v>
      </c>
      <c r="B156" s="41"/>
      <c r="C156" s="41"/>
      <c r="D156" s="41"/>
      <c r="E156" s="42"/>
      <c r="F156" s="75"/>
      <c r="G156" s="41"/>
      <c r="H156" s="41"/>
      <c r="I156" s="41"/>
      <c r="J156" s="42"/>
      <c r="K156" s="43"/>
      <c r="L156" s="41"/>
      <c r="M156" s="41"/>
      <c r="N156" s="41"/>
      <c r="O156" s="42"/>
      <c r="P156" s="75"/>
      <c r="Q156" s="42"/>
      <c r="R156" s="42"/>
      <c r="S156" s="42"/>
      <c r="T156" s="42"/>
      <c r="U156" s="75"/>
      <c r="V156" s="42"/>
      <c r="W156" s="42"/>
      <c r="X156" s="42"/>
      <c r="Y156" s="42"/>
      <c r="Z156" s="75"/>
      <c r="AA156" s="42"/>
      <c r="AB156" s="42"/>
      <c r="AC156" s="42"/>
      <c r="AD156" s="42"/>
      <c r="AE156" s="75"/>
      <c r="AF156" s="42"/>
      <c r="AG156" s="42"/>
      <c r="AH156" s="42"/>
      <c r="AI156" s="42"/>
      <c r="AJ156" s="75"/>
      <c r="AK156" s="42"/>
      <c r="AL156" s="42"/>
      <c r="AM156" s="42"/>
      <c r="AN156" s="42"/>
      <c r="AO156" s="75"/>
      <c r="AP156" s="42"/>
      <c r="AQ156" s="42"/>
      <c r="AR156" s="42"/>
      <c r="AS156" s="42">
        <f t="shared" ref="AS156:AS190" si="314">+AVERAGE(AS26,AR26)*AS94/4</f>
        <v>7.1875</v>
      </c>
      <c r="AT156" s="75">
        <f t="shared" ref="AT156" si="315">SUM(AP156:AS156)</f>
        <v>7.1875</v>
      </c>
      <c r="AU156" s="42">
        <f t="shared" si="312"/>
        <v>7.1875</v>
      </c>
      <c r="AV156" s="42">
        <f t="shared" si="312"/>
        <v>7.1875</v>
      </c>
      <c r="AW156" s="42">
        <f t="shared" si="312"/>
        <v>7.1875</v>
      </c>
      <c r="AX156" s="42">
        <f t="shared" si="312"/>
        <v>7.1875</v>
      </c>
      <c r="AY156" s="75">
        <f t="shared" ref="AY156" si="316">SUM(AU156:AX156)</f>
        <v>28.75</v>
      </c>
      <c r="AZ156" s="42">
        <f t="shared" si="276"/>
        <v>7.1875</v>
      </c>
      <c r="BA156" s="42">
        <f t="shared" si="277"/>
        <v>7.1875</v>
      </c>
      <c r="BB156" s="42">
        <f t="shared" si="278"/>
        <v>7.1875</v>
      </c>
      <c r="BC156" s="42">
        <f t="shared" si="279"/>
        <v>7.1875</v>
      </c>
      <c r="BD156" s="75">
        <f t="shared" ref="BD156" si="317">SUM(AZ156:BC156)</f>
        <v>28.75</v>
      </c>
      <c r="BE156" s="42">
        <f t="shared" si="281"/>
        <v>7.1875</v>
      </c>
      <c r="BF156" s="42">
        <f t="shared" si="282"/>
        <v>7.1875</v>
      </c>
      <c r="BG156" s="42">
        <f t="shared" si="283"/>
        <v>7.1875</v>
      </c>
      <c r="BH156" s="42">
        <f t="shared" si="284"/>
        <v>7.1875</v>
      </c>
      <c r="BI156" s="75">
        <f t="shared" si="299"/>
        <v>28.75</v>
      </c>
      <c r="BJ156" s="21"/>
      <c r="BK156" s="21"/>
      <c r="BL156" s="21"/>
    </row>
    <row r="157" spans="1:64" s="25" customFormat="1">
      <c r="A157" s="3" t="str">
        <f>A95</f>
        <v>7.500% Notes due 2029</v>
      </c>
      <c r="B157" s="41"/>
      <c r="C157" s="41"/>
      <c r="D157" s="41"/>
      <c r="E157" s="42"/>
      <c r="F157" s="75"/>
      <c r="G157" s="41"/>
      <c r="H157" s="41"/>
      <c r="I157" s="41"/>
      <c r="J157" s="42"/>
      <c r="K157" s="43"/>
      <c r="L157" s="41"/>
      <c r="M157" s="41"/>
      <c r="N157" s="41"/>
      <c r="O157" s="42"/>
      <c r="P157" s="75"/>
      <c r="Q157" s="42"/>
      <c r="R157" s="42"/>
      <c r="S157" s="42"/>
      <c r="T157" s="42"/>
      <c r="U157" s="75"/>
      <c r="V157" s="42"/>
      <c r="W157" s="42"/>
      <c r="X157" s="42"/>
      <c r="Y157" s="42"/>
      <c r="Z157" s="75"/>
      <c r="AA157" s="42"/>
      <c r="AB157" s="42">
        <f t="shared" ref="AB157:AC159" si="318">+AB27*AB95/4</f>
        <v>10.3125</v>
      </c>
      <c r="AC157" s="42">
        <f t="shared" si="318"/>
        <v>10.3125</v>
      </c>
      <c r="AD157" s="42">
        <f>+AVERAGE(AD27,AC27)*AD95/4</f>
        <v>10.3125</v>
      </c>
      <c r="AE157" s="75">
        <f t="shared" si="267"/>
        <v>30.9375</v>
      </c>
      <c r="AF157" s="42">
        <f t="shared" ref="AF157:AI159" si="319">+AVERAGE(AF27,AE27)*AF95/4</f>
        <v>10.3125</v>
      </c>
      <c r="AG157" s="42">
        <f t="shared" si="319"/>
        <v>10.3125</v>
      </c>
      <c r="AH157" s="42">
        <f t="shared" si="319"/>
        <v>10.3125</v>
      </c>
      <c r="AI157" s="42">
        <f t="shared" si="319"/>
        <v>9.0374999999999996</v>
      </c>
      <c r="AJ157" s="75">
        <f t="shared" si="269"/>
        <v>39.975000000000001</v>
      </c>
      <c r="AK157" s="42">
        <f t="shared" ref="AK157:AN159" si="320">+AVERAGE(AK27,AJ27)*AK95/4</f>
        <v>7.7624999999999993</v>
      </c>
      <c r="AL157" s="42">
        <f t="shared" si="320"/>
        <v>7.7624999999999993</v>
      </c>
      <c r="AM157" s="42">
        <f t="shared" si="320"/>
        <v>7.7624999999999993</v>
      </c>
      <c r="AN157" s="42">
        <f t="shared" si="320"/>
        <v>7.7624999999999993</v>
      </c>
      <c r="AO157" s="75">
        <f t="shared" si="271"/>
        <v>31.049999999999997</v>
      </c>
      <c r="AP157" s="42">
        <f t="shared" ref="AP157:AR159" si="321">+AVERAGE(AP27,AO27)*AP95/4</f>
        <v>7.7624999999999993</v>
      </c>
      <c r="AQ157" s="42">
        <f t="shared" si="321"/>
        <v>7.7624999999999993</v>
      </c>
      <c r="AR157" s="42">
        <f t="shared" si="321"/>
        <v>7.7624999999999993</v>
      </c>
      <c r="AS157" s="42">
        <f t="shared" si="314"/>
        <v>7.7624999999999993</v>
      </c>
      <c r="AT157" s="75">
        <f t="shared" si="273"/>
        <v>31.049999999999997</v>
      </c>
      <c r="AU157" s="42">
        <f t="shared" si="312"/>
        <v>7.7624999999999993</v>
      </c>
      <c r="AV157" s="42">
        <f t="shared" si="312"/>
        <v>7.7624999999999993</v>
      </c>
      <c r="AW157" s="42">
        <f t="shared" si="312"/>
        <v>7.7624999999999993</v>
      </c>
      <c r="AX157" s="42">
        <f t="shared" si="312"/>
        <v>7.7624999999999993</v>
      </c>
      <c r="AY157" s="75">
        <f t="shared" si="313"/>
        <v>31.049999999999997</v>
      </c>
      <c r="AZ157" s="42">
        <f t="shared" si="276"/>
        <v>7.7624999999999993</v>
      </c>
      <c r="BA157" s="42">
        <f t="shared" si="277"/>
        <v>7.7624999999999993</v>
      </c>
      <c r="BB157" s="42">
        <f t="shared" si="278"/>
        <v>7.7624999999999993</v>
      </c>
      <c r="BC157" s="42">
        <f t="shared" si="279"/>
        <v>7.7624999999999993</v>
      </c>
      <c r="BD157" s="75">
        <f t="shared" ref="BD157:BD159" si="322">SUM(AZ157:BC157)</f>
        <v>31.049999999999997</v>
      </c>
      <c r="BE157" s="42">
        <f t="shared" si="281"/>
        <v>7.7624999999999993</v>
      </c>
      <c r="BF157" s="42">
        <f t="shared" si="282"/>
        <v>7.7624999999999993</v>
      </c>
      <c r="BG157" s="42">
        <f t="shared" si="283"/>
        <v>7.7624999999999993</v>
      </c>
      <c r="BH157" s="42">
        <f t="shared" si="284"/>
        <v>7.7624999999999993</v>
      </c>
      <c r="BI157" s="75">
        <f t="shared" ref="BI157:BI159" si="323">SUM(BE157:BH157)</f>
        <v>31.049999999999997</v>
      </c>
      <c r="BJ157" s="21"/>
      <c r="BK157" s="21"/>
      <c r="BL157" s="21"/>
    </row>
    <row r="158" spans="1:64" s="25" customFormat="1">
      <c r="A158" s="3" t="str">
        <f>A96</f>
        <v>2.150% Notes due 2030 (€500 million Principal Value)</v>
      </c>
      <c r="B158" s="41"/>
      <c r="C158" s="41"/>
      <c r="D158" s="41"/>
      <c r="E158" s="42"/>
      <c r="F158" s="75"/>
      <c r="G158" s="41"/>
      <c r="H158" s="41"/>
      <c r="I158" s="41"/>
      <c r="J158" s="42"/>
      <c r="K158" s="43"/>
      <c r="L158" s="41"/>
      <c r="M158" s="41"/>
      <c r="N158" s="41"/>
      <c r="O158" s="42"/>
      <c r="P158" s="75"/>
      <c r="Q158" s="42"/>
      <c r="R158" s="42"/>
      <c r="S158" s="42"/>
      <c r="T158" s="42"/>
      <c r="U158" s="75"/>
      <c r="V158" s="42"/>
      <c r="W158" s="42"/>
      <c r="X158" s="42"/>
      <c r="Y158" s="42"/>
      <c r="Z158" s="75"/>
      <c r="AA158" s="42"/>
      <c r="AB158" s="42">
        <f t="shared" si="318"/>
        <v>3.0153749999999997</v>
      </c>
      <c r="AC158" s="42">
        <f t="shared" si="318"/>
        <v>3.0153749999999997</v>
      </c>
      <c r="AD158" s="42">
        <f>+AVERAGE(AD28,AC28)*AD96/4</f>
        <v>3.0153749999999997</v>
      </c>
      <c r="AE158" s="75">
        <f t="shared" si="267"/>
        <v>9.046125</v>
      </c>
      <c r="AF158" s="42">
        <f t="shared" si="319"/>
        <v>3.0933124999999997</v>
      </c>
      <c r="AG158" s="42">
        <f t="shared" si="319"/>
        <v>3.1927499999999998</v>
      </c>
      <c r="AH158" s="42">
        <f t="shared" si="319"/>
        <v>3.1793124999999995</v>
      </c>
      <c r="AI158" s="42">
        <f t="shared" si="319"/>
        <v>3.0906249999999997</v>
      </c>
      <c r="AJ158" s="75">
        <f t="shared" si="269"/>
        <v>12.555999999999999</v>
      </c>
      <c r="AK158" s="42">
        <f t="shared" si="320"/>
        <v>2.9965624999999996</v>
      </c>
      <c r="AL158" s="42">
        <f t="shared" si="320"/>
        <v>2.8917499999999996</v>
      </c>
      <c r="AM158" s="42">
        <f t="shared" si="320"/>
        <v>2.7251249999999998</v>
      </c>
      <c r="AN158" s="42">
        <f t="shared" si="320"/>
        <v>2.7385624999999996</v>
      </c>
      <c r="AO158" s="75">
        <f t="shared" si="271"/>
        <v>11.352</v>
      </c>
      <c r="AP158" s="42">
        <f t="shared" si="321"/>
        <v>2.87025</v>
      </c>
      <c r="AQ158" s="42">
        <f t="shared" si="321"/>
        <v>2.9051874999999998</v>
      </c>
      <c r="AR158" s="42">
        <f t="shared" si="321"/>
        <v>2.8944374999999996</v>
      </c>
      <c r="AS158" s="42">
        <f t="shared" si="314"/>
        <v>2.9051874999999998</v>
      </c>
      <c r="AT158" s="75">
        <f t="shared" si="273"/>
        <v>11.5750625</v>
      </c>
      <c r="AU158" s="42">
        <f t="shared" si="312"/>
        <v>2.9293749999999998</v>
      </c>
      <c r="AV158" s="42">
        <f t="shared" si="312"/>
        <v>2.8944374999999996</v>
      </c>
      <c r="AW158" s="42">
        <f t="shared" si="312"/>
        <v>2.9428124999999996</v>
      </c>
      <c r="AX158" s="42">
        <f t="shared" si="312"/>
        <v>2.9024999999999999</v>
      </c>
      <c r="AY158" s="75">
        <f t="shared" si="313"/>
        <v>11.669124999999998</v>
      </c>
      <c r="AZ158" s="42">
        <f t="shared" si="276"/>
        <v>2.8514374999999998</v>
      </c>
      <c r="BA158" s="42">
        <f t="shared" si="277"/>
        <v>3.0126874999999997</v>
      </c>
      <c r="BB158" s="42">
        <f t="shared" si="278"/>
        <v>3.1309374999999999</v>
      </c>
      <c r="BC158" s="42">
        <f t="shared" si="279"/>
        <v>3.1497499999999996</v>
      </c>
      <c r="BD158" s="75">
        <f t="shared" si="322"/>
        <v>12.144812499999999</v>
      </c>
      <c r="BE158" s="42">
        <f t="shared" si="281"/>
        <v>3.1363124999999998</v>
      </c>
      <c r="BF158" s="42">
        <f t="shared" si="282"/>
        <v>3.0852499999999998</v>
      </c>
      <c r="BG158" s="42">
        <f t="shared" si="283"/>
        <v>3.0529999999999999</v>
      </c>
      <c r="BH158" s="42">
        <f t="shared" si="284"/>
        <v>3.0529999999999999</v>
      </c>
      <c r="BI158" s="75">
        <f t="shared" si="323"/>
        <v>12.327562499999999</v>
      </c>
      <c r="BJ158" s="21"/>
      <c r="BK158" s="21"/>
      <c r="BL158" s="21"/>
    </row>
    <row r="159" spans="1:64" s="25" customFormat="1">
      <c r="A159" s="3" t="str">
        <f>A97</f>
        <v>2.250% Notes due 2030</v>
      </c>
      <c r="B159" s="41"/>
      <c r="C159" s="41"/>
      <c r="D159" s="41"/>
      <c r="E159" s="42"/>
      <c r="F159" s="75"/>
      <c r="G159" s="41"/>
      <c r="H159" s="41"/>
      <c r="I159" s="41"/>
      <c r="J159" s="42"/>
      <c r="K159" s="43"/>
      <c r="L159" s="41"/>
      <c r="M159" s="41"/>
      <c r="N159" s="41"/>
      <c r="O159" s="42"/>
      <c r="P159" s="75"/>
      <c r="Q159" s="42"/>
      <c r="R159" s="42"/>
      <c r="S159" s="42"/>
      <c r="T159" s="42"/>
      <c r="U159" s="75"/>
      <c r="V159" s="42"/>
      <c r="W159" s="42"/>
      <c r="X159" s="42"/>
      <c r="Y159" s="42"/>
      <c r="Z159" s="75"/>
      <c r="AA159" s="42"/>
      <c r="AB159" s="42">
        <f t="shared" si="318"/>
        <v>5.625</v>
      </c>
      <c r="AC159" s="42">
        <f t="shared" si="318"/>
        <v>5.625</v>
      </c>
      <c r="AD159" s="42">
        <f>+AVERAGE(AD29,AC29)*AD97/4</f>
        <v>5.625</v>
      </c>
      <c r="AE159" s="75">
        <f t="shared" si="267"/>
        <v>16.875</v>
      </c>
      <c r="AF159" s="42">
        <f t="shared" si="319"/>
        <v>5.625</v>
      </c>
      <c r="AG159" s="42">
        <f t="shared" si="319"/>
        <v>5.625</v>
      </c>
      <c r="AH159" s="42">
        <f t="shared" si="319"/>
        <v>5.625</v>
      </c>
      <c r="AI159" s="42">
        <f t="shared" si="319"/>
        <v>5.625</v>
      </c>
      <c r="AJ159" s="75">
        <f t="shared" si="269"/>
        <v>22.5</v>
      </c>
      <c r="AK159" s="42">
        <f t="shared" si="320"/>
        <v>5.625</v>
      </c>
      <c r="AL159" s="42">
        <f t="shared" si="320"/>
        <v>5.625</v>
      </c>
      <c r="AM159" s="42">
        <f t="shared" si="320"/>
        <v>5.625</v>
      </c>
      <c r="AN159" s="42">
        <f t="shared" si="320"/>
        <v>5.625</v>
      </c>
      <c r="AO159" s="75">
        <f t="shared" si="271"/>
        <v>22.5</v>
      </c>
      <c r="AP159" s="42">
        <f t="shared" si="321"/>
        <v>5.625</v>
      </c>
      <c r="AQ159" s="42">
        <f t="shared" si="321"/>
        <v>5.625</v>
      </c>
      <c r="AR159" s="42">
        <f t="shared" si="321"/>
        <v>5.625</v>
      </c>
      <c r="AS159" s="42">
        <f t="shared" si="314"/>
        <v>5.625</v>
      </c>
      <c r="AT159" s="75">
        <f t="shared" si="273"/>
        <v>22.5</v>
      </c>
      <c r="AU159" s="42">
        <f t="shared" si="312"/>
        <v>5.625</v>
      </c>
      <c r="AV159" s="42">
        <f t="shared" si="312"/>
        <v>5.625</v>
      </c>
      <c r="AW159" s="42">
        <f t="shared" si="312"/>
        <v>5.625</v>
      </c>
      <c r="AX159" s="42">
        <f t="shared" si="312"/>
        <v>5.625</v>
      </c>
      <c r="AY159" s="75">
        <f t="shared" si="313"/>
        <v>22.5</v>
      </c>
      <c r="AZ159" s="42">
        <f t="shared" si="276"/>
        <v>5.625</v>
      </c>
      <c r="BA159" s="42">
        <f t="shared" si="277"/>
        <v>5.625</v>
      </c>
      <c r="BB159" s="42">
        <f t="shared" si="278"/>
        <v>5.625</v>
      </c>
      <c r="BC159" s="42">
        <f t="shared" si="279"/>
        <v>5.625</v>
      </c>
      <c r="BD159" s="75">
        <f t="shared" si="322"/>
        <v>22.5</v>
      </c>
      <c r="BE159" s="42">
        <f t="shared" si="281"/>
        <v>5.625</v>
      </c>
      <c r="BF159" s="42">
        <f t="shared" si="282"/>
        <v>5.625</v>
      </c>
      <c r="BG159" s="42">
        <f t="shared" si="283"/>
        <v>5.625</v>
      </c>
      <c r="BH159" s="42">
        <f t="shared" si="284"/>
        <v>5.625</v>
      </c>
      <c r="BI159" s="75">
        <f t="shared" si="323"/>
        <v>22.5</v>
      </c>
      <c r="BJ159" s="21"/>
      <c r="BK159" s="21"/>
      <c r="BL159" s="21"/>
    </row>
    <row r="160" spans="1:64" s="25" customFormat="1">
      <c r="A160" s="525" t="s">
        <v>476</v>
      </c>
      <c r="B160" s="41"/>
      <c r="C160" s="41"/>
      <c r="D160" s="41"/>
      <c r="E160" s="42"/>
      <c r="F160" s="75"/>
      <c r="G160" s="41"/>
      <c r="H160" s="41"/>
      <c r="I160" s="41"/>
      <c r="J160" s="42"/>
      <c r="K160" s="43"/>
      <c r="L160" s="41"/>
      <c r="M160" s="41"/>
      <c r="N160" s="41"/>
      <c r="O160" s="42"/>
      <c r="P160" s="75"/>
      <c r="Q160" s="42"/>
      <c r="R160" s="42"/>
      <c r="S160" s="42"/>
      <c r="T160" s="42"/>
      <c r="U160" s="75"/>
      <c r="V160" s="42"/>
      <c r="W160" s="42"/>
      <c r="X160" s="42"/>
      <c r="Y160" s="42"/>
      <c r="Z160" s="75"/>
      <c r="AA160" s="42"/>
      <c r="AB160" s="42"/>
      <c r="AC160" s="42"/>
      <c r="AD160" s="42"/>
      <c r="AE160" s="75"/>
      <c r="AF160" s="42"/>
      <c r="AG160" s="42"/>
      <c r="AH160" s="42"/>
      <c r="AI160" s="42"/>
      <c r="AJ160" s="75"/>
      <c r="AK160" s="42"/>
      <c r="AL160" s="42"/>
      <c r="AM160" s="42"/>
      <c r="AN160" s="42"/>
      <c r="AO160" s="75"/>
      <c r="AP160" s="42"/>
      <c r="AQ160" s="42"/>
      <c r="AR160" s="42"/>
      <c r="AS160" s="42">
        <f t="shared" si="314"/>
        <v>15</v>
      </c>
      <c r="AT160" s="75">
        <f t="shared" ref="AT160" si="324">SUM(AP160:AS160)</f>
        <v>15</v>
      </c>
      <c r="AU160" s="42">
        <f t="shared" si="312"/>
        <v>15</v>
      </c>
      <c r="AV160" s="42">
        <f t="shared" si="312"/>
        <v>15</v>
      </c>
      <c r="AW160" s="42">
        <f t="shared" si="312"/>
        <v>15</v>
      </c>
      <c r="AX160" s="42">
        <f t="shared" si="312"/>
        <v>15</v>
      </c>
      <c r="AY160" s="75">
        <f t="shared" ref="AY160" si="325">SUM(AU160:AX160)</f>
        <v>60</v>
      </c>
      <c r="AZ160" s="42">
        <f t="shared" si="276"/>
        <v>15</v>
      </c>
      <c r="BA160" s="42">
        <f t="shared" si="277"/>
        <v>15</v>
      </c>
      <c r="BB160" s="42">
        <f t="shared" si="278"/>
        <v>15</v>
      </c>
      <c r="BC160" s="42">
        <f t="shared" si="279"/>
        <v>15</v>
      </c>
      <c r="BD160" s="75">
        <f t="shared" ref="BD160:BD163" si="326">SUM(AZ160:BC160)</f>
        <v>60</v>
      </c>
      <c r="BE160" s="42">
        <f t="shared" si="281"/>
        <v>15</v>
      </c>
      <c r="BF160" s="42">
        <f t="shared" si="282"/>
        <v>15</v>
      </c>
      <c r="BG160" s="42">
        <f t="shared" si="283"/>
        <v>15</v>
      </c>
      <c r="BH160" s="42">
        <f t="shared" si="284"/>
        <v>15</v>
      </c>
      <c r="BI160" s="75">
        <f t="shared" ref="BI160:BI163" si="327">SUM(BE160:BH160)</f>
        <v>60</v>
      </c>
      <c r="BJ160" s="21"/>
      <c r="BK160" s="21"/>
      <c r="BL160" s="21"/>
    </row>
    <row r="161" spans="1:64" s="25" customFormat="1">
      <c r="A161" s="3" t="str">
        <f>A99</f>
        <v>1.900% Notes due 2031</v>
      </c>
      <c r="B161" s="41"/>
      <c r="C161" s="41"/>
      <c r="D161" s="41"/>
      <c r="E161" s="42"/>
      <c r="F161" s="75"/>
      <c r="G161" s="41"/>
      <c r="H161" s="41"/>
      <c r="I161" s="41"/>
      <c r="J161" s="42"/>
      <c r="K161" s="43"/>
      <c r="L161" s="41"/>
      <c r="M161" s="41"/>
      <c r="N161" s="41"/>
      <c r="O161" s="42"/>
      <c r="P161" s="75"/>
      <c r="Q161" s="42"/>
      <c r="R161" s="42"/>
      <c r="S161" s="42"/>
      <c r="T161" s="42"/>
      <c r="U161" s="75"/>
      <c r="V161" s="42"/>
      <c r="W161" s="42"/>
      <c r="X161" s="42"/>
      <c r="Y161" s="42"/>
      <c r="Z161" s="75"/>
      <c r="AA161" s="42"/>
      <c r="AB161" s="42">
        <f>+AB31*AB99/4</f>
        <v>0</v>
      </c>
      <c r="AC161" s="42">
        <f>+AC31*AC99/4</f>
        <v>0</v>
      </c>
      <c r="AD161" s="42">
        <f>+AVERAGE(AD31,AC31)*AD99/4</f>
        <v>0</v>
      </c>
      <c r="AE161" s="75">
        <f t="shared" ref="AE161" si="328">SUM(AA161:AD161)</f>
        <v>0</v>
      </c>
      <c r="AF161" s="42">
        <f t="shared" ref="AF161:AI162" si="329">+AVERAGE(AF31,AE31)*AF99/4</f>
        <v>0</v>
      </c>
      <c r="AG161" s="42">
        <f t="shared" si="329"/>
        <v>0</v>
      </c>
      <c r="AH161" s="42">
        <f t="shared" si="329"/>
        <v>2.375</v>
      </c>
      <c r="AI161" s="42">
        <f t="shared" si="329"/>
        <v>4.75</v>
      </c>
      <c r="AJ161" s="75">
        <f t="shared" ref="AJ161" si="330">SUM(AF161:AI161)</f>
        <v>7.125</v>
      </c>
      <c r="AK161" s="42">
        <f t="shared" ref="AK161:AN163" si="331">+AVERAGE(AK31,AJ31)*AK99/4</f>
        <v>4.75</v>
      </c>
      <c r="AL161" s="42">
        <f t="shared" si="331"/>
        <v>4.75</v>
      </c>
      <c r="AM161" s="42">
        <f t="shared" si="331"/>
        <v>4.75</v>
      </c>
      <c r="AN161" s="42">
        <f t="shared" si="331"/>
        <v>4.75</v>
      </c>
      <c r="AO161" s="75">
        <f t="shared" ref="AO161" si="332">SUM(AK161:AN161)</f>
        <v>19</v>
      </c>
      <c r="AP161" s="42">
        <f t="shared" ref="AP161:AR163" si="333">+AVERAGE(AP31,AO31)*AP99/4</f>
        <v>4.75</v>
      </c>
      <c r="AQ161" s="42">
        <f t="shared" si="333"/>
        <v>4.75</v>
      </c>
      <c r="AR161" s="42">
        <f t="shared" si="333"/>
        <v>4.75</v>
      </c>
      <c r="AS161" s="42">
        <f t="shared" si="314"/>
        <v>4.75</v>
      </c>
      <c r="AT161" s="75">
        <f t="shared" ref="AT161:AT162" si="334">SUM(AP161:AS161)</f>
        <v>19</v>
      </c>
      <c r="AU161" s="42">
        <f t="shared" si="312"/>
        <v>4.75</v>
      </c>
      <c r="AV161" s="42">
        <f t="shared" si="312"/>
        <v>4.75</v>
      </c>
      <c r="AW161" s="42">
        <f t="shared" si="312"/>
        <v>4.75</v>
      </c>
      <c r="AX161" s="42">
        <f t="shared" si="312"/>
        <v>4.75</v>
      </c>
      <c r="AY161" s="75">
        <f t="shared" ref="AY161:AY163" si="335">SUM(AU161:AX161)</f>
        <v>19</v>
      </c>
      <c r="AZ161" s="42">
        <f t="shared" si="276"/>
        <v>4.75</v>
      </c>
      <c r="BA161" s="42">
        <f t="shared" si="277"/>
        <v>4.75</v>
      </c>
      <c r="BB161" s="42">
        <f t="shared" si="278"/>
        <v>4.75</v>
      </c>
      <c r="BC161" s="42">
        <f t="shared" si="279"/>
        <v>4.75</v>
      </c>
      <c r="BD161" s="75">
        <f t="shared" si="326"/>
        <v>19</v>
      </c>
      <c r="BE161" s="42">
        <f t="shared" si="281"/>
        <v>4.75</v>
      </c>
      <c r="BF161" s="42">
        <f t="shared" si="282"/>
        <v>4.75</v>
      </c>
      <c r="BG161" s="42">
        <f t="shared" si="283"/>
        <v>4.75</v>
      </c>
      <c r="BH161" s="42">
        <f t="shared" si="284"/>
        <v>4.75</v>
      </c>
      <c r="BI161" s="75">
        <f t="shared" si="327"/>
        <v>19</v>
      </c>
      <c r="BJ161" s="21"/>
      <c r="BK161" s="21"/>
      <c r="BL161" s="21"/>
    </row>
    <row r="162" spans="1:64" s="25" customFormat="1">
      <c r="A162" s="481" t="s">
        <v>426</v>
      </c>
      <c r="B162" s="41"/>
      <c r="C162" s="41"/>
      <c r="D162" s="41"/>
      <c r="E162" s="42"/>
      <c r="F162" s="75"/>
      <c r="G162" s="41"/>
      <c r="H162" s="41"/>
      <c r="I162" s="41"/>
      <c r="J162" s="42"/>
      <c r="K162" s="43"/>
      <c r="L162" s="41"/>
      <c r="M162" s="41"/>
      <c r="N162" s="41"/>
      <c r="O162" s="42"/>
      <c r="P162" s="75"/>
      <c r="Q162" s="42"/>
      <c r="R162" s="42"/>
      <c r="S162" s="42"/>
      <c r="T162" s="42"/>
      <c r="U162" s="75"/>
      <c r="V162" s="42"/>
      <c r="W162" s="42"/>
      <c r="X162" s="42"/>
      <c r="Y162" s="42"/>
      <c r="Z162" s="75"/>
      <c r="AA162" s="42"/>
      <c r="AB162" s="42">
        <f>+AB32*AB100/4</f>
        <v>0</v>
      </c>
      <c r="AC162" s="42">
        <f>+AC32*AC100/4</f>
        <v>0</v>
      </c>
      <c r="AD162" s="42">
        <f>+AVERAGE(AD32,AC32)*AD100/4</f>
        <v>0</v>
      </c>
      <c r="AE162" s="75">
        <f t="shared" ref="AE162" si="336">SUM(AA162:AD162)</f>
        <v>0</v>
      </c>
      <c r="AF162" s="42">
        <f t="shared" si="329"/>
        <v>0</v>
      </c>
      <c r="AG162" s="42">
        <f t="shared" si="329"/>
        <v>0</v>
      </c>
      <c r="AH162" s="42">
        <f t="shared" si="329"/>
        <v>0</v>
      </c>
      <c r="AI162" s="42">
        <f t="shared" si="329"/>
        <v>2.96875</v>
      </c>
      <c r="AJ162" s="75">
        <f t="shared" ref="AJ162" si="337">SUM(AF162:AI162)</f>
        <v>2.96875</v>
      </c>
      <c r="AK162" s="42">
        <f t="shared" si="331"/>
        <v>5.9375</v>
      </c>
      <c r="AL162" s="42">
        <f t="shared" si="331"/>
        <v>5.9375</v>
      </c>
      <c r="AM162" s="42">
        <f t="shared" si="331"/>
        <v>5.9375</v>
      </c>
      <c r="AN162" s="42">
        <f t="shared" si="331"/>
        <v>5.9375</v>
      </c>
      <c r="AO162" s="75">
        <f t="shared" ref="AO162" si="338">SUM(AK162:AN162)</f>
        <v>23.75</v>
      </c>
      <c r="AP162" s="42">
        <f t="shared" si="333"/>
        <v>5.9375</v>
      </c>
      <c r="AQ162" s="42">
        <f t="shared" si="333"/>
        <v>5.9375</v>
      </c>
      <c r="AR162" s="42">
        <f t="shared" si="333"/>
        <v>5.9375</v>
      </c>
      <c r="AS162" s="42">
        <f t="shared" si="314"/>
        <v>5.9375</v>
      </c>
      <c r="AT162" s="75">
        <f t="shared" si="334"/>
        <v>23.75</v>
      </c>
      <c r="AU162" s="42">
        <f t="shared" si="312"/>
        <v>5.9375</v>
      </c>
      <c r="AV162" s="42">
        <f t="shared" si="312"/>
        <v>5.9375</v>
      </c>
      <c r="AW162" s="42">
        <f t="shared" si="312"/>
        <v>5.9375</v>
      </c>
      <c r="AX162" s="42">
        <f t="shared" si="312"/>
        <v>5.9375</v>
      </c>
      <c r="AY162" s="75">
        <f t="shared" si="335"/>
        <v>23.75</v>
      </c>
      <c r="AZ162" s="42">
        <f t="shared" si="276"/>
        <v>5.9375</v>
      </c>
      <c r="BA162" s="42">
        <f t="shared" si="277"/>
        <v>5.9375</v>
      </c>
      <c r="BB162" s="42">
        <f t="shared" si="278"/>
        <v>5.9375</v>
      </c>
      <c r="BC162" s="42">
        <f t="shared" si="279"/>
        <v>5.9375</v>
      </c>
      <c r="BD162" s="75">
        <f t="shared" si="326"/>
        <v>23.75</v>
      </c>
      <c r="BE162" s="42">
        <f t="shared" si="281"/>
        <v>5.9375</v>
      </c>
      <c r="BF162" s="42">
        <f t="shared" si="282"/>
        <v>5.9375</v>
      </c>
      <c r="BG162" s="42">
        <f t="shared" si="283"/>
        <v>5.9375</v>
      </c>
      <c r="BH162" s="42">
        <f t="shared" si="284"/>
        <v>5.9375</v>
      </c>
      <c r="BI162" s="75">
        <f t="shared" si="327"/>
        <v>23.75</v>
      </c>
      <c r="BJ162" s="21"/>
      <c r="BK162" s="21"/>
      <c r="BL162" s="21"/>
    </row>
    <row r="163" spans="1:64" s="25" customFormat="1">
      <c r="A163" s="492" t="str">
        <f>A101</f>
        <v>5.150% Notes due 2033</v>
      </c>
      <c r="B163" s="41"/>
      <c r="C163" s="41"/>
      <c r="D163" s="41"/>
      <c r="E163" s="42"/>
      <c r="F163" s="75"/>
      <c r="G163" s="41"/>
      <c r="H163" s="41"/>
      <c r="I163" s="41"/>
      <c r="J163" s="42"/>
      <c r="K163" s="43"/>
      <c r="L163" s="41"/>
      <c r="M163" s="41"/>
      <c r="N163" s="41"/>
      <c r="O163" s="42"/>
      <c r="P163" s="75"/>
      <c r="Q163" s="42"/>
      <c r="R163" s="42"/>
      <c r="S163" s="42"/>
      <c r="T163" s="42"/>
      <c r="U163" s="75"/>
      <c r="V163" s="42"/>
      <c r="W163" s="42"/>
      <c r="X163" s="42"/>
      <c r="Y163" s="42"/>
      <c r="Z163" s="75"/>
      <c r="AA163" s="42"/>
      <c r="AB163" s="42"/>
      <c r="AC163" s="42">
        <f>+AC33*AC101/4</f>
        <v>0</v>
      </c>
      <c r="AD163" s="42"/>
      <c r="AE163" s="75"/>
      <c r="AF163" s="42"/>
      <c r="AG163" s="42"/>
      <c r="AH163" s="42"/>
      <c r="AI163" s="42"/>
      <c r="AJ163" s="75"/>
      <c r="AK163" s="42">
        <f t="shared" si="331"/>
        <v>0</v>
      </c>
      <c r="AL163" s="42">
        <f t="shared" si="331"/>
        <v>0</v>
      </c>
      <c r="AM163" s="42">
        <f t="shared" si="331"/>
        <v>0</v>
      </c>
      <c r="AN163" s="42">
        <f t="shared" si="331"/>
        <v>0</v>
      </c>
      <c r="AO163" s="75">
        <f t="shared" ref="AO163" si="339">SUM(AK163:AN163)</f>
        <v>0</v>
      </c>
      <c r="AP163" s="42">
        <f t="shared" si="333"/>
        <v>8.046875</v>
      </c>
      <c r="AQ163" s="42">
        <f t="shared" si="333"/>
        <v>16.09375</v>
      </c>
      <c r="AR163" s="42">
        <f t="shared" si="333"/>
        <v>16.09375</v>
      </c>
      <c r="AS163" s="42">
        <f t="shared" si="314"/>
        <v>16.09375</v>
      </c>
      <c r="AT163" s="75">
        <f t="shared" ref="AT163" si="340">SUM(AP163:AS163)</f>
        <v>56.328125</v>
      </c>
      <c r="AU163" s="42">
        <f t="shared" si="312"/>
        <v>16.09375</v>
      </c>
      <c r="AV163" s="42">
        <f t="shared" si="312"/>
        <v>16.09375</v>
      </c>
      <c r="AW163" s="42">
        <f t="shared" si="312"/>
        <v>16.09375</v>
      </c>
      <c r="AX163" s="42">
        <f t="shared" si="312"/>
        <v>16.09375</v>
      </c>
      <c r="AY163" s="75">
        <f t="shared" si="335"/>
        <v>64.375</v>
      </c>
      <c r="AZ163" s="42">
        <f t="shared" si="276"/>
        <v>16.09375</v>
      </c>
      <c r="BA163" s="42">
        <f t="shared" si="277"/>
        <v>16.09375</v>
      </c>
      <c r="BB163" s="42">
        <f t="shared" si="278"/>
        <v>16.09375</v>
      </c>
      <c r="BC163" s="42">
        <f t="shared" si="279"/>
        <v>16.09375</v>
      </c>
      <c r="BD163" s="75">
        <f t="shared" si="326"/>
        <v>64.375</v>
      </c>
      <c r="BE163" s="42">
        <f t="shared" si="281"/>
        <v>16.09375</v>
      </c>
      <c r="BF163" s="42">
        <f t="shared" si="282"/>
        <v>16.09375</v>
      </c>
      <c r="BG163" s="42">
        <f t="shared" si="283"/>
        <v>16.09375</v>
      </c>
      <c r="BH163" s="42">
        <f t="shared" si="284"/>
        <v>16.09375</v>
      </c>
      <c r="BI163" s="75">
        <f t="shared" si="327"/>
        <v>64.375</v>
      </c>
      <c r="BJ163" s="21"/>
      <c r="BK163" s="21"/>
      <c r="BL163" s="21"/>
    </row>
    <row r="164" spans="1:64" s="25" customFormat="1">
      <c r="A164" s="525" t="s">
        <v>474</v>
      </c>
      <c r="B164" s="41"/>
      <c r="C164" s="41"/>
      <c r="D164" s="41"/>
      <c r="E164" s="42"/>
      <c r="F164" s="75"/>
      <c r="G164" s="41"/>
      <c r="H164" s="41"/>
      <c r="I164" s="41"/>
      <c r="J164" s="42"/>
      <c r="K164" s="43"/>
      <c r="L164" s="41"/>
      <c r="M164" s="41"/>
      <c r="N164" s="41"/>
      <c r="O164" s="42"/>
      <c r="P164" s="75"/>
      <c r="Q164" s="42"/>
      <c r="R164" s="42"/>
      <c r="S164" s="42"/>
      <c r="T164" s="42"/>
      <c r="U164" s="75"/>
      <c r="V164" s="42"/>
      <c r="W164" s="42"/>
      <c r="X164" s="42"/>
      <c r="Y164" s="42"/>
      <c r="Z164" s="75"/>
      <c r="AA164" s="42"/>
      <c r="AB164" s="42"/>
      <c r="AC164" s="42"/>
      <c r="AD164" s="42"/>
      <c r="AE164" s="75"/>
      <c r="AF164" s="42"/>
      <c r="AG164" s="42"/>
      <c r="AH164" s="42"/>
      <c r="AI164" s="42"/>
      <c r="AJ164" s="75"/>
      <c r="AK164" s="42"/>
      <c r="AL164" s="42"/>
      <c r="AM164" s="42"/>
      <c r="AN164" s="42"/>
      <c r="AO164" s="75"/>
      <c r="AP164" s="42"/>
      <c r="AQ164" s="42"/>
      <c r="AR164" s="42"/>
      <c r="AS164" s="42">
        <f t="shared" si="314"/>
        <v>22.875</v>
      </c>
      <c r="AT164" s="75">
        <f t="shared" ref="AT164" si="341">SUM(AP164:AS164)</f>
        <v>22.875</v>
      </c>
      <c r="AU164" s="42">
        <f t="shared" si="312"/>
        <v>22.875</v>
      </c>
      <c r="AV164" s="42">
        <f t="shared" si="312"/>
        <v>22.875</v>
      </c>
      <c r="AW164" s="42">
        <f t="shared" si="312"/>
        <v>22.875</v>
      </c>
      <c r="AX164" s="42">
        <f t="shared" si="312"/>
        <v>22.875</v>
      </c>
      <c r="AY164" s="75">
        <f t="shared" ref="AY164" si="342">SUM(AU164:AX164)</f>
        <v>91.5</v>
      </c>
      <c r="AZ164" s="42">
        <f t="shared" si="276"/>
        <v>22.875</v>
      </c>
      <c r="BA164" s="42">
        <f t="shared" si="277"/>
        <v>22.875</v>
      </c>
      <c r="BB164" s="42">
        <f t="shared" si="278"/>
        <v>22.875</v>
      </c>
      <c r="BC164" s="42">
        <f t="shared" si="279"/>
        <v>22.875</v>
      </c>
      <c r="BD164" s="75">
        <f t="shared" ref="BD164" si="343">SUM(AZ164:BC164)</f>
        <v>91.5</v>
      </c>
      <c r="BE164" s="42">
        <f t="shared" si="281"/>
        <v>22.875</v>
      </c>
      <c r="BF164" s="42">
        <f t="shared" si="282"/>
        <v>22.875</v>
      </c>
      <c r="BG164" s="42">
        <f t="shared" si="283"/>
        <v>22.875</v>
      </c>
      <c r="BH164" s="42">
        <f t="shared" si="284"/>
        <v>22.875</v>
      </c>
      <c r="BI164" s="75">
        <f t="shared" ref="BI164" si="344">SUM(BE164:BH164)</f>
        <v>91.5</v>
      </c>
      <c r="BJ164" s="21"/>
      <c r="BK164" s="21"/>
      <c r="BL164" s="21"/>
    </row>
    <row r="165" spans="1:64" s="25" customFormat="1">
      <c r="A165" s="481" t="str">
        <f t="shared" ref="A165:A183" si="345">A103</f>
        <v>5.400% Notes due 2035</v>
      </c>
      <c r="B165" s="41"/>
      <c r="C165" s="41"/>
      <c r="D165" s="41"/>
      <c r="E165" s="42"/>
      <c r="F165" s="75"/>
      <c r="G165" s="41"/>
      <c r="H165" s="41"/>
      <c r="I165" s="41"/>
      <c r="J165" s="42"/>
      <c r="K165" s="43"/>
      <c r="L165" s="41"/>
      <c r="M165" s="41"/>
      <c r="N165" s="41"/>
      <c r="O165" s="42"/>
      <c r="P165" s="75"/>
      <c r="Q165" s="42"/>
      <c r="R165" s="42"/>
      <c r="S165" s="42"/>
      <c r="T165" s="42"/>
      <c r="U165" s="75"/>
      <c r="V165" s="42"/>
      <c r="W165" s="42"/>
      <c r="X165" s="42"/>
      <c r="Y165" s="42"/>
      <c r="Z165" s="75"/>
      <c r="AA165" s="42"/>
      <c r="AB165" s="42">
        <f t="shared" ref="AB165:AC184" si="346">+AB35*AB103/4</f>
        <v>8.1</v>
      </c>
      <c r="AC165" s="42">
        <f t="shared" si="346"/>
        <v>8.1</v>
      </c>
      <c r="AD165" s="42">
        <f t="shared" ref="AD165:AD184" si="347">+AVERAGE(AD35,AC35)*AD103/4</f>
        <v>8.1</v>
      </c>
      <c r="AE165" s="75">
        <f t="shared" si="267"/>
        <v>24.299999999999997</v>
      </c>
      <c r="AF165" s="42">
        <f t="shared" ref="AF165:AI184" si="348">+AVERAGE(AF35,AE35)*AF103/4</f>
        <v>8.1</v>
      </c>
      <c r="AG165" s="42">
        <f t="shared" si="348"/>
        <v>8.1</v>
      </c>
      <c r="AH165" s="42">
        <f t="shared" si="348"/>
        <v>8.1</v>
      </c>
      <c r="AI165" s="42">
        <f t="shared" si="348"/>
        <v>7.0605000000000002</v>
      </c>
      <c r="AJ165" s="75">
        <f t="shared" si="269"/>
        <v>31.360499999999998</v>
      </c>
      <c r="AK165" s="42">
        <f t="shared" ref="AK165:AN185" si="349">+AVERAGE(AK35,AJ35)*AK103/4</f>
        <v>6.0209999999999999</v>
      </c>
      <c r="AL165" s="42">
        <f t="shared" si="349"/>
        <v>6.0209999999999999</v>
      </c>
      <c r="AM165" s="42">
        <f t="shared" si="349"/>
        <v>6.0209999999999999</v>
      </c>
      <c r="AN165" s="42">
        <f t="shared" si="349"/>
        <v>6.0209999999999999</v>
      </c>
      <c r="AO165" s="75">
        <f t="shared" si="271"/>
        <v>24.084</v>
      </c>
      <c r="AP165" s="42">
        <f t="shared" ref="AP165:AR185" si="350">+AVERAGE(AP35,AO35)*AP103/4</f>
        <v>6.0209999999999999</v>
      </c>
      <c r="AQ165" s="42">
        <f t="shared" si="350"/>
        <v>6.0209999999999999</v>
      </c>
      <c r="AR165" s="42">
        <f t="shared" si="350"/>
        <v>6.0209999999999999</v>
      </c>
      <c r="AS165" s="42">
        <f t="shared" si="314"/>
        <v>6.0209999999999999</v>
      </c>
      <c r="AT165" s="75">
        <f t="shared" ref="AT165:AT172" si="351">SUM(AP165:AS165)</f>
        <v>24.084</v>
      </c>
      <c r="AU165" s="42">
        <f t="shared" si="312"/>
        <v>6.0209999999999999</v>
      </c>
      <c r="AV165" s="42">
        <f t="shared" si="312"/>
        <v>6.0209999999999999</v>
      </c>
      <c r="AW165" s="42">
        <f t="shared" si="312"/>
        <v>6.0209999999999999</v>
      </c>
      <c r="AX165" s="42">
        <f t="shared" si="312"/>
        <v>6.0209999999999999</v>
      </c>
      <c r="AY165" s="75">
        <f t="shared" ref="AY165:AY172" si="352">SUM(AU165:AX165)</f>
        <v>24.084</v>
      </c>
      <c r="AZ165" s="42">
        <f t="shared" si="276"/>
        <v>6.0209999999999999</v>
      </c>
      <c r="BA165" s="42">
        <f t="shared" si="277"/>
        <v>6.0209999999999999</v>
      </c>
      <c r="BB165" s="42">
        <f t="shared" si="278"/>
        <v>6.0209999999999999</v>
      </c>
      <c r="BC165" s="42">
        <f t="shared" si="279"/>
        <v>6.0209999999999999</v>
      </c>
      <c r="BD165" s="75">
        <f t="shared" ref="BD165:BD185" si="353">SUM(AZ165:BC165)</f>
        <v>24.084</v>
      </c>
      <c r="BE165" s="42">
        <f t="shared" si="281"/>
        <v>6.0209999999999999</v>
      </c>
      <c r="BF165" s="42">
        <f t="shared" si="282"/>
        <v>6.0209999999999999</v>
      </c>
      <c r="BG165" s="42">
        <f t="shared" si="283"/>
        <v>6.0209999999999999</v>
      </c>
      <c r="BH165" s="42">
        <f t="shared" si="284"/>
        <v>6.0209999999999999</v>
      </c>
      <c r="BI165" s="75">
        <f t="shared" ref="BI165:BI185" si="354">SUM(BE165:BH165)</f>
        <v>24.084</v>
      </c>
      <c r="BJ165" s="21"/>
      <c r="BK165" s="21"/>
      <c r="BL165" s="21"/>
    </row>
    <row r="166" spans="1:64" s="25" customFormat="1">
      <c r="A166" s="481" t="str">
        <f t="shared" si="345"/>
        <v>6.050% Notes due 2036</v>
      </c>
      <c r="B166" s="41"/>
      <c r="C166" s="41"/>
      <c r="D166" s="41"/>
      <c r="E166" s="42"/>
      <c r="F166" s="75"/>
      <c r="G166" s="41"/>
      <c r="H166" s="41"/>
      <c r="I166" s="41"/>
      <c r="J166" s="42"/>
      <c r="K166" s="43"/>
      <c r="L166" s="41"/>
      <c r="M166" s="41"/>
      <c r="N166" s="41"/>
      <c r="O166" s="42"/>
      <c r="P166" s="75"/>
      <c r="Q166" s="42"/>
      <c r="R166" s="42"/>
      <c r="S166" s="42"/>
      <c r="T166" s="42"/>
      <c r="U166" s="75"/>
      <c r="V166" s="42"/>
      <c r="W166" s="42"/>
      <c r="X166" s="42"/>
      <c r="Y166" s="42"/>
      <c r="Z166" s="75"/>
      <c r="AA166" s="42"/>
      <c r="AB166" s="42">
        <f t="shared" si="346"/>
        <v>9.0749999999999993</v>
      </c>
      <c r="AC166" s="42">
        <f t="shared" si="346"/>
        <v>9.0749999999999993</v>
      </c>
      <c r="AD166" s="42">
        <f t="shared" si="347"/>
        <v>9.0749999999999993</v>
      </c>
      <c r="AE166" s="75">
        <f t="shared" si="267"/>
        <v>27.224999999999998</v>
      </c>
      <c r="AF166" s="42">
        <f t="shared" si="348"/>
        <v>9.0749999999999993</v>
      </c>
      <c r="AG166" s="42">
        <f t="shared" si="348"/>
        <v>9.0749999999999993</v>
      </c>
      <c r="AH166" s="42">
        <f t="shared" si="348"/>
        <v>9.0749999999999993</v>
      </c>
      <c r="AI166" s="42">
        <f t="shared" si="348"/>
        <v>7.6381249999999996</v>
      </c>
      <c r="AJ166" s="75">
        <f t="shared" si="269"/>
        <v>34.863124999999997</v>
      </c>
      <c r="AK166" s="42">
        <f t="shared" si="349"/>
        <v>6.2012499999999999</v>
      </c>
      <c r="AL166" s="42">
        <f t="shared" si="349"/>
        <v>6.2012499999999999</v>
      </c>
      <c r="AM166" s="42">
        <f t="shared" si="349"/>
        <v>6.2012499999999999</v>
      </c>
      <c r="AN166" s="42">
        <f t="shared" si="349"/>
        <v>6.2012499999999999</v>
      </c>
      <c r="AO166" s="75">
        <f t="shared" si="271"/>
        <v>24.805</v>
      </c>
      <c r="AP166" s="42">
        <f t="shared" si="350"/>
        <v>6.2012499999999999</v>
      </c>
      <c r="AQ166" s="42">
        <f t="shared" si="350"/>
        <v>6.2012499999999999</v>
      </c>
      <c r="AR166" s="42">
        <f t="shared" si="350"/>
        <v>6.2012499999999999</v>
      </c>
      <c r="AS166" s="42">
        <f t="shared" si="314"/>
        <v>6.2012499999999999</v>
      </c>
      <c r="AT166" s="75">
        <f t="shared" si="351"/>
        <v>24.805</v>
      </c>
      <c r="AU166" s="42">
        <f t="shared" si="312"/>
        <v>6.2012499999999999</v>
      </c>
      <c r="AV166" s="42">
        <f t="shared" si="312"/>
        <v>6.2012499999999999</v>
      </c>
      <c r="AW166" s="42">
        <f t="shared" si="312"/>
        <v>6.2012499999999999</v>
      </c>
      <c r="AX166" s="42">
        <f t="shared" si="312"/>
        <v>6.2012499999999999</v>
      </c>
      <c r="AY166" s="75">
        <f t="shared" si="352"/>
        <v>24.805</v>
      </c>
      <c r="AZ166" s="42">
        <f t="shared" si="276"/>
        <v>6.2012499999999999</v>
      </c>
      <c r="BA166" s="42">
        <f t="shared" si="277"/>
        <v>6.2012499999999999</v>
      </c>
      <c r="BB166" s="42">
        <f t="shared" si="278"/>
        <v>6.2012499999999999</v>
      </c>
      <c r="BC166" s="42">
        <f t="shared" si="279"/>
        <v>6.2012499999999999</v>
      </c>
      <c r="BD166" s="75">
        <f t="shared" si="353"/>
        <v>24.805</v>
      </c>
      <c r="BE166" s="42">
        <f t="shared" si="281"/>
        <v>6.2012499999999999</v>
      </c>
      <c r="BF166" s="42">
        <f t="shared" si="282"/>
        <v>6.2012499999999999</v>
      </c>
      <c r="BG166" s="42">
        <f t="shared" si="283"/>
        <v>6.2012499999999999</v>
      </c>
      <c r="BH166" s="42">
        <f t="shared" si="284"/>
        <v>6.2012499999999999</v>
      </c>
      <c r="BI166" s="75">
        <f t="shared" si="354"/>
        <v>24.805</v>
      </c>
      <c r="BJ166" s="21"/>
      <c r="BK166" s="21"/>
      <c r="BL166" s="21"/>
    </row>
    <row r="167" spans="1:64" s="25" customFormat="1">
      <c r="A167" s="481" t="str">
        <f t="shared" si="345"/>
        <v>6.800% Notes due 2036</v>
      </c>
      <c r="B167" s="41"/>
      <c r="C167" s="41"/>
      <c r="D167" s="41"/>
      <c r="E167" s="42"/>
      <c r="F167" s="75"/>
      <c r="G167" s="41"/>
      <c r="H167" s="41"/>
      <c r="I167" s="41"/>
      <c r="J167" s="42"/>
      <c r="K167" s="43"/>
      <c r="L167" s="41"/>
      <c r="M167" s="41"/>
      <c r="N167" s="41"/>
      <c r="O167" s="42"/>
      <c r="P167" s="75"/>
      <c r="Q167" s="42"/>
      <c r="R167" s="42"/>
      <c r="S167" s="42"/>
      <c r="T167" s="42"/>
      <c r="U167" s="75"/>
      <c r="V167" s="42"/>
      <c r="W167" s="42"/>
      <c r="X167" s="42"/>
      <c r="Y167" s="42"/>
      <c r="Z167" s="75"/>
      <c r="AA167" s="42"/>
      <c r="AB167" s="42">
        <f t="shared" si="346"/>
        <v>2.278</v>
      </c>
      <c r="AC167" s="42">
        <f t="shared" si="346"/>
        <v>2.278</v>
      </c>
      <c r="AD167" s="42">
        <f t="shared" si="347"/>
        <v>2.278</v>
      </c>
      <c r="AE167" s="75">
        <f t="shared" si="267"/>
        <v>6.8339999999999996</v>
      </c>
      <c r="AF167" s="42">
        <f t="shared" si="348"/>
        <v>2.278</v>
      </c>
      <c r="AG167" s="42">
        <f t="shared" si="348"/>
        <v>2.278</v>
      </c>
      <c r="AH167" s="42">
        <f t="shared" si="348"/>
        <v>2.278</v>
      </c>
      <c r="AI167" s="42">
        <f t="shared" si="348"/>
        <v>2.1335000000000002</v>
      </c>
      <c r="AJ167" s="75">
        <f t="shared" si="269"/>
        <v>8.9674999999999994</v>
      </c>
      <c r="AK167" s="42">
        <f t="shared" si="349"/>
        <v>1.9890000000000001</v>
      </c>
      <c r="AL167" s="42">
        <f t="shared" si="349"/>
        <v>1.9890000000000001</v>
      </c>
      <c r="AM167" s="42">
        <f t="shared" si="349"/>
        <v>1.9890000000000001</v>
      </c>
      <c r="AN167" s="42">
        <f t="shared" si="349"/>
        <v>1.9890000000000001</v>
      </c>
      <c r="AO167" s="75">
        <f t="shared" si="271"/>
        <v>7.9560000000000004</v>
      </c>
      <c r="AP167" s="42">
        <f t="shared" si="350"/>
        <v>1.9890000000000001</v>
      </c>
      <c r="AQ167" s="42">
        <f t="shared" si="350"/>
        <v>1.9890000000000001</v>
      </c>
      <c r="AR167" s="42">
        <f t="shared" si="350"/>
        <v>1.9890000000000001</v>
      </c>
      <c r="AS167" s="42">
        <f t="shared" si="314"/>
        <v>1.9890000000000001</v>
      </c>
      <c r="AT167" s="75">
        <f t="shared" si="351"/>
        <v>7.9560000000000004</v>
      </c>
      <c r="AU167" s="42">
        <f t="shared" si="312"/>
        <v>1.9890000000000001</v>
      </c>
      <c r="AV167" s="42">
        <f t="shared" si="312"/>
        <v>1.9890000000000001</v>
      </c>
      <c r="AW167" s="42">
        <f t="shared" si="312"/>
        <v>1.9890000000000001</v>
      </c>
      <c r="AX167" s="42">
        <f t="shared" si="312"/>
        <v>1.9890000000000001</v>
      </c>
      <c r="AY167" s="75">
        <f t="shared" si="352"/>
        <v>7.9560000000000004</v>
      </c>
      <c r="AZ167" s="42">
        <f t="shared" si="276"/>
        <v>1.9890000000000001</v>
      </c>
      <c r="BA167" s="42">
        <f t="shared" si="277"/>
        <v>1.9890000000000001</v>
      </c>
      <c r="BB167" s="42">
        <f t="shared" si="278"/>
        <v>1.9890000000000001</v>
      </c>
      <c r="BC167" s="42">
        <f t="shared" si="279"/>
        <v>1.9890000000000001</v>
      </c>
      <c r="BD167" s="75">
        <f t="shared" si="353"/>
        <v>7.9560000000000004</v>
      </c>
      <c r="BE167" s="42">
        <f t="shared" si="281"/>
        <v>1.9890000000000001</v>
      </c>
      <c r="BF167" s="42">
        <f t="shared" si="282"/>
        <v>1.9890000000000001</v>
      </c>
      <c r="BG167" s="42">
        <f t="shared" si="283"/>
        <v>1.9890000000000001</v>
      </c>
      <c r="BH167" s="42">
        <f t="shared" si="284"/>
        <v>1.9890000000000001</v>
      </c>
      <c r="BI167" s="75">
        <f t="shared" si="354"/>
        <v>7.9560000000000004</v>
      </c>
      <c r="BJ167" s="21"/>
      <c r="BK167" s="21"/>
      <c r="BL167" s="21"/>
    </row>
    <row r="168" spans="1:64" s="25" customFormat="1">
      <c r="A168" s="481" t="str">
        <f t="shared" si="345"/>
        <v>7.000% Notes due 2038</v>
      </c>
      <c r="B168" s="41"/>
      <c r="C168" s="41"/>
      <c r="D168" s="41"/>
      <c r="E168" s="42"/>
      <c r="F168" s="75"/>
      <c r="G168" s="41"/>
      <c r="H168" s="41"/>
      <c r="I168" s="41"/>
      <c r="J168" s="42"/>
      <c r="K168" s="43"/>
      <c r="L168" s="41"/>
      <c r="M168" s="41"/>
      <c r="N168" s="41"/>
      <c r="O168" s="42"/>
      <c r="P168" s="75"/>
      <c r="Q168" s="42"/>
      <c r="R168" s="42"/>
      <c r="S168" s="42"/>
      <c r="T168" s="42"/>
      <c r="U168" s="75"/>
      <c r="V168" s="42"/>
      <c r="W168" s="42"/>
      <c r="X168" s="42"/>
      <c r="Y168" s="42"/>
      <c r="Z168" s="75"/>
      <c r="AA168" s="42"/>
      <c r="AB168" s="42">
        <f t="shared" si="346"/>
        <v>2.7825000000000002</v>
      </c>
      <c r="AC168" s="42">
        <f t="shared" si="346"/>
        <v>2.7825000000000002</v>
      </c>
      <c r="AD168" s="42">
        <f t="shared" si="347"/>
        <v>2.7825000000000002</v>
      </c>
      <c r="AE168" s="75">
        <f t="shared" si="267"/>
        <v>8.3475000000000001</v>
      </c>
      <c r="AF168" s="42">
        <f t="shared" si="348"/>
        <v>2.7825000000000002</v>
      </c>
      <c r="AG168" s="42">
        <f t="shared" si="348"/>
        <v>2.7825000000000002</v>
      </c>
      <c r="AH168" s="42">
        <f t="shared" si="348"/>
        <v>2.7825000000000002</v>
      </c>
      <c r="AI168" s="42">
        <f t="shared" si="348"/>
        <v>2.6862500000000002</v>
      </c>
      <c r="AJ168" s="75">
        <f t="shared" si="269"/>
        <v>11.033750000000001</v>
      </c>
      <c r="AK168" s="42">
        <f t="shared" si="349"/>
        <v>2.5900000000000003</v>
      </c>
      <c r="AL168" s="42">
        <f t="shared" si="349"/>
        <v>2.5900000000000003</v>
      </c>
      <c r="AM168" s="42">
        <f t="shared" si="349"/>
        <v>2.5900000000000003</v>
      </c>
      <c r="AN168" s="42">
        <f t="shared" si="349"/>
        <v>2.5900000000000003</v>
      </c>
      <c r="AO168" s="75">
        <f t="shared" si="271"/>
        <v>10.360000000000001</v>
      </c>
      <c r="AP168" s="42">
        <f t="shared" si="350"/>
        <v>2.5900000000000003</v>
      </c>
      <c r="AQ168" s="42">
        <f t="shared" si="350"/>
        <v>2.5900000000000003</v>
      </c>
      <c r="AR168" s="42">
        <f t="shared" si="350"/>
        <v>2.5900000000000003</v>
      </c>
      <c r="AS168" s="42">
        <f t="shared" si="314"/>
        <v>2.5900000000000003</v>
      </c>
      <c r="AT168" s="75">
        <f t="shared" si="351"/>
        <v>10.360000000000001</v>
      </c>
      <c r="AU168" s="42">
        <f t="shared" si="312"/>
        <v>2.5900000000000003</v>
      </c>
      <c r="AV168" s="42">
        <f t="shared" si="312"/>
        <v>2.5900000000000003</v>
      </c>
      <c r="AW168" s="42">
        <f t="shared" si="312"/>
        <v>2.5900000000000003</v>
      </c>
      <c r="AX168" s="42">
        <f t="shared" si="312"/>
        <v>2.5900000000000003</v>
      </c>
      <c r="AY168" s="75">
        <f t="shared" si="352"/>
        <v>10.360000000000001</v>
      </c>
      <c r="AZ168" s="42">
        <f t="shared" si="276"/>
        <v>2.5900000000000003</v>
      </c>
      <c r="BA168" s="42">
        <f t="shared" si="277"/>
        <v>2.5900000000000003</v>
      </c>
      <c r="BB168" s="42">
        <f t="shared" si="278"/>
        <v>2.5900000000000003</v>
      </c>
      <c r="BC168" s="42">
        <f t="shared" si="279"/>
        <v>2.5900000000000003</v>
      </c>
      <c r="BD168" s="75">
        <f t="shared" si="353"/>
        <v>10.360000000000001</v>
      </c>
      <c r="BE168" s="42">
        <f t="shared" si="281"/>
        <v>2.5900000000000003</v>
      </c>
      <c r="BF168" s="42">
        <f t="shared" si="282"/>
        <v>2.5900000000000003</v>
      </c>
      <c r="BG168" s="42">
        <f t="shared" si="283"/>
        <v>2.5900000000000003</v>
      </c>
      <c r="BH168" s="42">
        <f t="shared" si="284"/>
        <v>2.5900000000000003</v>
      </c>
      <c r="BI168" s="75">
        <f t="shared" si="354"/>
        <v>10.360000000000001</v>
      </c>
      <c r="BJ168" s="21"/>
      <c r="BK168" s="21"/>
      <c r="BL168" s="21"/>
    </row>
    <row r="169" spans="1:64" s="25" customFormat="1">
      <c r="A169" s="481" t="str">
        <f t="shared" si="345"/>
        <v>6.125% Notes due 2038</v>
      </c>
      <c r="B169" s="41"/>
      <c r="C169" s="41"/>
      <c r="D169" s="41"/>
      <c r="E169" s="42"/>
      <c r="F169" s="75"/>
      <c r="G169" s="41"/>
      <c r="H169" s="41"/>
      <c r="I169" s="41"/>
      <c r="J169" s="42"/>
      <c r="K169" s="43"/>
      <c r="L169" s="41"/>
      <c r="M169" s="41"/>
      <c r="N169" s="41"/>
      <c r="O169" s="42"/>
      <c r="P169" s="75"/>
      <c r="Q169" s="42"/>
      <c r="R169" s="42"/>
      <c r="S169" s="42"/>
      <c r="T169" s="42"/>
      <c r="U169" s="75"/>
      <c r="V169" s="42"/>
      <c r="W169" s="42"/>
      <c r="X169" s="42"/>
      <c r="Y169" s="42"/>
      <c r="Z169" s="75"/>
      <c r="AA169" s="42"/>
      <c r="AB169" s="42">
        <f t="shared" si="346"/>
        <v>15.3125</v>
      </c>
      <c r="AC169" s="42">
        <f t="shared" si="346"/>
        <v>15.3125</v>
      </c>
      <c r="AD169" s="42">
        <f t="shared" si="347"/>
        <v>15.3125</v>
      </c>
      <c r="AE169" s="75">
        <f t="shared" si="267"/>
        <v>45.9375</v>
      </c>
      <c r="AF169" s="42">
        <f t="shared" si="348"/>
        <v>15.3125</v>
      </c>
      <c r="AG169" s="42">
        <f t="shared" si="348"/>
        <v>15.3125</v>
      </c>
      <c r="AH169" s="42">
        <f t="shared" si="348"/>
        <v>15.3125</v>
      </c>
      <c r="AI169" s="42">
        <f t="shared" si="348"/>
        <v>12.05859375</v>
      </c>
      <c r="AJ169" s="75">
        <f t="shared" si="269"/>
        <v>57.99609375</v>
      </c>
      <c r="AK169" s="42">
        <f t="shared" si="349"/>
        <v>8.8046875</v>
      </c>
      <c r="AL169" s="42">
        <f t="shared" si="349"/>
        <v>8.8046875</v>
      </c>
      <c r="AM169" s="42">
        <f t="shared" si="349"/>
        <v>8.8046875</v>
      </c>
      <c r="AN169" s="42">
        <f t="shared" si="349"/>
        <v>8.8046875</v>
      </c>
      <c r="AO169" s="75">
        <f t="shared" si="271"/>
        <v>35.21875</v>
      </c>
      <c r="AP169" s="42">
        <f t="shared" si="350"/>
        <v>8.8046875</v>
      </c>
      <c r="AQ169" s="42">
        <f t="shared" si="350"/>
        <v>8.8046875</v>
      </c>
      <c r="AR169" s="42">
        <f t="shared" si="350"/>
        <v>8.8046875</v>
      </c>
      <c r="AS169" s="42">
        <f t="shared" si="314"/>
        <v>8.8046875</v>
      </c>
      <c r="AT169" s="75">
        <f t="shared" si="351"/>
        <v>35.21875</v>
      </c>
      <c r="AU169" s="42">
        <f t="shared" ref="AU169:AX188" si="355">+AVERAGE(AU39,AT39)*AU107/4</f>
        <v>8.8046875</v>
      </c>
      <c r="AV169" s="42">
        <f t="shared" si="355"/>
        <v>8.8046875</v>
      </c>
      <c r="AW169" s="42">
        <f t="shared" si="355"/>
        <v>8.8046875</v>
      </c>
      <c r="AX169" s="42">
        <f t="shared" si="355"/>
        <v>8.8046875</v>
      </c>
      <c r="AY169" s="75">
        <f t="shared" si="352"/>
        <v>35.21875</v>
      </c>
      <c r="AZ169" s="42">
        <f t="shared" si="276"/>
        <v>8.8046875</v>
      </c>
      <c r="BA169" s="42">
        <f t="shared" si="277"/>
        <v>8.8046875</v>
      </c>
      <c r="BB169" s="42">
        <f t="shared" si="278"/>
        <v>8.8046875</v>
      </c>
      <c r="BC169" s="42">
        <f t="shared" si="279"/>
        <v>8.8046875</v>
      </c>
      <c r="BD169" s="75">
        <f t="shared" si="353"/>
        <v>35.21875</v>
      </c>
      <c r="BE169" s="42">
        <f t="shared" si="281"/>
        <v>8.8046875</v>
      </c>
      <c r="BF169" s="42">
        <f t="shared" si="282"/>
        <v>8.8046875</v>
      </c>
      <c r="BG169" s="42">
        <f t="shared" si="283"/>
        <v>8.8046875</v>
      </c>
      <c r="BH169" s="42">
        <f t="shared" si="284"/>
        <v>8.8046875</v>
      </c>
      <c r="BI169" s="75">
        <f t="shared" si="354"/>
        <v>35.21875</v>
      </c>
      <c r="BJ169" s="21"/>
      <c r="BK169" s="21"/>
      <c r="BL169" s="21"/>
    </row>
    <row r="170" spans="1:64" s="25" customFormat="1">
      <c r="A170" s="481" t="str">
        <f t="shared" si="345"/>
        <v>4.450% Notes due 2038</v>
      </c>
      <c r="B170" s="41"/>
      <c r="C170" s="41"/>
      <c r="D170" s="41"/>
      <c r="E170" s="42"/>
      <c r="F170" s="75"/>
      <c r="G170" s="41"/>
      <c r="H170" s="41"/>
      <c r="I170" s="41"/>
      <c r="J170" s="42"/>
      <c r="K170" s="43"/>
      <c r="L170" s="41"/>
      <c r="M170" s="41"/>
      <c r="N170" s="41"/>
      <c r="O170" s="42"/>
      <c r="P170" s="75"/>
      <c r="Q170" s="42"/>
      <c r="R170" s="42"/>
      <c r="S170" s="42"/>
      <c r="T170" s="42"/>
      <c r="U170" s="75"/>
      <c r="V170" s="42"/>
      <c r="W170" s="42"/>
      <c r="X170" s="42"/>
      <c r="Y170" s="42"/>
      <c r="Z170" s="75"/>
      <c r="AA170" s="42"/>
      <c r="AB170" s="42">
        <f t="shared" si="346"/>
        <v>8.34375</v>
      </c>
      <c r="AC170" s="42">
        <f t="shared" si="346"/>
        <v>8.34375</v>
      </c>
      <c r="AD170" s="42">
        <f t="shared" si="347"/>
        <v>8.34375</v>
      </c>
      <c r="AE170" s="75">
        <f t="shared" si="267"/>
        <v>25.03125</v>
      </c>
      <c r="AF170" s="42">
        <f t="shared" si="348"/>
        <v>8.34375</v>
      </c>
      <c r="AG170" s="42">
        <f t="shared" si="348"/>
        <v>8.34375</v>
      </c>
      <c r="AH170" s="42">
        <f t="shared" si="348"/>
        <v>8.34375</v>
      </c>
      <c r="AI170" s="42">
        <f t="shared" si="348"/>
        <v>8.34375</v>
      </c>
      <c r="AJ170" s="75">
        <f t="shared" si="269"/>
        <v>33.375</v>
      </c>
      <c r="AK170" s="42">
        <f t="shared" si="349"/>
        <v>8.34375</v>
      </c>
      <c r="AL170" s="42">
        <f t="shared" si="349"/>
        <v>8.34375</v>
      </c>
      <c r="AM170" s="42">
        <f t="shared" si="349"/>
        <v>8.34375</v>
      </c>
      <c r="AN170" s="42">
        <f t="shared" si="349"/>
        <v>8.34375</v>
      </c>
      <c r="AO170" s="75">
        <f t="shared" si="271"/>
        <v>33.375</v>
      </c>
      <c r="AP170" s="42">
        <f t="shared" si="350"/>
        <v>8.34375</v>
      </c>
      <c r="AQ170" s="42">
        <f t="shared" si="350"/>
        <v>8.34375</v>
      </c>
      <c r="AR170" s="42">
        <f t="shared" si="350"/>
        <v>8.34375</v>
      </c>
      <c r="AS170" s="42">
        <f t="shared" si="314"/>
        <v>8.34375</v>
      </c>
      <c r="AT170" s="75">
        <f t="shared" si="351"/>
        <v>33.375</v>
      </c>
      <c r="AU170" s="42">
        <f t="shared" si="355"/>
        <v>8.34375</v>
      </c>
      <c r="AV170" s="42">
        <f t="shared" si="355"/>
        <v>8.34375</v>
      </c>
      <c r="AW170" s="42">
        <f t="shared" si="355"/>
        <v>8.34375</v>
      </c>
      <c r="AX170" s="42">
        <f t="shared" si="355"/>
        <v>8.34375</v>
      </c>
      <c r="AY170" s="75">
        <f t="shared" si="352"/>
        <v>33.375</v>
      </c>
      <c r="AZ170" s="42">
        <f t="shared" si="276"/>
        <v>8.34375</v>
      </c>
      <c r="BA170" s="42">
        <f t="shared" si="277"/>
        <v>8.34375</v>
      </c>
      <c r="BB170" s="42">
        <f t="shared" si="278"/>
        <v>8.34375</v>
      </c>
      <c r="BC170" s="42">
        <f t="shared" si="279"/>
        <v>8.34375</v>
      </c>
      <c r="BD170" s="75">
        <f t="shared" si="353"/>
        <v>33.375</v>
      </c>
      <c r="BE170" s="42">
        <f t="shared" si="281"/>
        <v>8.34375</v>
      </c>
      <c r="BF170" s="42">
        <f t="shared" si="282"/>
        <v>8.34375</v>
      </c>
      <c r="BG170" s="42">
        <f t="shared" si="283"/>
        <v>8.34375</v>
      </c>
      <c r="BH170" s="42">
        <f t="shared" si="284"/>
        <v>8.34375</v>
      </c>
      <c r="BI170" s="75">
        <f t="shared" si="354"/>
        <v>33.375</v>
      </c>
      <c r="BJ170" s="21"/>
      <c r="BK170" s="21"/>
      <c r="BL170" s="21"/>
    </row>
    <row r="171" spans="1:64" s="25" customFormat="1">
      <c r="A171" s="481" t="str">
        <f t="shared" si="345"/>
        <v>5.700% Notes due 2040</v>
      </c>
      <c r="B171" s="41"/>
      <c r="C171" s="41"/>
      <c r="D171" s="41"/>
      <c r="E171" s="42"/>
      <c r="F171" s="75"/>
      <c r="G171" s="41"/>
      <c r="H171" s="41"/>
      <c r="I171" s="41"/>
      <c r="J171" s="42"/>
      <c r="K171" s="43"/>
      <c r="L171" s="41"/>
      <c r="M171" s="41"/>
      <c r="N171" s="41"/>
      <c r="O171" s="42"/>
      <c r="P171" s="75"/>
      <c r="Q171" s="42"/>
      <c r="R171" s="42"/>
      <c r="S171" s="42"/>
      <c r="T171" s="42"/>
      <c r="U171" s="75"/>
      <c r="V171" s="42"/>
      <c r="W171" s="42"/>
      <c r="X171" s="42"/>
      <c r="Y171" s="42"/>
      <c r="Z171" s="75"/>
      <c r="AA171" s="42"/>
      <c r="AB171" s="42">
        <f t="shared" si="346"/>
        <v>14.25</v>
      </c>
      <c r="AC171" s="42">
        <f t="shared" si="346"/>
        <v>14.25</v>
      </c>
      <c r="AD171" s="42">
        <f t="shared" si="347"/>
        <v>14.25</v>
      </c>
      <c r="AE171" s="75">
        <f t="shared" si="267"/>
        <v>42.75</v>
      </c>
      <c r="AF171" s="42">
        <f t="shared" si="348"/>
        <v>14.25</v>
      </c>
      <c r="AG171" s="42">
        <f t="shared" si="348"/>
        <v>14.25</v>
      </c>
      <c r="AH171" s="42">
        <f t="shared" si="348"/>
        <v>14.25</v>
      </c>
      <c r="AI171" s="42">
        <f t="shared" si="348"/>
        <v>11.065125</v>
      </c>
      <c r="AJ171" s="75">
        <f t="shared" si="269"/>
        <v>53.815125000000002</v>
      </c>
      <c r="AK171" s="42">
        <f t="shared" si="349"/>
        <v>7.8802500000000002</v>
      </c>
      <c r="AL171" s="42">
        <f t="shared" si="349"/>
        <v>7.8802500000000002</v>
      </c>
      <c r="AM171" s="42">
        <f t="shared" si="349"/>
        <v>7.8802500000000002</v>
      </c>
      <c r="AN171" s="42">
        <f t="shared" si="349"/>
        <v>7.8802500000000002</v>
      </c>
      <c r="AO171" s="75">
        <f t="shared" si="271"/>
        <v>31.521000000000001</v>
      </c>
      <c r="AP171" s="42">
        <f t="shared" si="350"/>
        <v>7.8802500000000002</v>
      </c>
      <c r="AQ171" s="42">
        <f t="shared" si="350"/>
        <v>7.8802500000000002</v>
      </c>
      <c r="AR171" s="42">
        <f t="shared" si="350"/>
        <v>7.8802500000000002</v>
      </c>
      <c r="AS171" s="42">
        <f t="shared" si="314"/>
        <v>7.8802500000000002</v>
      </c>
      <c r="AT171" s="75">
        <f t="shared" si="351"/>
        <v>31.521000000000001</v>
      </c>
      <c r="AU171" s="42">
        <f t="shared" si="355"/>
        <v>7.8802500000000002</v>
      </c>
      <c r="AV171" s="42">
        <f t="shared" si="355"/>
        <v>7.8802500000000002</v>
      </c>
      <c r="AW171" s="42">
        <f t="shared" si="355"/>
        <v>7.8802500000000002</v>
      </c>
      <c r="AX171" s="42">
        <f t="shared" si="355"/>
        <v>7.8802500000000002</v>
      </c>
      <c r="AY171" s="75">
        <f t="shared" si="352"/>
        <v>31.521000000000001</v>
      </c>
      <c r="AZ171" s="42">
        <f t="shared" si="276"/>
        <v>7.8802500000000002</v>
      </c>
      <c r="BA171" s="42">
        <f t="shared" si="277"/>
        <v>7.8802500000000002</v>
      </c>
      <c r="BB171" s="42">
        <f t="shared" si="278"/>
        <v>7.8802500000000002</v>
      </c>
      <c r="BC171" s="42">
        <f t="shared" si="279"/>
        <v>7.8802500000000002</v>
      </c>
      <c r="BD171" s="75">
        <f t="shared" si="353"/>
        <v>31.521000000000001</v>
      </c>
      <c r="BE171" s="42">
        <f t="shared" si="281"/>
        <v>7.8802500000000002</v>
      </c>
      <c r="BF171" s="42">
        <f t="shared" si="282"/>
        <v>7.8802500000000002</v>
      </c>
      <c r="BG171" s="42">
        <f t="shared" si="283"/>
        <v>7.8802500000000002</v>
      </c>
      <c r="BH171" s="42">
        <f t="shared" si="284"/>
        <v>7.8802500000000002</v>
      </c>
      <c r="BI171" s="75">
        <f t="shared" si="354"/>
        <v>31.521000000000001</v>
      </c>
      <c r="BJ171" s="21"/>
      <c r="BK171" s="21"/>
      <c r="BL171" s="21"/>
    </row>
    <row r="172" spans="1:64" s="25" customFormat="1">
      <c r="A172" s="481" t="str">
        <f t="shared" si="345"/>
        <v>4.875% Notes due 2040</v>
      </c>
      <c r="B172" s="41"/>
      <c r="C172" s="41"/>
      <c r="D172" s="41"/>
      <c r="E172" s="42"/>
      <c r="F172" s="75"/>
      <c r="G172" s="41"/>
      <c r="H172" s="41"/>
      <c r="I172" s="41"/>
      <c r="J172" s="42"/>
      <c r="K172" s="43"/>
      <c r="L172" s="41"/>
      <c r="M172" s="41"/>
      <c r="N172" s="41"/>
      <c r="O172" s="42"/>
      <c r="P172" s="75"/>
      <c r="Q172" s="42"/>
      <c r="R172" s="42"/>
      <c r="S172" s="42"/>
      <c r="T172" s="42"/>
      <c r="U172" s="75"/>
      <c r="V172" s="42"/>
      <c r="W172" s="42"/>
      <c r="X172" s="42"/>
      <c r="Y172" s="42"/>
      <c r="Z172" s="75"/>
      <c r="AA172" s="42"/>
      <c r="AB172" s="42">
        <f t="shared" si="346"/>
        <v>7.3125</v>
      </c>
      <c r="AC172" s="42">
        <f t="shared" si="346"/>
        <v>7.3125</v>
      </c>
      <c r="AD172" s="42">
        <f t="shared" si="347"/>
        <v>7.3125</v>
      </c>
      <c r="AE172" s="75">
        <f t="shared" si="267"/>
        <v>21.9375</v>
      </c>
      <c r="AF172" s="42">
        <f t="shared" si="348"/>
        <v>7.3125</v>
      </c>
      <c r="AG172" s="42">
        <f t="shared" si="348"/>
        <v>7.3125</v>
      </c>
      <c r="AH172" s="42">
        <f t="shared" si="348"/>
        <v>7.3125</v>
      </c>
      <c r="AI172" s="42">
        <f t="shared" si="348"/>
        <v>7.3125</v>
      </c>
      <c r="AJ172" s="75">
        <f t="shared" si="269"/>
        <v>29.25</v>
      </c>
      <c r="AK172" s="42">
        <f t="shared" si="349"/>
        <v>7.3125</v>
      </c>
      <c r="AL172" s="42">
        <f t="shared" si="349"/>
        <v>7.3125</v>
      </c>
      <c r="AM172" s="42">
        <f t="shared" si="349"/>
        <v>7.3125</v>
      </c>
      <c r="AN172" s="42">
        <f t="shared" si="349"/>
        <v>7.3125</v>
      </c>
      <c r="AO172" s="75">
        <f t="shared" si="271"/>
        <v>29.25</v>
      </c>
      <c r="AP172" s="42">
        <f t="shared" si="350"/>
        <v>7.3125</v>
      </c>
      <c r="AQ172" s="42">
        <f t="shared" si="350"/>
        <v>7.3125</v>
      </c>
      <c r="AR172" s="42">
        <f t="shared" si="350"/>
        <v>7.3125</v>
      </c>
      <c r="AS172" s="42">
        <f t="shared" si="314"/>
        <v>7.3125</v>
      </c>
      <c r="AT172" s="75">
        <f t="shared" si="351"/>
        <v>29.25</v>
      </c>
      <c r="AU172" s="42">
        <f t="shared" si="355"/>
        <v>7.3125</v>
      </c>
      <c r="AV172" s="42">
        <f t="shared" si="355"/>
        <v>7.3125</v>
      </c>
      <c r="AW172" s="42">
        <f t="shared" si="355"/>
        <v>7.3125</v>
      </c>
      <c r="AX172" s="42">
        <f t="shared" si="355"/>
        <v>7.3125</v>
      </c>
      <c r="AY172" s="75">
        <f t="shared" si="352"/>
        <v>29.25</v>
      </c>
      <c r="AZ172" s="42">
        <f t="shared" si="276"/>
        <v>7.3125</v>
      </c>
      <c r="BA172" s="42">
        <f t="shared" si="277"/>
        <v>7.3125</v>
      </c>
      <c r="BB172" s="42">
        <f t="shared" si="278"/>
        <v>7.3125</v>
      </c>
      <c r="BC172" s="42">
        <f t="shared" si="279"/>
        <v>7.3125</v>
      </c>
      <c r="BD172" s="75">
        <f t="shared" si="353"/>
        <v>29.25</v>
      </c>
      <c r="BE172" s="42">
        <f t="shared" si="281"/>
        <v>7.3125</v>
      </c>
      <c r="BF172" s="42">
        <f t="shared" si="282"/>
        <v>7.3125</v>
      </c>
      <c r="BG172" s="42">
        <f t="shared" si="283"/>
        <v>7.3125</v>
      </c>
      <c r="BH172" s="42">
        <f t="shared" si="284"/>
        <v>7.3125</v>
      </c>
      <c r="BI172" s="75">
        <f t="shared" si="354"/>
        <v>29.25</v>
      </c>
      <c r="BJ172" s="21"/>
      <c r="BK172" s="21"/>
      <c r="BL172" s="21"/>
    </row>
    <row r="173" spans="1:64" s="25" customFormat="1">
      <c r="A173" s="481" t="str">
        <f t="shared" si="345"/>
        <v>4.700% Notes due 2041</v>
      </c>
      <c r="B173" s="41"/>
      <c r="C173" s="41"/>
      <c r="D173" s="41"/>
      <c r="E173" s="42"/>
      <c r="F173" s="75"/>
      <c r="G173" s="41"/>
      <c r="H173" s="41"/>
      <c r="I173" s="41"/>
      <c r="J173" s="42"/>
      <c r="K173" s="43"/>
      <c r="L173" s="41"/>
      <c r="M173" s="41"/>
      <c r="N173" s="41"/>
      <c r="O173" s="42"/>
      <c r="P173" s="75"/>
      <c r="Q173" s="42"/>
      <c r="R173" s="42"/>
      <c r="S173" s="42"/>
      <c r="T173" s="42"/>
      <c r="U173" s="75"/>
      <c r="V173" s="42"/>
      <c r="W173" s="42"/>
      <c r="X173" s="42"/>
      <c r="Y173" s="42"/>
      <c r="Z173" s="75"/>
      <c r="AA173" s="42"/>
      <c r="AB173" s="42">
        <f t="shared" si="346"/>
        <v>4.9937500000000004</v>
      </c>
      <c r="AC173" s="42">
        <f t="shared" si="346"/>
        <v>4.9937500000000004</v>
      </c>
      <c r="AD173" s="42">
        <f t="shared" si="347"/>
        <v>4.9937500000000004</v>
      </c>
      <c r="AE173" s="75">
        <f t="shared" si="267"/>
        <v>14.981250000000001</v>
      </c>
      <c r="AF173" s="42">
        <f t="shared" si="348"/>
        <v>4.9937500000000004</v>
      </c>
      <c r="AG173" s="42">
        <f t="shared" si="348"/>
        <v>4.9937500000000004</v>
      </c>
      <c r="AH173" s="42">
        <f t="shared" si="348"/>
        <v>4.9937500000000004</v>
      </c>
      <c r="AI173" s="42">
        <f t="shared" si="348"/>
        <v>4.9937500000000004</v>
      </c>
      <c r="AJ173" s="75">
        <f t="shared" ref="AJ173:AJ190" si="356">SUM(AF173:AI173)</f>
        <v>19.975000000000001</v>
      </c>
      <c r="AK173" s="42">
        <f t="shared" si="349"/>
        <v>4.9937500000000004</v>
      </c>
      <c r="AL173" s="42">
        <f t="shared" si="349"/>
        <v>4.9937500000000004</v>
      </c>
      <c r="AM173" s="42">
        <f t="shared" si="349"/>
        <v>4.9937500000000004</v>
      </c>
      <c r="AN173" s="42">
        <f t="shared" si="349"/>
        <v>4.9937500000000004</v>
      </c>
      <c r="AO173" s="75">
        <f t="shared" ref="AO173:AO190" si="357">SUM(AK173:AN173)</f>
        <v>19.975000000000001</v>
      </c>
      <c r="AP173" s="42">
        <f t="shared" si="350"/>
        <v>4.9937500000000004</v>
      </c>
      <c r="AQ173" s="42">
        <f t="shared" si="350"/>
        <v>4.9937500000000004</v>
      </c>
      <c r="AR173" s="42">
        <f t="shared" si="350"/>
        <v>4.9937500000000004</v>
      </c>
      <c r="AS173" s="42">
        <f t="shared" si="314"/>
        <v>4.9937500000000004</v>
      </c>
      <c r="AT173" s="75">
        <f t="shared" ref="AT173:AT190" si="358">SUM(AP173:AS173)</f>
        <v>19.975000000000001</v>
      </c>
      <c r="AU173" s="42">
        <f t="shared" si="355"/>
        <v>4.9937500000000004</v>
      </c>
      <c r="AV173" s="42">
        <f t="shared" si="355"/>
        <v>4.9937500000000004</v>
      </c>
      <c r="AW173" s="42">
        <f t="shared" si="355"/>
        <v>4.9937500000000004</v>
      </c>
      <c r="AX173" s="42">
        <f t="shared" si="355"/>
        <v>4.9937500000000004</v>
      </c>
      <c r="AY173" s="75">
        <f t="shared" ref="AY173:AY190" si="359">SUM(AU173:AX173)</f>
        <v>19.975000000000001</v>
      </c>
      <c r="AZ173" s="42">
        <f t="shared" si="276"/>
        <v>4.9937500000000004</v>
      </c>
      <c r="BA173" s="42">
        <f t="shared" si="277"/>
        <v>4.9937500000000004</v>
      </c>
      <c r="BB173" s="42">
        <f t="shared" si="278"/>
        <v>4.9937500000000004</v>
      </c>
      <c r="BC173" s="42">
        <f t="shared" si="279"/>
        <v>4.9937500000000004</v>
      </c>
      <c r="BD173" s="75">
        <f t="shared" si="353"/>
        <v>19.975000000000001</v>
      </c>
      <c r="BE173" s="42">
        <f t="shared" si="281"/>
        <v>4.9937500000000004</v>
      </c>
      <c r="BF173" s="42">
        <f t="shared" si="282"/>
        <v>4.9937500000000004</v>
      </c>
      <c r="BG173" s="42">
        <f t="shared" si="283"/>
        <v>4.9937500000000004</v>
      </c>
      <c r="BH173" s="42">
        <f t="shared" si="284"/>
        <v>4.9937500000000004</v>
      </c>
      <c r="BI173" s="75">
        <f t="shared" si="354"/>
        <v>19.975000000000001</v>
      </c>
      <c r="BJ173" s="21"/>
      <c r="BK173" s="21"/>
      <c r="BL173" s="21"/>
    </row>
    <row r="174" spans="1:64" s="25" customFormat="1">
      <c r="A174" s="481" t="str">
        <f t="shared" si="345"/>
        <v>4.500% Notes due 2042</v>
      </c>
      <c r="B174" s="41"/>
      <c r="C174" s="41"/>
      <c r="D174" s="41"/>
      <c r="E174" s="42"/>
      <c r="F174" s="75"/>
      <c r="G174" s="41"/>
      <c r="H174" s="41"/>
      <c r="I174" s="41"/>
      <c r="J174" s="42"/>
      <c r="K174" s="43"/>
      <c r="L174" s="41"/>
      <c r="M174" s="41"/>
      <c r="N174" s="41"/>
      <c r="O174" s="42"/>
      <c r="P174" s="75"/>
      <c r="Q174" s="42"/>
      <c r="R174" s="42"/>
      <c r="S174" s="42"/>
      <c r="T174" s="42"/>
      <c r="U174" s="75"/>
      <c r="V174" s="42"/>
      <c r="W174" s="42"/>
      <c r="X174" s="42"/>
      <c r="Y174" s="42"/>
      <c r="Z174" s="75"/>
      <c r="AA174" s="42"/>
      <c r="AB174" s="42">
        <f t="shared" si="346"/>
        <v>39.375</v>
      </c>
      <c r="AC174" s="42">
        <f t="shared" si="346"/>
        <v>39.375</v>
      </c>
      <c r="AD174" s="42">
        <f t="shared" si="347"/>
        <v>39.375</v>
      </c>
      <c r="AE174" s="75">
        <f t="shared" si="267"/>
        <v>118.125</v>
      </c>
      <c r="AF174" s="42">
        <f t="shared" si="348"/>
        <v>39.375</v>
      </c>
      <c r="AG174" s="42">
        <f t="shared" si="348"/>
        <v>39.375</v>
      </c>
      <c r="AH174" s="42">
        <f t="shared" si="348"/>
        <v>39.375</v>
      </c>
      <c r="AI174" s="42">
        <f t="shared" si="348"/>
        <v>39.375</v>
      </c>
      <c r="AJ174" s="75">
        <f t="shared" si="356"/>
        <v>157.5</v>
      </c>
      <c r="AK174" s="42">
        <f t="shared" si="349"/>
        <v>39.375</v>
      </c>
      <c r="AL174" s="42">
        <f t="shared" si="349"/>
        <v>39.375</v>
      </c>
      <c r="AM174" s="42">
        <f t="shared" si="349"/>
        <v>39.375</v>
      </c>
      <c r="AN174" s="42">
        <f t="shared" si="349"/>
        <v>39.375</v>
      </c>
      <c r="AO174" s="75">
        <f t="shared" si="357"/>
        <v>157.5</v>
      </c>
      <c r="AP174" s="42">
        <f t="shared" si="350"/>
        <v>39.375</v>
      </c>
      <c r="AQ174" s="42">
        <f t="shared" si="350"/>
        <v>39.375</v>
      </c>
      <c r="AR174" s="42">
        <f t="shared" si="350"/>
        <v>39.375</v>
      </c>
      <c r="AS174" s="42">
        <f t="shared" si="314"/>
        <v>39.375</v>
      </c>
      <c r="AT174" s="75">
        <f t="shared" si="358"/>
        <v>157.5</v>
      </c>
      <c r="AU174" s="42">
        <f t="shared" si="355"/>
        <v>39.375</v>
      </c>
      <c r="AV174" s="42">
        <f t="shared" si="355"/>
        <v>39.375</v>
      </c>
      <c r="AW174" s="42">
        <f t="shared" si="355"/>
        <v>39.375</v>
      </c>
      <c r="AX174" s="42">
        <f t="shared" si="355"/>
        <v>39.375</v>
      </c>
      <c r="AY174" s="75">
        <f t="shared" si="359"/>
        <v>157.5</v>
      </c>
      <c r="AZ174" s="42">
        <f t="shared" si="276"/>
        <v>39.375</v>
      </c>
      <c r="BA174" s="42">
        <f t="shared" si="277"/>
        <v>39.375</v>
      </c>
      <c r="BB174" s="42">
        <f t="shared" si="278"/>
        <v>39.375</v>
      </c>
      <c r="BC174" s="42">
        <f t="shared" si="279"/>
        <v>39.375</v>
      </c>
      <c r="BD174" s="75">
        <f t="shared" si="353"/>
        <v>157.5</v>
      </c>
      <c r="BE174" s="42">
        <f t="shared" si="281"/>
        <v>39.375</v>
      </c>
      <c r="BF174" s="42">
        <f t="shared" si="282"/>
        <v>39.375</v>
      </c>
      <c r="BG174" s="42">
        <f t="shared" si="283"/>
        <v>39.375</v>
      </c>
      <c r="BH174" s="42">
        <f t="shared" si="284"/>
        <v>39.375</v>
      </c>
      <c r="BI174" s="75">
        <f t="shared" si="354"/>
        <v>157.5</v>
      </c>
      <c r="BJ174" s="21"/>
      <c r="BK174" s="21"/>
      <c r="BL174" s="21"/>
    </row>
    <row r="175" spans="1:64" s="25" customFormat="1">
      <c r="A175" s="481" t="str">
        <f t="shared" si="345"/>
        <v>4.800% Notes due 2043</v>
      </c>
      <c r="B175" s="41"/>
      <c r="C175" s="41"/>
      <c r="D175" s="41"/>
      <c r="E175" s="42"/>
      <c r="F175" s="75"/>
      <c r="G175" s="41"/>
      <c r="H175" s="41"/>
      <c r="I175" s="41"/>
      <c r="J175" s="42"/>
      <c r="K175" s="43"/>
      <c r="L175" s="41"/>
      <c r="M175" s="41"/>
      <c r="N175" s="41"/>
      <c r="O175" s="42"/>
      <c r="P175" s="75"/>
      <c r="Q175" s="42"/>
      <c r="R175" s="42"/>
      <c r="S175" s="42"/>
      <c r="T175" s="42"/>
      <c r="U175" s="75"/>
      <c r="V175" s="42"/>
      <c r="W175" s="42"/>
      <c r="X175" s="42"/>
      <c r="Y175" s="42"/>
      <c r="Z175" s="75"/>
      <c r="AA175" s="42"/>
      <c r="AB175" s="42">
        <f t="shared" si="346"/>
        <v>4.8</v>
      </c>
      <c r="AC175" s="42">
        <f t="shared" si="346"/>
        <v>4.8</v>
      </c>
      <c r="AD175" s="42">
        <f t="shared" si="347"/>
        <v>4.8</v>
      </c>
      <c r="AE175" s="75">
        <f t="shared" si="267"/>
        <v>14.399999999999999</v>
      </c>
      <c r="AF175" s="42">
        <f t="shared" si="348"/>
        <v>4.8</v>
      </c>
      <c r="AG175" s="42">
        <f t="shared" si="348"/>
        <v>4.8</v>
      </c>
      <c r="AH175" s="42">
        <f t="shared" si="348"/>
        <v>4.8</v>
      </c>
      <c r="AI175" s="42">
        <f t="shared" si="348"/>
        <v>4.8</v>
      </c>
      <c r="AJ175" s="75">
        <f t="shared" si="356"/>
        <v>19.2</v>
      </c>
      <c r="AK175" s="42">
        <f t="shared" si="349"/>
        <v>4.8</v>
      </c>
      <c r="AL175" s="42">
        <f t="shared" si="349"/>
        <v>4.8</v>
      </c>
      <c r="AM175" s="42">
        <f t="shared" si="349"/>
        <v>4.8</v>
      </c>
      <c r="AN175" s="42">
        <f t="shared" si="349"/>
        <v>4.8</v>
      </c>
      <c r="AO175" s="75">
        <f t="shared" si="357"/>
        <v>19.2</v>
      </c>
      <c r="AP175" s="42">
        <f t="shared" si="350"/>
        <v>4.8</v>
      </c>
      <c r="AQ175" s="42">
        <f t="shared" si="350"/>
        <v>4.8</v>
      </c>
      <c r="AR175" s="42">
        <f t="shared" si="350"/>
        <v>4.8</v>
      </c>
      <c r="AS175" s="42">
        <f t="shared" si="314"/>
        <v>4.8</v>
      </c>
      <c r="AT175" s="75">
        <f t="shared" si="358"/>
        <v>19.2</v>
      </c>
      <c r="AU175" s="42">
        <f t="shared" si="355"/>
        <v>4.8</v>
      </c>
      <c r="AV175" s="42">
        <f t="shared" si="355"/>
        <v>4.8</v>
      </c>
      <c r="AW175" s="42">
        <f t="shared" si="355"/>
        <v>4.8</v>
      </c>
      <c r="AX175" s="42">
        <f t="shared" si="355"/>
        <v>4.8</v>
      </c>
      <c r="AY175" s="75">
        <f t="shared" si="359"/>
        <v>19.2</v>
      </c>
      <c r="AZ175" s="42">
        <f t="shared" si="276"/>
        <v>4.8</v>
      </c>
      <c r="BA175" s="42">
        <f t="shared" si="277"/>
        <v>4.8</v>
      </c>
      <c r="BB175" s="42">
        <f t="shared" si="278"/>
        <v>4.8</v>
      </c>
      <c r="BC175" s="42">
        <f t="shared" si="279"/>
        <v>4.8</v>
      </c>
      <c r="BD175" s="75">
        <f t="shared" si="353"/>
        <v>19.2</v>
      </c>
      <c r="BE175" s="42">
        <f t="shared" si="281"/>
        <v>4.8</v>
      </c>
      <c r="BF175" s="42">
        <f t="shared" si="282"/>
        <v>4.8</v>
      </c>
      <c r="BG175" s="42">
        <f t="shared" si="283"/>
        <v>4.8</v>
      </c>
      <c r="BH175" s="42">
        <f t="shared" si="284"/>
        <v>4.8</v>
      </c>
      <c r="BI175" s="75">
        <f t="shared" si="354"/>
        <v>19.2</v>
      </c>
      <c r="BJ175" s="21"/>
      <c r="BK175" s="21"/>
      <c r="BL175" s="21"/>
    </row>
    <row r="176" spans="1:64" s="25" customFormat="1">
      <c r="A176" s="481" t="str">
        <f t="shared" si="345"/>
        <v>4.200% Notes due 2044</v>
      </c>
      <c r="B176" s="41"/>
      <c r="C176" s="41"/>
      <c r="D176" s="41"/>
      <c r="E176" s="42"/>
      <c r="F176" s="75"/>
      <c r="G176" s="41"/>
      <c r="H176" s="41"/>
      <c r="I176" s="41"/>
      <c r="J176" s="42"/>
      <c r="K176" s="43"/>
      <c r="L176" s="41"/>
      <c r="M176" s="41"/>
      <c r="N176" s="41"/>
      <c r="O176" s="42"/>
      <c r="P176" s="75"/>
      <c r="Q176" s="42"/>
      <c r="R176" s="42"/>
      <c r="S176" s="42"/>
      <c r="T176" s="42"/>
      <c r="U176" s="75"/>
      <c r="V176" s="42"/>
      <c r="W176" s="42"/>
      <c r="X176" s="42"/>
      <c r="Y176" s="42"/>
      <c r="Z176" s="75"/>
      <c r="AA176" s="42"/>
      <c r="AB176" s="42">
        <f t="shared" si="346"/>
        <v>3.1500000000000004</v>
      </c>
      <c r="AC176" s="42">
        <f t="shared" si="346"/>
        <v>3.1500000000000004</v>
      </c>
      <c r="AD176" s="42">
        <f t="shared" si="347"/>
        <v>3.1500000000000004</v>
      </c>
      <c r="AE176" s="75">
        <f t="shared" si="267"/>
        <v>9.4500000000000011</v>
      </c>
      <c r="AF176" s="42">
        <f t="shared" si="348"/>
        <v>3.1500000000000004</v>
      </c>
      <c r="AG176" s="42">
        <f t="shared" si="348"/>
        <v>3.1500000000000004</v>
      </c>
      <c r="AH176" s="42">
        <f t="shared" si="348"/>
        <v>3.1500000000000004</v>
      </c>
      <c r="AI176" s="42">
        <f t="shared" si="348"/>
        <v>3.1500000000000004</v>
      </c>
      <c r="AJ176" s="75">
        <f t="shared" si="356"/>
        <v>12.600000000000001</v>
      </c>
      <c r="AK176" s="42">
        <f t="shared" si="349"/>
        <v>3.1500000000000004</v>
      </c>
      <c r="AL176" s="42">
        <f t="shared" si="349"/>
        <v>3.1500000000000004</v>
      </c>
      <c r="AM176" s="42">
        <f t="shared" si="349"/>
        <v>3.1500000000000004</v>
      </c>
      <c r="AN176" s="42">
        <f t="shared" si="349"/>
        <v>3.1500000000000004</v>
      </c>
      <c r="AO176" s="75">
        <f t="shared" si="357"/>
        <v>12.600000000000001</v>
      </c>
      <c r="AP176" s="42">
        <f t="shared" si="350"/>
        <v>3.1500000000000004</v>
      </c>
      <c r="AQ176" s="42">
        <f t="shared" si="350"/>
        <v>3.1500000000000004</v>
      </c>
      <c r="AR176" s="42">
        <f t="shared" si="350"/>
        <v>3.1500000000000004</v>
      </c>
      <c r="AS176" s="42">
        <f t="shared" si="314"/>
        <v>3.1500000000000004</v>
      </c>
      <c r="AT176" s="75">
        <f t="shared" si="358"/>
        <v>12.600000000000001</v>
      </c>
      <c r="AU176" s="42">
        <f t="shared" si="355"/>
        <v>3.1500000000000004</v>
      </c>
      <c r="AV176" s="42">
        <f t="shared" si="355"/>
        <v>3.1500000000000004</v>
      </c>
      <c r="AW176" s="42">
        <f t="shared" si="355"/>
        <v>3.1500000000000004</v>
      </c>
      <c r="AX176" s="42">
        <f t="shared" si="355"/>
        <v>3.1500000000000004</v>
      </c>
      <c r="AY176" s="75">
        <f t="shared" si="359"/>
        <v>12.600000000000001</v>
      </c>
      <c r="AZ176" s="42">
        <f t="shared" si="276"/>
        <v>3.1500000000000004</v>
      </c>
      <c r="BA176" s="42">
        <f t="shared" si="277"/>
        <v>3.1500000000000004</v>
      </c>
      <c r="BB176" s="42">
        <f t="shared" si="278"/>
        <v>3.1500000000000004</v>
      </c>
      <c r="BC176" s="42">
        <f t="shared" si="279"/>
        <v>3.1500000000000004</v>
      </c>
      <c r="BD176" s="75">
        <f t="shared" si="353"/>
        <v>12.600000000000001</v>
      </c>
      <c r="BE176" s="42">
        <f t="shared" si="281"/>
        <v>3.1500000000000004</v>
      </c>
      <c r="BF176" s="42">
        <f t="shared" si="282"/>
        <v>3.1500000000000004</v>
      </c>
      <c r="BG176" s="42">
        <f t="shared" si="283"/>
        <v>3.1500000000000004</v>
      </c>
      <c r="BH176" s="42">
        <f t="shared" si="284"/>
        <v>3.1500000000000004</v>
      </c>
      <c r="BI176" s="75">
        <f t="shared" si="354"/>
        <v>12.600000000000001</v>
      </c>
      <c r="BJ176" s="21"/>
      <c r="BK176" s="21"/>
      <c r="BL176" s="21"/>
    </row>
    <row r="177" spans="1:64" s="25" customFormat="1">
      <c r="A177" s="481" t="str">
        <f t="shared" si="345"/>
        <v>4.150% Notes due 2045</v>
      </c>
      <c r="B177" s="41"/>
      <c r="C177" s="41"/>
      <c r="D177" s="41"/>
      <c r="E177" s="42"/>
      <c r="F177" s="75"/>
      <c r="G177" s="41"/>
      <c r="H177" s="41"/>
      <c r="I177" s="41"/>
      <c r="J177" s="42"/>
      <c r="K177" s="43"/>
      <c r="L177" s="41"/>
      <c r="M177" s="41"/>
      <c r="N177" s="41"/>
      <c r="O177" s="42"/>
      <c r="P177" s="75"/>
      <c r="Q177" s="42"/>
      <c r="R177" s="42"/>
      <c r="S177" s="42"/>
      <c r="T177" s="42"/>
      <c r="U177" s="75"/>
      <c r="V177" s="42"/>
      <c r="W177" s="42"/>
      <c r="X177" s="42"/>
      <c r="Y177" s="42"/>
      <c r="Z177" s="75"/>
      <c r="AA177" s="42"/>
      <c r="AB177" s="42">
        <f t="shared" si="346"/>
        <v>8.8187499999999996</v>
      </c>
      <c r="AC177" s="42">
        <f t="shared" si="346"/>
        <v>8.8187499999999996</v>
      </c>
      <c r="AD177" s="42">
        <f t="shared" si="347"/>
        <v>8.8187499999999996</v>
      </c>
      <c r="AE177" s="75">
        <f t="shared" si="267"/>
        <v>26.456249999999997</v>
      </c>
      <c r="AF177" s="42">
        <f t="shared" si="348"/>
        <v>8.8187499999999996</v>
      </c>
      <c r="AG177" s="42">
        <f t="shared" si="348"/>
        <v>8.8187499999999996</v>
      </c>
      <c r="AH177" s="42">
        <f t="shared" si="348"/>
        <v>8.8187499999999996</v>
      </c>
      <c r="AI177" s="42">
        <f t="shared" si="348"/>
        <v>8.8187499999999996</v>
      </c>
      <c r="AJ177" s="75">
        <f t="shared" si="356"/>
        <v>35.274999999999999</v>
      </c>
      <c r="AK177" s="42">
        <f t="shared" si="349"/>
        <v>8.8187499999999996</v>
      </c>
      <c r="AL177" s="42">
        <f t="shared" si="349"/>
        <v>8.8187499999999996</v>
      </c>
      <c r="AM177" s="42">
        <f t="shared" si="349"/>
        <v>8.8187499999999996</v>
      </c>
      <c r="AN177" s="42">
        <f t="shared" si="349"/>
        <v>8.8187499999999996</v>
      </c>
      <c r="AO177" s="75">
        <f t="shared" si="357"/>
        <v>35.274999999999999</v>
      </c>
      <c r="AP177" s="42">
        <f t="shared" si="350"/>
        <v>8.8187499999999996</v>
      </c>
      <c r="AQ177" s="42">
        <f t="shared" si="350"/>
        <v>8.8187499999999996</v>
      </c>
      <c r="AR177" s="42">
        <f t="shared" si="350"/>
        <v>8.8187499999999996</v>
      </c>
      <c r="AS177" s="42">
        <f t="shared" si="314"/>
        <v>8.8187499999999996</v>
      </c>
      <c r="AT177" s="75">
        <f t="shared" si="358"/>
        <v>35.274999999999999</v>
      </c>
      <c r="AU177" s="42">
        <f t="shared" si="355"/>
        <v>8.8187499999999996</v>
      </c>
      <c r="AV177" s="42">
        <f t="shared" si="355"/>
        <v>8.8187499999999996</v>
      </c>
      <c r="AW177" s="42">
        <f t="shared" si="355"/>
        <v>8.8187499999999996</v>
      </c>
      <c r="AX177" s="42">
        <f t="shared" si="355"/>
        <v>8.8187499999999996</v>
      </c>
      <c r="AY177" s="75">
        <f t="shared" si="359"/>
        <v>35.274999999999999</v>
      </c>
      <c r="AZ177" s="42">
        <f t="shared" si="276"/>
        <v>8.8187499999999996</v>
      </c>
      <c r="BA177" s="42">
        <f t="shared" si="277"/>
        <v>8.8187499999999996</v>
      </c>
      <c r="BB177" s="42">
        <f t="shared" si="278"/>
        <v>8.8187499999999996</v>
      </c>
      <c r="BC177" s="42">
        <f t="shared" si="279"/>
        <v>8.8187499999999996</v>
      </c>
      <c r="BD177" s="75">
        <f t="shared" si="353"/>
        <v>35.274999999999999</v>
      </c>
      <c r="BE177" s="42">
        <f t="shared" si="281"/>
        <v>8.8187499999999996</v>
      </c>
      <c r="BF177" s="42">
        <f t="shared" si="282"/>
        <v>8.8187499999999996</v>
      </c>
      <c r="BG177" s="42">
        <f t="shared" si="283"/>
        <v>8.8187499999999996</v>
      </c>
      <c r="BH177" s="42">
        <f t="shared" si="284"/>
        <v>8.8187499999999996</v>
      </c>
      <c r="BI177" s="75">
        <f t="shared" si="354"/>
        <v>35.274999999999999</v>
      </c>
      <c r="BJ177" s="21"/>
      <c r="BK177" s="21"/>
      <c r="BL177" s="21"/>
    </row>
    <row r="178" spans="1:64" s="25" customFormat="1">
      <c r="A178" s="481" t="str">
        <f t="shared" si="345"/>
        <v>3.750% Notes due 2046</v>
      </c>
      <c r="B178" s="41"/>
      <c r="C178" s="41"/>
      <c r="D178" s="41"/>
      <c r="E178" s="42"/>
      <c r="F178" s="75"/>
      <c r="G178" s="41"/>
      <c r="H178" s="41"/>
      <c r="I178" s="41"/>
      <c r="J178" s="42"/>
      <c r="K178" s="43"/>
      <c r="L178" s="41"/>
      <c r="M178" s="41"/>
      <c r="N178" s="41"/>
      <c r="O178" s="42"/>
      <c r="P178" s="75"/>
      <c r="Q178" s="42"/>
      <c r="R178" s="42"/>
      <c r="S178" s="42"/>
      <c r="T178" s="42"/>
      <c r="U178" s="75"/>
      <c r="V178" s="42"/>
      <c r="W178" s="42"/>
      <c r="X178" s="42"/>
      <c r="Y178" s="42"/>
      <c r="Z178" s="75"/>
      <c r="AA178" s="42"/>
      <c r="AB178" s="42">
        <f t="shared" si="346"/>
        <v>10.3125</v>
      </c>
      <c r="AC178" s="42">
        <f t="shared" si="346"/>
        <v>10.3125</v>
      </c>
      <c r="AD178" s="42">
        <f t="shared" si="347"/>
        <v>10.3125</v>
      </c>
      <c r="AE178" s="75">
        <f t="shared" si="267"/>
        <v>30.9375</v>
      </c>
      <c r="AF178" s="42">
        <f t="shared" si="348"/>
        <v>10.3125</v>
      </c>
      <c r="AG178" s="42">
        <f t="shared" si="348"/>
        <v>10.3125</v>
      </c>
      <c r="AH178" s="42">
        <f t="shared" si="348"/>
        <v>10.3125</v>
      </c>
      <c r="AI178" s="42">
        <f t="shared" si="348"/>
        <v>10.3125</v>
      </c>
      <c r="AJ178" s="75">
        <f t="shared" si="356"/>
        <v>41.25</v>
      </c>
      <c r="AK178" s="42">
        <f t="shared" si="349"/>
        <v>10.3125</v>
      </c>
      <c r="AL178" s="42">
        <f t="shared" si="349"/>
        <v>10.3125</v>
      </c>
      <c r="AM178" s="42">
        <f t="shared" si="349"/>
        <v>10.3125</v>
      </c>
      <c r="AN178" s="42">
        <f t="shared" si="349"/>
        <v>10.3125</v>
      </c>
      <c r="AO178" s="75">
        <f t="shared" si="357"/>
        <v>41.25</v>
      </c>
      <c r="AP178" s="42">
        <f t="shared" si="350"/>
        <v>10.3125</v>
      </c>
      <c r="AQ178" s="42">
        <f t="shared" si="350"/>
        <v>10.3125</v>
      </c>
      <c r="AR178" s="42">
        <f t="shared" si="350"/>
        <v>10.3125</v>
      </c>
      <c r="AS178" s="42">
        <f t="shared" si="314"/>
        <v>10.3125</v>
      </c>
      <c r="AT178" s="75">
        <f t="shared" si="358"/>
        <v>41.25</v>
      </c>
      <c r="AU178" s="42">
        <f t="shared" si="355"/>
        <v>10.3125</v>
      </c>
      <c r="AV178" s="42">
        <f t="shared" si="355"/>
        <v>10.3125</v>
      </c>
      <c r="AW178" s="42">
        <f t="shared" si="355"/>
        <v>10.3125</v>
      </c>
      <c r="AX178" s="42">
        <f t="shared" si="355"/>
        <v>10.3125</v>
      </c>
      <c r="AY178" s="75">
        <f t="shared" si="359"/>
        <v>41.25</v>
      </c>
      <c r="AZ178" s="42">
        <f t="shared" si="276"/>
        <v>10.3125</v>
      </c>
      <c r="BA178" s="42">
        <f t="shared" si="277"/>
        <v>10.3125</v>
      </c>
      <c r="BB178" s="42">
        <f t="shared" si="278"/>
        <v>10.3125</v>
      </c>
      <c r="BC178" s="42">
        <f t="shared" si="279"/>
        <v>10.3125</v>
      </c>
      <c r="BD178" s="75">
        <f t="shared" si="353"/>
        <v>41.25</v>
      </c>
      <c r="BE178" s="42">
        <f t="shared" si="281"/>
        <v>10.3125</v>
      </c>
      <c r="BF178" s="42">
        <f t="shared" si="282"/>
        <v>10.3125</v>
      </c>
      <c r="BG178" s="42">
        <f t="shared" si="283"/>
        <v>10.3125</v>
      </c>
      <c r="BH178" s="42">
        <f t="shared" si="284"/>
        <v>10.3125</v>
      </c>
      <c r="BI178" s="75">
        <f t="shared" si="354"/>
        <v>41.25</v>
      </c>
      <c r="BJ178" s="21"/>
      <c r="BK178" s="21"/>
      <c r="BL178" s="21"/>
    </row>
    <row r="179" spans="1:64" s="25" customFormat="1">
      <c r="A179" s="481" t="str">
        <f t="shared" si="345"/>
        <v>4.050% Notes due 2047</v>
      </c>
      <c r="B179" s="41"/>
      <c r="C179" s="41"/>
      <c r="D179" s="41"/>
      <c r="E179" s="42"/>
      <c r="F179" s="75"/>
      <c r="G179" s="41"/>
      <c r="H179" s="41"/>
      <c r="I179" s="41"/>
      <c r="J179" s="42"/>
      <c r="K179" s="43"/>
      <c r="L179" s="41"/>
      <c r="M179" s="41"/>
      <c r="N179" s="41"/>
      <c r="O179" s="42"/>
      <c r="P179" s="75"/>
      <c r="Q179" s="42"/>
      <c r="R179" s="42"/>
      <c r="S179" s="42"/>
      <c r="T179" s="42"/>
      <c r="U179" s="75"/>
      <c r="V179" s="42"/>
      <c r="W179" s="42"/>
      <c r="X179" s="42"/>
      <c r="Y179" s="42"/>
      <c r="Z179" s="75"/>
      <c r="AA179" s="42"/>
      <c r="AB179" s="42">
        <f t="shared" si="346"/>
        <v>6.0750000000000002</v>
      </c>
      <c r="AC179" s="42">
        <f t="shared" si="346"/>
        <v>6.0750000000000002</v>
      </c>
      <c r="AD179" s="42">
        <f t="shared" si="347"/>
        <v>6.0750000000000002</v>
      </c>
      <c r="AE179" s="75">
        <f t="shared" si="267"/>
        <v>18.225000000000001</v>
      </c>
      <c r="AF179" s="42">
        <f t="shared" si="348"/>
        <v>6.0750000000000002</v>
      </c>
      <c r="AG179" s="42">
        <f t="shared" si="348"/>
        <v>6.0750000000000002</v>
      </c>
      <c r="AH179" s="42">
        <f t="shared" si="348"/>
        <v>6.0750000000000002</v>
      </c>
      <c r="AI179" s="42">
        <f t="shared" si="348"/>
        <v>6.0750000000000002</v>
      </c>
      <c r="AJ179" s="75">
        <f t="shared" si="356"/>
        <v>24.3</v>
      </c>
      <c r="AK179" s="42">
        <f t="shared" si="349"/>
        <v>6.0750000000000002</v>
      </c>
      <c r="AL179" s="42">
        <f t="shared" si="349"/>
        <v>6.0750000000000002</v>
      </c>
      <c r="AM179" s="42">
        <f t="shared" si="349"/>
        <v>6.0750000000000002</v>
      </c>
      <c r="AN179" s="42">
        <f t="shared" si="349"/>
        <v>6.0750000000000002</v>
      </c>
      <c r="AO179" s="75">
        <f t="shared" si="357"/>
        <v>24.3</v>
      </c>
      <c r="AP179" s="42">
        <f t="shared" si="350"/>
        <v>6.0750000000000002</v>
      </c>
      <c r="AQ179" s="42">
        <f t="shared" si="350"/>
        <v>6.0750000000000002</v>
      </c>
      <c r="AR179" s="42">
        <f t="shared" si="350"/>
        <v>6.0750000000000002</v>
      </c>
      <c r="AS179" s="42">
        <f t="shared" si="314"/>
        <v>6.0750000000000002</v>
      </c>
      <c r="AT179" s="75">
        <f t="shared" si="358"/>
        <v>24.3</v>
      </c>
      <c r="AU179" s="42">
        <f t="shared" si="355"/>
        <v>6.0750000000000002</v>
      </c>
      <c r="AV179" s="42">
        <f t="shared" si="355"/>
        <v>6.0750000000000002</v>
      </c>
      <c r="AW179" s="42">
        <f t="shared" si="355"/>
        <v>6.0750000000000002</v>
      </c>
      <c r="AX179" s="42">
        <f t="shared" si="355"/>
        <v>6.0750000000000002</v>
      </c>
      <c r="AY179" s="75">
        <f t="shared" si="359"/>
        <v>24.3</v>
      </c>
      <c r="AZ179" s="42">
        <f t="shared" si="276"/>
        <v>6.0750000000000002</v>
      </c>
      <c r="BA179" s="42">
        <f t="shared" si="277"/>
        <v>6.0750000000000002</v>
      </c>
      <c r="BB179" s="42">
        <f t="shared" si="278"/>
        <v>6.0750000000000002</v>
      </c>
      <c r="BC179" s="42">
        <f t="shared" si="279"/>
        <v>6.0750000000000002</v>
      </c>
      <c r="BD179" s="75">
        <f t="shared" si="353"/>
        <v>24.3</v>
      </c>
      <c r="BE179" s="42">
        <f t="shared" si="281"/>
        <v>6.0750000000000002</v>
      </c>
      <c r="BF179" s="42">
        <f t="shared" si="282"/>
        <v>6.0750000000000002</v>
      </c>
      <c r="BG179" s="42">
        <f t="shared" si="283"/>
        <v>6.0750000000000002</v>
      </c>
      <c r="BH179" s="42">
        <f t="shared" si="284"/>
        <v>6.0750000000000002</v>
      </c>
      <c r="BI179" s="75">
        <f t="shared" si="354"/>
        <v>24.3</v>
      </c>
      <c r="BJ179" s="21"/>
      <c r="BK179" s="21"/>
      <c r="BL179" s="21"/>
    </row>
    <row r="180" spans="1:64" s="25" customFormat="1">
      <c r="A180" s="481" t="str">
        <f t="shared" si="345"/>
        <v>4.350% Notes due 2047</v>
      </c>
      <c r="B180" s="41"/>
      <c r="C180" s="41"/>
      <c r="D180" s="41"/>
      <c r="E180" s="42"/>
      <c r="F180" s="75"/>
      <c r="G180" s="41"/>
      <c r="H180" s="41"/>
      <c r="I180" s="41"/>
      <c r="J180" s="42"/>
      <c r="K180" s="43"/>
      <c r="L180" s="41"/>
      <c r="M180" s="41"/>
      <c r="N180" s="41"/>
      <c r="O180" s="42"/>
      <c r="P180" s="75"/>
      <c r="Q180" s="42"/>
      <c r="R180" s="42"/>
      <c r="S180" s="42"/>
      <c r="T180" s="42"/>
      <c r="U180" s="75"/>
      <c r="V180" s="42"/>
      <c r="W180" s="42"/>
      <c r="X180" s="42"/>
      <c r="Y180" s="42"/>
      <c r="Z180" s="75"/>
      <c r="AA180" s="42"/>
      <c r="AB180" s="42">
        <f t="shared" si="346"/>
        <v>10.875</v>
      </c>
      <c r="AC180" s="42">
        <f t="shared" si="346"/>
        <v>10.875</v>
      </c>
      <c r="AD180" s="42">
        <f t="shared" si="347"/>
        <v>10.875</v>
      </c>
      <c r="AE180" s="75">
        <f t="shared" si="267"/>
        <v>32.625</v>
      </c>
      <c r="AF180" s="42">
        <f t="shared" si="348"/>
        <v>10.875</v>
      </c>
      <c r="AG180" s="42">
        <f t="shared" si="348"/>
        <v>10.875</v>
      </c>
      <c r="AH180" s="42">
        <f t="shared" si="348"/>
        <v>10.875</v>
      </c>
      <c r="AI180" s="42">
        <f t="shared" si="348"/>
        <v>10.875</v>
      </c>
      <c r="AJ180" s="75">
        <f t="shared" si="356"/>
        <v>43.5</v>
      </c>
      <c r="AK180" s="42">
        <f t="shared" si="349"/>
        <v>10.875</v>
      </c>
      <c r="AL180" s="42">
        <f t="shared" si="349"/>
        <v>10.875</v>
      </c>
      <c r="AM180" s="42">
        <f t="shared" si="349"/>
        <v>10.875</v>
      </c>
      <c r="AN180" s="42">
        <f t="shared" si="349"/>
        <v>10.875</v>
      </c>
      <c r="AO180" s="75">
        <f t="shared" si="357"/>
        <v>43.5</v>
      </c>
      <c r="AP180" s="42">
        <f t="shared" si="350"/>
        <v>10.875</v>
      </c>
      <c r="AQ180" s="42">
        <f t="shared" si="350"/>
        <v>10.875</v>
      </c>
      <c r="AR180" s="42">
        <f t="shared" si="350"/>
        <v>10.875</v>
      </c>
      <c r="AS180" s="42">
        <f t="shared" si="314"/>
        <v>10.875</v>
      </c>
      <c r="AT180" s="75">
        <f t="shared" si="358"/>
        <v>43.5</v>
      </c>
      <c r="AU180" s="42">
        <f t="shared" si="355"/>
        <v>10.875</v>
      </c>
      <c r="AV180" s="42">
        <f t="shared" si="355"/>
        <v>10.875</v>
      </c>
      <c r="AW180" s="42">
        <f t="shared" si="355"/>
        <v>10.875</v>
      </c>
      <c r="AX180" s="42">
        <f t="shared" si="355"/>
        <v>10.875</v>
      </c>
      <c r="AY180" s="75">
        <f t="shared" si="359"/>
        <v>43.5</v>
      </c>
      <c r="AZ180" s="42">
        <f t="shared" si="276"/>
        <v>10.875</v>
      </c>
      <c r="BA180" s="42">
        <f t="shared" si="277"/>
        <v>10.875</v>
      </c>
      <c r="BB180" s="42">
        <f t="shared" si="278"/>
        <v>10.875</v>
      </c>
      <c r="BC180" s="42">
        <f t="shared" si="279"/>
        <v>10.875</v>
      </c>
      <c r="BD180" s="75">
        <f t="shared" si="353"/>
        <v>43.5</v>
      </c>
      <c r="BE180" s="42">
        <f t="shared" si="281"/>
        <v>10.875</v>
      </c>
      <c r="BF180" s="42">
        <f t="shared" si="282"/>
        <v>10.875</v>
      </c>
      <c r="BG180" s="42">
        <f t="shared" si="283"/>
        <v>10.875</v>
      </c>
      <c r="BH180" s="42">
        <f t="shared" si="284"/>
        <v>10.875</v>
      </c>
      <c r="BI180" s="75">
        <f t="shared" si="354"/>
        <v>43.5</v>
      </c>
      <c r="BJ180" s="21"/>
      <c r="BK180" s="21"/>
      <c r="BL180" s="21"/>
    </row>
    <row r="181" spans="1:64" s="25" customFormat="1">
      <c r="A181" s="481" t="str">
        <f t="shared" si="345"/>
        <v>4.625% Notes due 2048</v>
      </c>
      <c r="B181" s="41"/>
      <c r="C181" s="41"/>
      <c r="D181" s="41"/>
      <c r="E181" s="42"/>
      <c r="F181" s="75"/>
      <c r="G181" s="41"/>
      <c r="H181" s="41"/>
      <c r="I181" s="41"/>
      <c r="J181" s="42"/>
      <c r="K181" s="43"/>
      <c r="L181" s="41"/>
      <c r="M181" s="41"/>
      <c r="N181" s="41"/>
      <c r="O181" s="42"/>
      <c r="P181" s="75"/>
      <c r="Q181" s="42"/>
      <c r="R181" s="42"/>
      <c r="S181" s="42"/>
      <c r="T181" s="42"/>
      <c r="U181" s="75"/>
      <c r="V181" s="42"/>
      <c r="W181" s="42"/>
      <c r="X181" s="42"/>
      <c r="Y181" s="42"/>
      <c r="Z181" s="75"/>
      <c r="AA181" s="42"/>
      <c r="AB181" s="42">
        <f t="shared" si="346"/>
        <v>20.234375</v>
      </c>
      <c r="AC181" s="42">
        <f t="shared" si="346"/>
        <v>20.234375</v>
      </c>
      <c r="AD181" s="42">
        <f t="shared" si="347"/>
        <v>20.234375</v>
      </c>
      <c r="AE181" s="75">
        <f t="shared" si="267"/>
        <v>60.703125</v>
      </c>
      <c r="AF181" s="42">
        <f t="shared" si="348"/>
        <v>20.234375</v>
      </c>
      <c r="AG181" s="42">
        <f t="shared" si="348"/>
        <v>20.234375</v>
      </c>
      <c r="AH181" s="42">
        <f t="shared" si="348"/>
        <v>20.234375</v>
      </c>
      <c r="AI181" s="42">
        <f t="shared" si="348"/>
        <v>20.234375</v>
      </c>
      <c r="AJ181" s="75">
        <f t="shared" si="356"/>
        <v>80.9375</v>
      </c>
      <c r="AK181" s="42">
        <f t="shared" si="349"/>
        <v>20.234375</v>
      </c>
      <c r="AL181" s="42">
        <f t="shared" si="349"/>
        <v>20.234375</v>
      </c>
      <c r="AM181" s="42">
        <f t="shared" si="349"/>
        <v>20.234375</v>
      </c>
      <c r="AN181" s="42">
        <f t="shared" si="349"/>
        <v>20.234375</v>
      </c>
      <c r="AO181" s="75">
        <f t="shared" si="357"/>
        <v>80.9375</v>
      </c>
      <c r="AP181" s="42">
        <f t="shared" si="350"/>
        <v>20.234375</v>
      </c>
      <c r="AQ181" s="42">
        <f t="shared" si="350"/>
        <v>20.234375</v>
      </c>
      <c r="AR181" s="42">
        <f t="shared" si="350"/>
        <v>20.234375</v>
      </c>
      <c r="AS181" s="42">
        <f t="shared" si="314"/>
        <v>20.234375</v>
      </c>
      <c r="AT181" s="75">
        <f t="shared" si="358"/>
        <v>80.9375</v>
      </c>
      <c r="AU181" s="42">
        <f t="shared" si="355"/>
        <v>20.234375</v>
      </c>
      <c r="AV181" s="42">
        <f t="shared" si="355"/>
        <v>20.234375</v>
      </c>
      <c r="AW181" s="42">
        <f t="shared" si="355"/>
        <v>20.234375</v>
      </c>
      <c r="AX181" s="42">
        <f t="shared" si="355"/>
        <v>20.234375</v>
      </c>
      <c r="AY181" s="75">
        <f t="shared" si="359"/>
        <v>80.9375</v>
      </c>
      <c r="AZ181" s="42">
        <f t="shared" si="276"/>
        <v>20.234375</v>
      </c>
      <c r="BA181" s="42">
        <f t="shared" si="277"/>
        <v>20.234375</v>
      </c>
      <c r="BB181" s="42">
        <f t="shared" si="278"/>
        <v>20.234375</v>
      </c>
      <c r="BC181" s="42">
        <f t="shared" si="279"/>
        <v>20.234375</v>
      </c>
      <c r="BD181" s="75">
        <f t="shared" si="353"/>
        <v>80.9375</v>
      </c>
      <c r="BE181" s="42">
        <f t="shared" si="281"/>
        <v>20.234375</v>
      </c>
      <c r="BF181" s="42">
        <f t="shared" si="282"/>
        <v>20.234375</v>
      </c>
      <c r="BG181" s="42">
        <f t="shared" si="283"/>
        <v>20.234375</v>
      </c>
      <c r="BH181" s="42">
        <f t="shared" si="284"/>
        <v>20.234375</v>
      </c>
      <c r="BI181" s="75">
        <f t="shared" si="354"/>
        <v>80.9375</v>
      </c>
      <c r="BJ181" s="21"/>
      <c r="BK181" s="21"/>
      <c r="BL181" s="21"/>
    </row>
    <row r="182" spans="1:64" s="25" customFormat="1">
      <c r="A182" s="481" t="str">
        <f t="shared" si="345"/>
        <v>3.125% Notes due 2050</v>
      </c>
      <c r="B182" s="41"/>
      <c r="C182" s="41"/>
      <c r="D182" s="41"/>
      <c r="E182" s="42"/>
      <c r="F182" s="75"/>
      <c r="G182" s="41"/>
      <c r="H182" s="41"/>
      <c r="I182" s="41"/>
      <c r="J182" s="42"/>
      <c r="K182" s="43"/>
      <c r="L182" s="41"/>
      <c r="M182" s="41"/>
      <c r="N182" s="41"/>
      <c r="O182" s="42"/>
      <c r="P182" s="75"/>
      <c r="Q182" s="42"/>
      <c r="R182" s="42"/>
      <c r="S182" s="42"/>
      <c r="T182" s="42"/>
      <c r="U182" s="75"/>
      <c r="V182" s="42"/>
      <c r="W182" s="42"/>
      <c r="X182" s="42"/>
      <c r="Y182" s="42"/>
      <c r="Z182" s="75"/>
      <c r="AA182" s="42"/>
      <c r="AB182" s="42">
        <f t="shared" si="346"/>
        <v>7.8125</v>
      </c>
      <c r="AC182" s="42">
        <f t="shared" si="346"/>
        <v>7.8125</v>
      </c>
      <c r="AD182" s="42">
        <f t="shared" si="347"/>
        <v>7.8125</v>
      </c>
      <c r="AE182" s="75">
        <f t="shared" si="267"/>
        <v>23.4375</v>
      </c>
      <c r="AF182" s="42">
        <f t="shared" si="348"/>
        <v>7.8125</v>
      </c>
      <c r="AG182" s="42">
        <f t="shared" si="348"/>
        <v>7.8125</v>
      </c>
      <c r="AH182" s="42">
        <f t="shared" si="348"/>
        <v>7.8125</v>
      </c>
      <c r="AI182" s="42">
        <f t="shared" si="348"/>
        <v>7.8125</v>
      </c>
      <c r="AJ182" s="75">
        <f t="shared" si="356"/>
        <v>31.25</v>
      </c>
      <c r="AK182" s="42">
        <f t="shared" si="349"/>
        <v>7.8125</v>
      </c>
      <c r="AL182" s="42">
        <f t="shared" si="349"/>
        <v>7.8125</v>
      </c>
      <c r="AM182" s="42">
        <f t="shared" si="349"/>
        <v>7.8125</v>
      </c>
      <c r="AN182" s="42">
        <f t="shared" si="349"/>
        <v>7.8125</v>
      </c>
      <c r="AO182" s="75">
        <f t="shared" si="357"/>
        <v>31.25</v>
      </c>
      <c r="AP182" s="42">
        <f t="shared" si="350"/>
        <v>7.8125</v>
      </c>
      <c r="AQ182" s="42">
        <f t="shared" si="350"/>
        <v>7.8125</v>
      </c>
      <c r="AR182" s="42">
        <f t="shared" si="350"/>
        <v>7.8125</v>
      </c>
      <c r="AS182" s="42">
        <f t="shared" si="314"/>
        <v>7.8125</v>
      </c>
      <c r="AT182" s="75">
        <f t="shared" si="358"/>
        <v>31.25</v>
      </c>
      <c r="AU182" s="42">
        <f t="shared" si="355"/>
        <v>7.8125</v>
      </c>
      <c r="AV182" s="42">
        <f t="shared" si="355"/>
        <v>7.8125</v>
      </c>
      <c r="AW182" s="42">
        <f t="shared" si="355"/>
        <v>7.8125</v>
      </c>
      <c r="AX182" s="42">
        <f t="shared" si="355"/>
        <v>7.8125</v>
      </c>
      <c r="AY182" s="75">
        <f t="shared" si="359"/>
        <v>31.25</v>
      </c>
      <c r="AZ182" s="42">
        <f t="shared" si="276"/>
        <v>7.8125</v>
      </c>
      <c r="BA182" s="42">
        <f t="shared" si="277"/>
        <v>7.8125</v>
      </c>
      <c r="BB182" s="42">
        <f t="shared" si="278"/>
        <v>7.8125</v>
      </c>
      <c r="BC182" s="42">
        <f t="shared" si="279"/>
        <v>7.8125</v>
      </c>
      <c r="BD182" s="75">
        <f t="shared" si="353"/>
        <v>31.25</v>
      </c>
      <c r="BE182" s="42">
        <f t="shared" si="281"/>
        <v>7.8125</v>
      </c>
      <c r="BF182" s="42">
        <f t="shared" si="282"/>
        <v>7.8125</v>
      </c>
      <c r="BG182" s="42">
        <f t="shared" si="283"/>
        <v>7.8125</v>
      </c>
      <c r="BH182" s="42">
        <f t="shared" si="284"/>
        <v>7.8125</v>
      </c>
      <c r="BI182" s="75">
        <f t="shared" si="354"/>
        <v>31.25</v>
      </c>
      <c r="BJ182" s="21"/>
      <c r="BK182" s="21"/>
      <c r="BL182" s="21"/>
    </row>
    <row r="183" spans="1:64" s="25" customFormat="1">
      <c r="A183" s="481" t="str">
        <f t="shared" si="345"/>
        <v>2.820% Notes due 2051</v>
      </c>
      <c r="B183" s="41"/>
      <c r="C183" s="41"/>
      <c r="D183" s="41"/>
      <c r="E183" s="42"/>
      <c r="F183" s="75"/>
      <c r="G183" s="41"/>
      <c r="H183" s="41"/>
      <c r="I183" s="41"/>
      <c r="J183" s="42"/>
      <c r="K183" s="43"/>
      <c r="L183" s="41"/>
      <c r="M183" s="41"/>
      <c r="N183" s="41"/>
      <c r="O183" s="42"/>
      <c r="P183" s="75"/>
      <c r="Q183" s="42"/>
      <c r="R183" s="42"/>
      <c r="S183" s="42"/>
      <c r="T183" s="42"/>
      <c r="U183" s="75"/>
      <c r="V183" s="42"/>
      <c r="W183" s="42"/>
      <c r="X183" s="42"/>
      <c r="Y183" s="42"/>
      <c r="Z183" s="75"/>
      <c r="AA183" s="42"/>
      <c r="AB183" s="42">
        <f t="shared" si="346"/>
        <v>0</v>
      </c>
      <c r="AC183" s="42">
        <f t="shared" si="346"/>
        <v>0</v>
      </c>
      <c r="AD183" s="42">
        <f t="shared" si="347"/>
        <v>0</v>
      </c>
      <c r="AE183" s="75">
        <f t="shared" ref="AE183" si="360">SUM(AA183:AD183)</f>
        <v>0</v>
      </c>
      <c r="AF183" s="42">
        <f t="shared" si="348"/>
        <v>0</v>
      </c>
      <c r="AG183" s="42">
        <f t="shared" si="348"/>
        <v>0</v>
      </c>
      <c r="AH183" s="42">
        <f t="shared" si="348"/>
        <v>3.5249999999999999</v>
      </c>
      <c r="AI183" s="42">
        <f t="shared" si="348"/>
        <v>7.05</v>
      </c>
      <c r="AJ183" s="75">
        <f t="shared" ref="AJ183" si="361">SUM(AF183:AI183)</f>
        <v>10.574999999999999</v>
      </c>
      <c r="AK183" s="42">
        <f t="shared" si="349"/>
        <v>7.05</v>
      </c>
      <c r="AL183" s="42">
        <f t="shared" si="349"/>
        <v>7.05</v>
      </c>
      <c r="AM183" s="42">
        <f t="shared" si="349"/>
        <v>7.05</v>
      </c>
      <c r="AN183" s="42">
        <f t="shared" si="349"/>
        <v>7.05</v>
      </c>
      <c r="AO183" s="75">
        <f t="shared" ref="AO183" si="362">SUM(AK183:AN183)</f>
        <v>28.2</v>
      </c>
      <c r="AP183" s="42">
        <f t="shared" si="350"/>
        <v>7.05</v>
      </c>
      <c r="AQ183" s="42">
        <f t="shared" si="350"/>
        <v>7.05</v>
      </c>
      <c r="AR183" s="42">
        <f t="shared" si="350"/>
        <v>7.05</v>
      </c>
      <c r="AS183" s="42">
        <f t="shared" si="314"/>
        <v>7.05</v>
      </c>
      <c r="AT183" s="75">
        <f t="shared" si="358"/>
        <v>28.2</v>
      </c>
      <c r="AU183" s="42">
        <f t="shared" si="355"/>
        <v>7.05</v>
      </c>
      <c r="AV183" s="42">
        <f t="shared" si="355"/>
        <v>7.05</v>
      </c>
      <c r="AW183" s="42">
        <f t="shared" si="355"/>
        <v>7.05</v>
      </c>
      <c r="AX183" s="42">
        <f t="shared" si="355"/>
        <v>7.05</v>
      </c>
      <c r="AY183" s="75">
        <f t="shared" si="359"/>
        <v>28.2</v>
      </c>
      <c r="AZ183" s="42">
        <f t="shared" si="276"/>
        <v>7.05</v>
      </c>
      <c r="BA183" s="42">
        <f t="shared" si="277"/>
        <v>7.05</v>
      </c>
      <c r="BB183" s="42">
        <f t="shared" si="278"/>
        <v>7.05</v>
      </c>
      <c r="BC183" s="42">
        <f t="shared" si="279"/>
        <v>7.05</v>
      </c>
      <c r="BD183" s="75">
        <f t="shared" si="353"/>
        <v>28.2</v>
      </c>
      <c r="BE183" s="42">
        <f t="shared" si="281"/>
        <v>7.05</v>
      </c>
      <c r="BF183" s="42">
        <f t="shared" si="282"/>
        <v>7.05</v>
      </c>
      <c r="BG183" s="42">
        <f t="shared" si="283"/>
        <v>7.05</v>
      </c>
      <c r="BH183" s="42">
        <f t="shared" si="284"/>
        <v>7.05</v>
      </c>
      <c r="BI183" s="75">
        <f t="shared" si="354"/>
        <v>28.2</v>
      </c>
      <c r="BJ183" s="21"/>
      <c r="BK183" s="21"/>
      <c r="BL183" s="21"/>
    </row>
    <row r="184" spans="1:64" s="25" customFormat="1">
      <c r="A184" s="481" t="s">
        <v>427</v>
      </c>
      <c r="B184" s="41"/>
      <c r="C184" s="41"/>
      <c r="D184" s="41"/>
      <c r="E184" s="42"/>
      <c r="F184" s="75"/>
      <c r="G184" s="41"/>
      <c r="H184" s="41"/>
      <c r="I184" s="41"/>
      <c r="J184" s="42"/>
      <c r="K184" s="43"/>
      <c r="L184" s="41"/>
      <c r="M184" s="41"/>
      <c r="N184" s="41"/>
      <c r="O184" s="42"/>
      <c r="P184" s="75"/>
      <c r="Q184" s="42"/>
      <c r="R184" s="42"/>
      <c r="S184" s="42"/>
      <c r="T184" s="42"/>
      <c r="U184" s="75"/>
      <c r="V184" s="42"/>
      <c r="W184" s="42"/>
      <c r="X184" s="42"/>
      <c r="Y184" s="42"/>
      <c r="Z184" s="75"/>
      <c r="AA184" s="42"/>
      <c r="AB184" s="42">
        <f t="shared" si="346"/>
        <v>0</v>
      </c>
      <c r="AC184" s="42">
        <f t="shared" si="346"/>
        <v>0</v>
      </c>
      <c r="AD184" s="42">
        <f t="shared" si="347"/>
        <v>0</v>
      </c>
      <c r="AE184" s="75">
        <f t="shared" ref="AE184" si="363">SUM(AA184:AD184)</f>
        <v>0</v>
      </c>
      <c r="AF184" s="42">
        <f t="shared" si="348"/>
        <v>0</v>
      </c>
      <c r="AG184" s="42">
        <f t="shared" si="348"/>
        <v>0</v>
      </c>
      <c r="AH184" s="42">
        <f t="shared" si="348"/>
        <v>0</v>
      </c>
      <c r="AI184" s="42">
        <f t="shared" si="348"/>
        <v>4.1662499999999998</v>
      </c>
      <c r="AJ184" s="75">
        <f t="shared" ref="AJ184" si="364">SUM(AF184:AI184)</f>
        <v>4.1662499999999998</v>
      </c>
      <c r="AK184" s="42">
        <f t="shared" si="349"/>
        <v>8.3324999999999996</v>
      </c>
      <c r="AL184" s="42">
        <f t="shared" si="349"/>
        <v>8.3324999999999996</v>
      </c>
      <c r="AM184" s="42">
        <f t="shared" si="349"/>
        <v>8.3324999999999996</v>
      </c>
      <c r="AN184" s="42">
        <f t="shared" si="349"/>
        <v>8.3324999999999996</v>
      </c>
      <c r="AO184" s="75">
        <f t="shared" ref="AO184" si="365">SUM(AK184:AN184)</f>
        <v>33.33</v>
      </c>
      <c r="AP184" s="42">
        <f t="shared" si="350"/>
        <v>8.3324999999999996</v>
      </c>
      <c r="AQ184" s="42">
        <f t="shared" si="350"/>
        <v>8.3324999999999996</v>
      </c>
      <c r="AR184" s="42">
        <f t="shared" si="350"/>
        <v>8.3324999999999996</v>
      </c>
      <c r="AS184" s="42">
        <f t="shared" si="314"/>
        <v>8.3324999999999996</v>
      </c>
      <c r="AT184" s="75">
        <f t="shared" si="358"/>
        <v>33.33</v>
      </c>
      <c r="AU184" s="42">
        <f t="shared" si="355"/>
        <v>8.3324999999999996</v>
      </c>
      <c r="AV184" s="42">
        <f t="shared" si="355"/>
        <v>8.3324999999999996</v>
      </c>
      <c r="AW184" s="42">
        <f t="shared" si="355"/>
        <v>8.3324999999999996</v>
      </c>
      <c r="AX184" s="42">
        <f t="shared" si="355"/>
        <v>8.3324999999999996</v>
      </c>
      <c r="AY184" s="75">
        <f t="shared" si="359"/>
        <v>33.33</v>
      </c>
      <c r="AZ184" s="42">
        <f t="shared" si="276"/>
        <v>8.3324999999999996</v>
      </c>
      <c r="BA184" s="42">
        <f t="shared" si="277"/>
        <v>8.3324999999999996</v>
      </c>
      <c r="BB184" s="42">
        <f t="shared" si="278"/>
        <v>8.3324999999999996</v>
      </c>
      <c r="BC184" s="42">
        <f t="shared" si="279"/>
        <v>8.3324999999999996</v>
      </c>
      <c r="BD184" s="75">
        <f t="shared" si="353"/>
        <v>33.33</v>
      </c>
      <c r="BE184" s="42">
        <f t="shared" si="281"/>
        <v>8.3324999999999996</v>
      </c>
      <c r="BF184" s="42">
        <f t="shared" si="282"/>
        <v>8.3324999999999996</v>
      </c>
      <c r="BG184" s="42">
        <f t="shared" si="283"/>
        <v>8.3324999999999996</v>
      </c>
      <c r="BH184" s="42">
        <f t="shared" si="284"/>
        <v>8.3324999999999996</v>
      </c>
      <c r="BI184" s="75">
        <f t="shared" si="354"/>
        <v>33.33</v>
      </c>
      <c r="BJ184" s="21"/>
      <c r="BK184" s="21"/>
      <c r="BL184" s="21"/>
    </row>
    <row r="185" spans="1:64" s="25" customFormat="1">
      <c r="A185" s="492" t="str">
        <f>A123</f>
        <v>3.030% Notes due 2053</v>
      </c>
      <c r="B185" s="41"/>
      <c r="C185" s="41"/>
      <c r="D185" s="41"/>
      <c r="E185" s="42"/>
      <c r="F185" s="75"/>
      <c r="G185" s="41"/>
      <c r="H185" s="41"/>
      <c r="I185" s="41"/>
      <c r="J185" s="42"/>
      <c r="K185" s="43"/>
      <c r="L185" s="41"/>
      <c r="M185" s="41"/>
      <c r="N185" s="41"/>
      <c r="O185" s="42"/>
      <c r="P185" s="75"/>
      <c r="Q185" s="42"/>
      <c r="R185" s="42"/>
      <c r="S185" s="42"/>
      <c r="T185" s="42"/>
      <c r="U185" s="75"/>
      <c r="V185" s="42"/>
      <c r="W185" s="42"/>
      <c r="X185" s="42"/>
      <c r="Y185" s="42"/>
      <c r="Z185" s="75"/>
      <c r="AA185" s="42"/>
      <c r="AB185" s="42">
        <f>+AB55*AB123/4</f>
        <v>0</v>
      </c>
      <c r="AC185" s="42"/>
      <c r="AD185" s="42"/>
      <c r="AE185" s="75"/>
      <c r="AF185" s="42"/>
      <c r="AG185" s="42"/>
      <c r="AH185" s="42"/>
      <c r="AI185" s="42"/>
      <c r="AJ185" s="75"/>
      <c r="AK185" s="42">
        <f t="shared" si="349"/>
        <v>0</v>
      </c>
      <c r="AL185" s="42">
        <f t="shared" si="349"/>
        <v>0</v>
      </c>
      <c r="AM185" s="42">
        <f t="shared" si="349"/>
        <v>0</v>
      </c>
      <c r="AN185" s="42">
        <f t="shared" si="349"/>
        <v>0</v>
      </c>
      <c r="AO185" s="75">
        <f t="shared" ref="AO185" si="366">SUM(AK185:AN185)</f>
        <v>0</v>
      </c>
      <c r="AP185" s="42">
        <f t="shared" si="350"/>
        <v>8.3984375</v>
      </c>
      <c r="AQ185" s="42">
        <f t="shared" si="350"/>
        <v>16.796875</v>
      </c>
      <c r="AR185" s="42">
        <f t="shared" si="350"/>
        <v>16.796875</v>
      </c>
      <c r="AS185" s="42">
        <f t="shared" si="314"/>
        <v>16.796875</v>
      </c>
      <c r="AT185" s="75">
        <f t="shared" ref="AT185" si="367">SUM(AP185:AS185)</f>
        <v>58.7890625</v>
      </c>
      <c r="AU185" s="42">
        <f t="shared" si="355"/>
        <v>16.796875</v>
      </c>
      <c r="AV185" s="42">
        <f t="shared" si="355"/>
        <v>16.796875</v>
      </c>
      <c r="AW185" s="42">
        <f t="shared" si="355"/>
        <v>16.796875</v>
      </c>
      <c r="AX185" s="42">
        <f t="shared" si="355"/>
        <v>16.796875</v>
      </c>
      <c r="AY185" s="75">
        <f t="shared" si="359"/>
        <v>67.1875</v>
      </c>
      <c r="AZ185" s="42">
        <f t="shared" si="276"/>
        <v>16.796875</v>
      </c>
      <c r="BA185" s="42">
        <f t="shared" si="277"/>
        <v>16.796875</v>
      </c>
      <c r="BB185" s="42">
        <f t="shared" si="278"/>
        <v>16.796875</v>
      </c>
      <c r="BC185" s="42">
        <f t="shared" si="279"/>
        <v>16.796875</v>
      </c>
      <c r="BD185" s="75">
        <f t="shared" si="353"/>
        <v>67.1875</v>
      </c>
      <c r="BE185" s="42">
        <f t="shared" si="281"/>
        <v>16.796875</v>
      </c>
      <c r="BF185" s="42">
        <f t="shared" si="282"/>
        <v>16.796875</v>
      </c>
      <c r="BG185" s="42">
        <f t="shared" si="283"/>
        <v>16.796875</v>
      </c>
      <c r="BH185" s="42">
        <f t="shared" si="284"/>
        <v>16.796875</v>
      </c>
      <c r="BI185" s="75">
        <f t="shared" si="354"/>
        <v>67.1875</v>
      </c>
      <c r="BJ185" s="21"/>
      <c r="BK185" s="21"/>
      <c r="BL185" s="21"/>
    </row>
    <row r="186" spans="1:64" s="25" customFormat="1">
      <c r="A186" s="525" t="s">
        <v>475</v>
      </c>
      <c r="B186" s="41"/>
      <c r="C186" s="41"/>
      <c r="D186" s="41"/>
      <c r="E186" s="42"/>
      <c r="F186" s="75"/>
      <c r="G186" s="41"/>
      <c r="H186" s="41"/>
      <c r="I186" s="41"/>
      <c r="J186" s="42"/>
      <c r="K186" s="43"/>
      <c r="L186" s="41"/>
      <c r="M186" s="41"/>
      <c r="N186" s="41"/>
      <c r="O186" s="42"/>
      <c r="P186" s="75"/>
      <c r="Q186" s="42"/>
      <c r="R186" s="42"/>
      <c r="S186" s="42"/>
      <c r="T186" s="42"/>
      <c r="U186" s="75"/>
      <c r="V186" s="42"/>
      <c r="W186" s="42"/>
      <c r="X186" s="42"/>
      <c r="Y186" s="42"/>
      <c r="Z186" s="75"/>
      <c r="AA186" s="42"/>
      <c r="AB186" s="42"/>
      <c r="AC186" s="42"/>
      <c r="AD186" s="42"/>
      <c r="AE186" s="75"/>
      <c r="AF186" s="42"/>
      <c r="AG186" s="42"/>
      <c r="AH186" s="42"/>
      <c r="AI186" s="42"/>
      <c r="AJ186" s="75"/>
      <c r="AK186" s="42"/>
      <c r="AL186" s="42"/>
      <c r="AM186" s="42"/>
      <c r="AN186" s="42"/>
      <c r="AO186" s="75"/>
      <c r="AP186" s="42"/>
      <c r="AQ186" s="42"/>
      <c r="AR186" s="42"/>
      <c r="AS186" s="42">
        <f t="shared" si="314"/>
        <v>28</v>
      </c>
      <c r="AT186" s="75">
        <f t="shared" ref="AT186" si="368">SUM(AP186:AS186)</f>
        <v>28</v>
      </c>
      <c r="AU186" s="42">
        <f t="shared" si="355"/>
        <v>28</v>
      </c>
      <c r="AV186" s="42">
        <f t="shared" si="355"/>
        <v>28</v>
      </c>
      <c r="AW186" s="42">
        <f t="shared" si="355"/>
        <v>28</v>
      </c>
      <c r="AX186" s="42">
        <f t="shared" si="355"/>
        <v>28</v>
      </c>
      <c r="AY186" s="75">
        <f t="shared" ref="AY186" si="369">SUM(AU186:AX186)</f>
        <v>112</v>
      </c>
      <c r="AZ186" s="42">
        <f t="shared" si="276"/>
        <v>28</v>
      </c>
      <c r="BA186" s="42">
        <f t="shared" si="277"/>
        <v>28</v>
      </c>
      <c r="BB186" s="42">
        <f t="shared" si="278"/>
        <v>28</v>
      </c>
      <c r="BC186" s="42">
        <f t="shared" si="279"/>
        <v>28</v>
      </c>
      <c r="BD186" s="75">
        <f t="shared" ref="BD186" si="370">SUM(AZ186:BC186)</f>
        <v>112</v>
      </c>
      <c r="BE186" s="42">
        <f t="shared" si="281"/>
        <v>28</v>
      </c>
      <c r="BF186" s="42">
        <f t="shared" si="282"/>
        <v>28</v>
      </c>
      <c r="BG186" s="42">
        <f t="shared" si="283"/>
        <v>28</v>
      </c>
      <c r="BH186" s="42">
        <f t="shared" si="284"/>
        <v>28</v>
      </c>
      <c r="BI186" s="75">
        <f t="shared" ref="BI186" si="371">SUM(BE186:BH186)</f>
        <v>112</v>
      </c>
      <c r="BJ186" s="21"/>
      <c r="BK186" s="21"/>
      <c r="BL186" s="21"/>
    </row>
    <row r="187" spans="1:64" s="25" customFormat="1">
      <c r="A187" s="3" t="str">
        <f>A125</f>
        <v>Other (Including Finance Leases)</v>
      </c>
      <c r="B187" s="41"/>
      <c r="C187" s="41"/>
      <c r="D187" s="41"/>
      <c r="E187" s="42"/>
      <c r="F187" s="75"/>
      <c r="G187" s="41"/>
      <c r="H187" s="41"/>
      <c r="I187" s="41"/>
      <c r="J187" s="42"/>
      <c r="K187" s="43"/>
      <c r="L187" s="41"/>
      <c r="M187" s="41"/>
      <c r="N187" s="41"/>
      <c r="O187" s="42"/>
      <c r="P187" s="75"/>
      <c r="Q187" s="42"/>
      <c r="R187" s="42"/>
      <c r="S187" s="42"/>
      <c r="T187" s="42"/>
      <c r="U187" s="75"/>
      <c r="V187" s="42"/>
      <c r="W187" s="42"/>
      <c r="X187" s="42"/>
      <c r="Y187" s="42"/>
      <c r="Z187" s="75"/>
      <c r="AA187" s="42"/>
      <c r="AB187" s="42">
        <f t="shared" ref="AB187:AC190" si="372">+AB57*AB125/4</f>
        <v>3.0874999999999999</v>
      </c>
      <c r="AC187" s="42">
        <f t="shared" si="372"/>
        <v>3.0874999999999999</v>
      </c>
      <c r="AD187" s="42">
        <f>+AVERAGE(AD57,AC57)*AD125/4</f>
        <v>3.0874999999999999</v>
      </c>
      <c r="AE187" s="75">
        <f t="shared" si="267"/>
        <v>9.2624999999999993</v>
      </c>
      <c r="AF187" s="42">
        <f t="shared" ref="AF187:AI190" si="373">+AVERAGE(AF57,AE57)*AF125/4</f>
        <v>2.9497499999999999</v>
      </c>
      <c r="AG187" s="42">
        <f t="shared" si="373"/>
        <v>2.70275</v>
      </c>
      <c r="AH187" s="42">
        <f t="shared" si="373"/>
        <v>2.5887500000000001</v>
      </c>
      <c r="AI187" s="42">
        <f t="shared" si="373"/>
        <v>2.5745</v>
      </c>
      <c r="AJ187" s="75">
        <f t="shared" si="356"/>
        <v>10.815750000000001</v>
      </c>
      <c r="AK187" s="42">
        <f t="shared" ref="AK187:AN190" si="374">+AVERAGE(AK57,AJ57)*AK125/4</f>
        <v>2.5649999999999999</v>
      </c>
      <c r="AL187" s="42">
        <f t="shared" si="374"/>
        <v>2.5317499999999997</v>
      </c>
      <c r="AM187" s="42">
        <f t="shared" si="374"/>
        <v>2.4652499999999997</v>
      </c>
      <c r="AN187" s="42">
        <f t="shared" si="374"/>
        <v>2.4177499999999998</v>
      </c>
      <c r="AO187" s="75">
        <f t="shared" si="357"/>
        <v>9.9797499999999992</v>
      </c>
      <c r="AP187" s="42">
        <f t="shared" ref="AP187:AR190" si="375">+AVERAGE(AP57,AO57)*AP125/4</f>
        <v>2.3987500000000002</v>
      </c>
      <c r="AQ187" s="42">
        <f t="shared" si="375"/>
        <v>2.4415</v>
      </c>
      <c r="AR187" s="42">
        <f t="shared" si="375"/>
        <v>2.4794999999999998</v>
      </c>
      <c r="AS187" s="42">
        <f t="shared" si="314"/>
        <v>2.44625</v>
      </c>
      <c r="AT187" s="75">
        <f t="shared" si="358"/>
        <v>9.766</v>
      </c>
      <c r="AU187" s="42">
        <f t="shared" si="355"/>
        <v>2.4082499999999998</v>
      </c>
      <c r="AV187" s="42">
        <f t="shared" si="355"/>
        <v>2.4034999999999997</v>
      </c>
      <c r="AW187" s="42">
        <f t="shared" si="355"/>
        <v>2.3845000000000001</v>
      </c>
      <c r="AX187" s="42">
        <f t="shared" si="355"/>
        <v>2.2799999999999998</v>
      </c>
      <c r="AY187" s="75">
        <f t="shared" si="359"/>
        <v>9.4762500000000003</v>
      </c>
      <c r="AZ187" s="42">
        <f t="shared" si="276"/>
        <v>2.1612499999999999</v>
      </c>
      <c r="BA187" s="42">
        <f t="shared" si="277"/>
        <v>1.9712499999999999</v>
      </c>
      <c r="BB187" s="42">
        <f t="shared" si="278"/>
        <v>1.8145</v>
      </c>
      <c r="BC187" s="42">
        <f t="shared" si="279"/>
        <v>1.5959999999999999</v>
      </c>
      <c r="BD187" s="75">
        <f t="shared" ref="BD187:BD190" si="376">SUM(AZ187:BC187)</f>
        <v>7.5430000000000001</v>
      </c>
      <c r="BE187" s="42">
        <f t="shared" si="281"/>
        <v>1.3727499999999999</v>
      </c>
      <c r="BF187" s="42">
        <f t="shared" si="282"/>
        <v>1.2682499999999999</v>
      </c>
      <c r="BG187" s="42">
        <f t="shared" si="283"/>
        <v>1.1779999999999999</v>
      </c>
      <c r="BH187" s="42">
        <f t="shared" si="284"/>
        <v>1.1779999999999999</v>
      </c>
      <c r="BI187" s="75">
        <f t="shared" ref="BI187:BI190" si="377">SUM(BE187:BH187)</f>
        <v>4.9969999999999999</v>
      </c>
      <c r="BJ187" s="21"/>
      <c r="BK187" s="21"/>
      <c r="BL187" s="21"/>
    </row>
    <row r="188" spans="1:64" s="25" customFormat="1">
      <c r="A188" s="3" t="str">
        <f>A126</f>
        <v>Commercial Paper</v>
      </c>
      <c r="B188" s="41"/>
      <c r="C188" s="41"/>
      <c r="D188" s="41"/>
      <c r="E188" s="42"/>
      <c r="F188" s="75"/>
      <c r="G188" s="41"/>
      <c r="H188" s="41"/>
      <c r="I188" s="41"/>
      <c r="J188" s="42"/>
      <c r="K188" s="43"/>
      <c r="L188" s="41"/>
      <c r="M188" s="41"/>
      <c r="N188" s="41"/>
      <c r="O188" s="42"/>
      <c r="P188" s="75"/>
      <c r="Q188" s="42"/>
      <c r="R188" s="42"/>
      <c r="S188" s="42"/>
      <c r="T188" s="42"/>
      <c r="U188" s="75"/>
      <c r="V188" s="42"/>
      <c r="W188" s="42"/>
      <c r="X188" s="42"/>
      <c r="Y188" s="42"/>
      <c r="Z188" s="75"/>
      <c r="AA188" s="42"/>
      <c r="AB188" s="42">
        <f t="shared" si="372"/>
        <v>1.52</v>
      </c>
      <c r="AC188" s="42">
        <f t="shared" si="372"/>
        <v>1.52</v>
      </c>
      <c r="AD188" s="42">
        <f>+AVERAGE(AD58,AC58)*AD126/4</f>
        <v>1.52</v>
      </c>
      <c r="AE188" s="75">
        <f t="shared" si="267"/>
        <v>4.5600000000000005</v>
      </c>
      <c r="AF188" s="42">
        <f t="shared" si="373"/>
        <v>1.52</v>
      </c>
      <c r="AG188" s="42">
        <f t="shared" si="373"/>
        <v>0.76</v>
      </c>
      <c r="AH188" s="42">
        <f t="shared" si="373"/>
        <v>0</v>
      </c>
      <c r="AI188" s="42">
        <f t="shared" si="373"/>
        <v>0</v>
      </c>
      <c r="AJ188" s="75">
        <f t="shared" si="356"/>
        <v>2.2800000000000002</v>
      </c>
      <c r="AK188" s="42">
        <f t="shared" si="374"/>
        <v>0</v>
      </c>
      <c r="AL188" s="42">
        <f t="shared" si="374"/>
        <v>0</v>
      </c>
      <c r="AM188" s="42">
        <f t="shared" si="374"/>
        <v>0</v>
      </c>
      <c r="AN188" s="42">
        <f t="shared" si="374"/>
        <v>0</v>
      </c>
      <c r="AO188" s="75">
        <f t="shared" si="357"/>
        <v>0</v>
      </c>
      <c r="AP188" s="42">
        <f t="shared" si="375"/>
        <v>0</v>
      </c>
      <c r="AQ188" s="42">
        <f t="shared" si="375"/>
        <v>0</v>
      </c>
      <c r="AR188" s="42">
        <f t="shared" si="375"/>
        <v>0</v>
      </c>
      <c r="AS188" s="42">
        <f t="shared" si="314"/>
        <v>0</v>
      </c>
      <c r="AT188" s="75">
        <f t="shared" si="358"/>
        <v>0</v>
      </c>
      <c r="AU188" s="42">
        <f t="shared" si="355"/>
        <v>0</v>
      </c>
      <c r="AV188" s="42">
        <f t="shared" si="355"/>
        <v>0</v>
      </c>
      <c r="AW188" s="42">
        <f t="shared" si="355"/>
        <v>0</v>
      </c>
      <c r="AX188" s="42">
        <f t="shared" si="355"/>
        <v>0</v>
      </c>
      <c r="AY188" s="75">
        <f t="shared" si="359"/>
        <v>0</v>
      </c>
      <c r="AZ188" s="42">
        <f t="shared" si="276"/>
        <v>0</v>
      </c>
      <c r="BA188" s="42">
        <f t="shared" si="277"/>
        <v>8.4130000000000003</v>
      </c>
      <c r="BB188" s="42">
        <f t="shared" si="278"/>
        <v>8.4130000000000003</v>
      </c>
      <c r="BC188" s="42">
        <f t="shared" si="279"/>
        <v>0</v>
      </c>
      <c r="BD188" s="75">
        <f t="shared" si="376"/>
        <v>16.826000000000001</v>
      </c>
      <c r="BE188" s="42">
        <f t="shared" si="281"/>
        <v>0</v>
      </c>
      <c r="BF188" s="42">
        <f t="shared" si="282"/>
        <v>0</v>
      </c>
      <c r="BG188" s="42">
        <f t="shared" si="283"/>
        <v>0</v>
      </c>
      <c r="BH188" s="42">
        <f t="shared" si="284"/>
        <v>0</v>
      </c>
      <c r="BI188" s="75">
        <f t="shared" si="377"/>
        <v>0</v>
      </c>
      <c r="BJ188" s="21"/>
      <c r="BK188" s="21"/>
      <c r="BL188" s="21"/>
    </row>
    <row r="189" spans="1:64" s="25" customFormat="1">
      <c r="A189" s="3" t="str">
        <f>A127</f>
        <v>Other Debts</v>
      </c>
      <c r="B189" s="41"/>
      <c r="C189" s="41"/>
      <c r="D189" s="41"/>
      <c r="E189" s="42"/>
      <c r="F189" s="75"/>
      <c r="G189" s="41"/>
      <c r="H189" s="41"/>
      <c r="I189" s="41"/>
      <c r="J189" s="42"/>
      <c r="K189" s="43"/>
      <c r="L189" s="41"/>
      <c r="M189" s="41"/>
      <c r="N189" s="41"/>
      <c r="O189" s="42"/>
      <c r="P189" s="75"/>
      <c r="Q189" s="42"/>
      <c r="R189" s="42"/>
      <c r="S189" s="42"/>
      <c r="T189" s="42"/>
      <c r="U189" s="75"/>
      <c r="V189" s="42"/>
      <c r="W189" s="42"/>
      <c r="X189" s="42"/>
      <c r="Y189" s="42"/>
      <c r="Z189" s="75"/>
      <c r="AA189" s="42"/>
      <c r="AB189" s="42">
        <f t="shared" si="372"/>
        <v>0.78849999999999998</v>
      </c>
      <c r="AC189" s="42">
        <f t="shared" si="372"/>
        <v>0.78849999999999998</v>
      </c>
      <c r="AD189" s="42">
        <f>+AVERAGE(AD59,AC59)*AD127/4</f>
        <v>0.78849999999999998</v>
      </c>
      <c r="AE189" s="75">
        <f t="shared" si="267"/>
        <v>2.3654999999999999</v>
      </c>
      <c r="AF189" s="42">
        <f t="shared" si="373"/>
        <v>0.74575000000000002</v>
      </c>
      <c r="AG189" s="42">
        <f t="shared" si="373"/>
        <v>0.35149999999999998</v>
      </c>
      <c r="AH189" s="42">
        <f t="shared" si="373"/>
        <v>0</v>
      </c>
      <c r="AI189" s="42">
        <f t="shared" si="373"/>
        <v>0</v>
      </c>
      <c r="AJ189" s="75">
        <f t="shared" si="356"/>
        <v>1.0972500000000001</v>
      </c>
      <c r="AK189" s="42">
        <f t="shared" si="374"/>
        <v>0</v>
      </c>
      <c r="AL189" s="42">
        <f t="shared" si="374"/>
        <v>0</v>
      </c>
      <c r="AM189" s="42">
        <f t="shared" si="374"/>
        <v>0</v>
      </c>
      <c r="AN189" s="42">
        <f t="shared" si="374"/>
        <v>0</v>
      </c>
      <c r="AO189" s="75">
        <f t="shared" si="357"/>
        <v>0</v>
      </c>
      <c r="AP189" s="42">
        <f t="shared" si="375"/>
        <v>0</v>
      </c>
      <c r="AQ189" s="42">
        <f t="shared" si="375"/>
        <v>0</v>
      </c>
      <c r="AR189" s="42">
        <f t="shared" si="375"/>
        <v>0</v>
      </c>
      <c r="AS189" s="42">
        <f t="shared" si="314"/>
        <v>0</v>
      </c>
      <c r="AT189" s="75">
        <f t="shared" si="358"/>
        <v>0</v>
      </c>
      <c r="AU189" s="42">
        <f t="shared" ref="AU189:AX190" si="378">+AVERAGE(AU59,AT59)*AU127/4</f>
        <v>0</v>
      </c>
      <c r="AV189" s="42">
        <f t="shared" si="378"/>
        <v>0</v>
      </c>
      <c r="AW189" s="42">
        <f t="shared" si="378"/>
        <v>0</v>
      </c>
      <c r="AX189" s="42">
        <f t="shared" si="378"/>
        <v>0</v>
      </c>
      <c r="AY189" s="75">
        <f t="shared" si="359"/>
        <v>0</v>
      </c>
      <c r="AZ189" s="42">
        <f t="shared" si="276"/>
        <v>0</v>
      </c>
      <c r="BA189" s="42">
        <f t="shared" si="277"/>
        <v>0</v>
      </c>
      <c r="BB189" s="42">
        <f t="shared" si="278"/>
        <v>0</v>
      </c>
      <c r="BC189" s="42">
        <f t="shared" si="279"/>
        <v>0</v>
      </c>
      <c r="BD189" s="75">
        <f t="shared" si="376"/>
        <v>0</v>
      </c>
      <c r="BE189" s="42">
        <f t="shared" si="281"/>
        <v>0</v>
      </c>
      <c r="BF189" s="42">
        <f t="shared" si="282"/>
        <v>0</v>
      </c>
      <c r="BG189" s="42">
        <f t="shared" si="283"/>
        <v>0</v>
      </c>
      <c r="BH189" s="42">
        <f t="shared" si="284"/>
        <v>0</v>
      </c>
      <c r="BI189" s="75">
        <f t="shared" si="377"/>
        <v>0</v>
      </c>
      <c r="BJ189" s="21"/>
      <c r="BK189" s="21"/>
      <c r="BL189" s="21"/>
    </row>
    <row r="190" spans="1:64" s="25" customFormat="1">
      <c r="A190" s="3" t="str">
        <f>A128</f>
        <v>Additional Debt</v>
      </c>
      <c r="B190" s="41"/>
      <c r="C190" s="41"/>
      <c r="D190" s="41"/>
      <c r="E190" s="42"/>
      <c r="F190" s="75"/>
      <c r="G190" s="41"/>
      <c r="H190" s="41"/>
      <c r="I190" s="41"/>
      <c r="J190" s="42"/>
      <c r="K190" s="43"/>
      <c r="L190" s="41"/>
      <c r="M190" s="41"/>
      <c r="N190" s="41"/>
      <c r="O190" s="42"/>
      <c r="P190" s="75"/>
      <c r="Q190" s="42"/>
      <c r="R190" s="42"/>
      <c r="S190" s="42"/>
      <c r="T190" s="42"/>
      <c r="U190" s="75"/>
      <c r="V190" s="42"/>
      <c r="W190" s="42"/>
      <c r="X190" s="42"/>
      <c r="Y190" s="42"/>
      <c r="Z190" s="75"/>
      <c r="AA190" s="42"/>
      <c r="AB190" s="42">
        <f t="shared" si="372"/>
        <v>0</v>
      </c>
      <c r="AC190" s="42">
        <f t="shared" si="372"/>
        <v>0</v>
      </c>
      <c r="AD190" s="42">
        <f>+AVERAGE(AD60,AC60)*AD128/4</f>
        <v>0</v>
      </c>
      <c r="AE190" s="75">
        <f t="shared" si="267"/>
        <v>0</v>
      </c>
      <c r="AF190" s="42">
        <f t="shared" si="373"/>
        <v>0</v>
      </c>
      <c r="AG190" s="42">
        <f t="shared" si="373"/>
        <v>0</v>
      </c>
      <c r="AH190" s="42">
        <f t="shared" si="373"/>
        <v>0</v>
      </c>
      <c r="AI190" s="42">
        <f t="shared" si="373"/>
        <v>0</v>
      </c>
      <c r="AJ190" s="75">
        <f t="shared" si="356"/>
        <v>0</v>
      </c>
      <c r="AK190" s="42">
        <f t="shared" si="374"/>
        <v>0</v>
      </c>
      <c r="AL190" s="42">
        <f t="shared" si="374"/>
        <v>0</v>
      </c>
      <c r="AM190" s="42">
        <f t="shared" si="374"/>
        <v>0</v>
      </c>
      <c r="AN190" s="42">
        <f t="shared" si="374"/>
        <v>0</v>
      </c>
      <c r="AO190" s="75">
        <f t="shared" si="357"/>
        <v>0</v>
      </c>
      <c r="AP190" s="42">
        <f t="shared" si="375"/>
        <v>0</v>
      </c>
      <c r="AQ190" s="42">
        <f t="shared" si="375"/>
        <v>0</v>
      </c>
      <c r="AR190" s="42">
        <f t="shared" si="375"/>
        <v>0</v>
      </c>
      <c r="AS190" s="42">
        <f t="shared" si="314"/>
        <v>0</v>
      </c>
      <c r="AT190" s="75">
        <f t="shared" si="358"/>
        <v>0</v>
      </c>
      <c r="AU190" s="42">
        <f t="shared" si="378"/>
        <v>0</v>
      </c>
      <c r="AV190" s="42">
        <f t="shared" si="378"/>
        <v>0</v>
      </c>
      <c r="AW190" s="42">
        <f t="shared" si="378"/>
        <v>0</v>
      </c>
      <c r="AX190" s="42">
        <f t="shared" si="378"/>
        <v>0</v>
      </c>
      <c r="AY190" s="75">
        <f t="shared" si="359"/>
        <v>0</v>
      </c>
      <c r="AZ190" s="42">
        <f t="shared" si="276"/>
        <v>0</v>
      </c>
      <c r="BA190" s="42">
        <f t="shared" si="277"/>
        <v>0</v>
      </c>
      <c r="BB190" s="42">
        <f t="shared" si="278"/>
        <v>0</v>
      </c>
      <c r="BC190" s="42">
        <f t="shared" si="279"/>
        <v>0</v>
      </c>
      <c r="BD190" s="75">
        <f t="shared" si="376"/>
        <v>0</v>
      </c>
      <c r="BE190" s="42">
        <f t="shared" si="281"/>
        <v>0</v>
      </c>
      <c r="BF190" s="42">
        <f t="shared" si="282"/>
        <v>0</v>
      </c>
      <c r="BG190" s="42">
        <f t="shared" si="283"/>
        <v>0</v>
      </c>
      <c r="BH190" s="42">
        <f t="shared" si="284"/>
        <v>0</v>
      </c>
      <c r="BI190" s="75">
        <f t="shared" si="377"/>
        <v>0</v>
      </c>
      <c r="BJ190" s="21"/>
      <c r="BK190" s="21"/>
      <c r="BL190" s="21"/>
    </row>
    <row r="191" spans="1:64" s="25" customFormat="1">
      <c r="A191" s="3" t="s">
        <v>305</v>
      </c>
      <c r="B191" s="41"/>
      <c r="C191" s="41"/>
      <c r="D191" s="41"/>
      <c r="E191" s="42"/>
      <c r="F191" s="75"/>
      <c r="G191" s="41"/>
      <c r="H191" s="41"/>
      <c r="I191" s="41"/>
      <c r="J191" s="42"/>
      <c r="K191" s="43"/>
      <c r="L191" s="41"/>
      <c r="M191" s="41"/>
      <c r="N191" s="41"/>
      <c r="O191" s="42"/>
      <c r="P191" s="75"/>
      <c r="Q191" s="42"/>
      <c r="R191" s="42"/>
      <c r="S191" s="42"/>
      <c r="T191" s="42"/>
      <c r="U191" s="75"/>
      <c r="V191" s="42"/>
      <c r="W191" s="42"/>
      <c r="X191" s="42"/>
      <c r="Y191" s="42"/>
      <c r="Z191" s="75"/>
      <c r="AA191" s="281"/>
      <c r="AB191" s="42">
        <f>AB192-SUM(AB134:AB190)</f>
        <v>8.9172500000000809</v>
      </c>
      <c r="AC191" s="42">
        <f>AC192-SUM(AC134:AC190)</f>
        <v>12.917250000000081</v>
      </c>
      <c r="AD191" s="42">
        <f>AD192-SUM(AD134:AD190)</f>
        <v>18.426510752688273</v>
      </c>
      <c r="AE191" s="75">
        <f>SUM(AA191:AD191)</f>
        <v>40.261010752688435</v>
      </c>
      <c r="AF191" s="42">
        <f>AF192-SUM(AF134:AF190)</f>
        <v>24.575562500000103</v>
      </c>
      <c r="AG191" s="42">
        <f>AG192-SUM(AG134:AG190)</f>
        <v>17.620625000000075</v>
      </c>
      <c r="AH191" s="42">
        <f>AH192-SUM(AH134:AH190)</f>
        <v>9.2470625000000268</v>
      </c>
      <c r="AI191" s="42">
        <f>AI192-SUM(AI134:AI190)</f>
        <v>-0.98146874999997635</v>
      </c>
      <c r="AJ191" s="75">
        <f>SUM(AF191:AI191)</f>
        <v>50.461781250000229</v>
      </c>
      <c r="AK191" s="42">
        <f>AK192-SUM(AK134:AK190)</f>
        <v>35.403124999999989</v>
      </c>
      <c r="AL191" s="42">
        <f>AL192-SUM(AL134:AL190)</f>
        <v>47.541187500000035</v>
      </c>
      <c r="AM191" s="42">
        <f>AM192-SUM(AM134:AM190)</f>
        <v>30.774312499999951</v>
      </c>
      <c r="AN191" s="42">
        <f>AN192-SUM(AN134:AN190)</f>
        <v>14.808375000000012</v>
      </c>
      <c r="AO191" s="75">
        <f>SUM(AK191:AN191)</f>
        <v>128.52699999999999</v>
      </c>
      <c r="AP191" s="42">
        <f>AP192-SUM(AP134:AP190)</f>
        <v>-7.8746249999999804</v>
      </c>
      <c r="AQ191" s="42">
        <f>AQ192-SUM(AQ134:AQ190)</f>
        <v>-12.156375000000025</v>
      </c>
      <c r="AR191" s="42">
        <f>AR192-SUM(AR134:AR190)</f>
        <v>23.969062500000007</v>
      </c>
      <c r="AS191" s="42">
        <f ca="1">AS192-SUM(AS134:AS190)</f>
        <v>46.601750000000038</v>
      </c>
      <c r="AT191" s="75">
        <f ca="1">SUM(AP191:AS191)</f>
        <v>50.539812500000039</v>
      </c>
      <c r="AU191" s="42">
        <f>AU192-SUM(AU134:AU190)</f>
        <v>12.233489715189933</v>
      </c>
      <c r="AV191" s="42">
        <f>AV192-SUM(AV134:AV190)</f>
        <v>-10.572312499999953</v>
      </c>
      <c r="AW191" s="42">
        <f>AW192-SUM(AW134:AW190)</f>
        <v>5.8185000000000286</v>
      </c>
      <c r="AX191" s="42">
        <f ca="1">AX192-SUM(AX134:AX190)</f>
        <v>7.7144375000000878</v>
      </c>
      <c r="AY191" s="75">
        <f ca="1">SUM(AU191:AX191)</f>
        <v>15.194114715190096</v>
      </c>
      <c r="AZ191" s="42">
        <f>AZ192-SUM(AZ134:AZ190)</f>
        <v>-14.757292721518866</v>
      </c>
      <c r="BA191" s="42">
        <f>BA192-SUM(BA134:BA190)</f>
        <v>-0.75313686708852856</v>
      </c>
      <c r="BB191" s="42">
        <f>BB192-SUM(BB134:BB190)</f>
        <v>-6.5839999999999463</v>
      </c>
      <c r="BC191" s="42">
        <f ca="1">BC192-SUM(BC134:BC190)</f>
        <v>-36.570687499999906</v>
      </c>
      <c r="BD191" s="75">
        <f ca="1">SUM(AZ191:BC191)</f>
        <v>-58.665117088607246</v>
      </c>
      <c r="BE191" s="42">
        <f>BE192-SUM(BE134:BE190)</f>
        <v>-24.943374999999946</v>
      </c>
      <c r="BF191" s="42">
        <f>BF192-SUM(BF134:BF190)</f>
        <v>4.5659374999999613</v>
      </c>
      <c r="BG191" s="518">
        <v>2</v>
      </c>
      <c r="BH191" s="518">
        <v>3</v>
      </c>
      <c r="BI191" s="75">
        <f>SUM(BE191:BH191)</f>
        <v>-15.377437499999985</v>
      </c>
      <c r="BJ191" s="21"/>
      <c r="BK191" s="21"/>
      <c r="BL191" s="21"/>
    </row>
    <row r="192" spans="1:64" s="25" customFormat="1">
      <c r="A192" s="11" t="s">
        <v>214</v>
      </c>
      <c r="B192" s="96"/>
      <c r="C192" s="96"/>
      <c r="D192" s="96"/>
      <c r="E192" s="96"/>
      <c r="F192" s="97"/>
      <c r="G192" s="96"/>
      <c r="H192" s="96"/>
      <c r="I192" s="96"/>
      <c r="J192" s="96"/>
      <c r="K192" s="97"/>
      <c r="L192" s="96"/>
      <c r="M192" s="96"/>
      <c r="N192" s="96"/>
      <c r="O192" s="96"/>
      <c r="P192" s="188"/>
      <c r="Q192" s="219"/>
      <c r="R192" s="219"/>
      <c r="S192" s="219"/>
      <c r="T192" s="219"/>
      <c r="U192" s="188"/>
      <c r="V192" s="219"/>
      <c r="W192" s="219"/>
      <c r="X192" s="219"/>
      <c r="Y192" s="219"/>
      <c r="Z192" s="188"/>
      <c r="AA192" s="219"/>
      <c r="AB192" s="219">
        <f>-ProForma_IS_Qtr!AB31+AB196</f>
        <v>352</v>
      </c>
      <c r="AC192" s="219">
        <f>-ProForma_IS_Qtr!AC31+AC196</f>
        <v>356</v>
      </c>
      <c r="AD192" s="219">
        <f>-ProForma_IS_Qtr!AD31+AD196</f>
        <v>357.60301075268819</v>
      </c>
      <c r="AE192" s="97">
        <f>SUM(AE134:AE191)</f>
        <v>1065.6030107526885</v>
      </c>
      <c r="AF192" s="219">
        <f>-ProForma_IS_Qtr!AF31+AF196</f>
        <v>357</v>
      </c>
      <c r="AG192" s="219">
        <f>-ProForma_IS_Qtr!AG31+AG196</f>
        <v>346</v>
      </c>
      <c r="AH192" s="219">
        <f>-ProForma_IS_Qtr!AH31+AH196</f>
        <v>335</v>
      </c>
      <c r="AI192" s="219">
        <f>-ProForma_IS_Qtr!AI31+AI196</f>
        <v>318</v>
      </c>
      <c r="AJ192" s="97">
        <f>SUM(AJ134:AJ191)</f>
        <v>1356.0000000000005</v>
      </c>
      <c r="AK192" s="219">
        <f>-ProForma_IS_Qtr!AK31+AK196</f>
        <v>349</v>
      </c>
      <c r="AL192" s="219">
        <f>-ProForma_IS_Qtr!AL31+AL196</f>
        <v>361</v>
      </c>
      <c r="AM192" s="219">
        <f>-ProForma_IS_Qtr!AM31+AM196</f>
        <v>344</v>
      </c>
      <c r="AN192" s="219">
        <f>-ProForma_IS_Qtr!AN31+AN196</f>
        <v>328</v>
      </c>
      <c r="AO192" s="97">
        <f>SUM(AO134:AO191)</f>
        <v>1382</v>
      </c>
      <c r="AP192" s="219">
        <f>-ProForma_IS_Qtr!AP31+AP196</f>
        <v>325</v>
      </c>
      <c r="AQ192" s="219">
        <f>-ProForma_IS_Qtr!AQ31+AQ196</f>
        <v>340.36624999999998</v>
      </c>
      <c r="AR192" s="219">
        <f>-ProForma_IS_Qtr!AR31+AR196</f>
        <v>375.73874999999998</v>
      </c>
      <c r="AS192" s="219">
        <f ca="1">-ProForma_IS_Qtr!AS31+AS196</f>
        <v>499</v>
      </c>
      <c r="AT192" s="97">
        <f t="shared" ref="AT192" ca="1" si="379">SUM(AT134:AT191)</f>
        <v>1540.105</v>
      </c>
      <c r="AU192" s="219">
        <f>-ProForma_IS_Qtr!AU31+AU196</f>
        <v>511.96792721518989</v>
      </c>
      <c r="AV192" s="219">
        <f>-ProForma_IS_Qtr!AV31+AV196</f>
        <v>479.20524999999998</v>
      </c>
      <c r="AW192" s="219">
        <f>-ProForma_IS_Qtr!AW31+AW196</f>
        <v>489.50824999999998</v>
      </c>
      <c r="AX192" s="219">
        <f ca="1">-ProForma_IS_Qtr!AX31+AX196</f>
        <v>486</v>
      </c>
      <c r="AY192" s="97">
        <f t="shared" ref="AY192" ca="1" si="380">SUM(AY134:AY191)</f>
        <v>1966.6814272151898</v>
      </c>
      <c r="AZ192" s="219">
        <f>-ProForma_IS_Qtr!AZ31+AZ196</f>
        <v>458.09908227848103</v>
      </c>
      <c r="BA192" s="219">
        <f>-ProForma_IS_Qtr!BA31+BA196</f>
        <v>474.37030063291144</v>
      </c>
      <c r="BB192" s="219">
        <f>-ProForma_IS_Qtr!BB31+BB196</f>
        <v>454.97750000000002</v>
      </c>
      <c r="BC192" s="219">
        <f ca="1">-ProForma_IS_Qtr!BC31+BC196</f>
        <v>400</v>
      </c>
      <c r="BD192" s="97">
        <f t="shared" ref="BD192" ca="1" si="381">SUM(BD134:BD191)</f>
        <v>1787.4468829113923</v>
      </c>
      <c r="BE192" s="219">
        <f>-ProForma_IS_Qtr!BE31+BE196</f>
        <v>399.29374999999999</v>
      </c>
      <c r="BF192" s="219">
        <f>-ProForma_IS_Qtr!BF31+BF196</f>
        <v>425.52249999999998</v>
      </c>
      <c r="BG192" s="96">
        <f t="shared" ref="BG192" si="382">SUM(BG134:BG191)</f>
        <v>422.83406250000002</v>
      </c>
      <c r="BH192" s="96">
        <f t="shared" ref="BH192:BI192" si="383">SUM(BH134:BH191)</f>
        <v>405.12737499999997</v>
      </c>
      <c r="BI192" s="97">
        <f t="shared" si="383"/>
        <v>1652.7776875</v>
      </c>
      <c r="BJ192" s="21"/>
      <c r="BK192" s="21"/>
      <c r="BL192" s="21"/>
    </row>
    <row r="193" spans="1:65" s="25" customFormat="1">
      <c r="A193" s="11"/>
      <c r="B193" s="96"/>
      <c r="C193" s="96"/>
      <c r="D193" s="96"/>
      <c r="E193" s="96"/>
      <c r="F193" s="188"/>
      <c r="G193" s="96"/>
      <c r="H193" s="96"/>
      <c r="I193" s="96"/>
      <c r="J193" s="96"/>
      <c r="K193" s="97"/>
      <c r="L193" s="96"/>
      <c r="M193" s="96"/>
      <c r="N193" s="96"/>
      <c r="O193" s="96"/>
      <c r="P193" s="188"/>
      <c r="Q193" s="219"/>
      <c r="R193" s="219"/>
      <c r="S193" s="219"/>
      <c r="T193" s="219"/>
      <c r="U193" s="282"/>
      <c r="V193" s="219"/>
      <c r="W193" s="219"/>
      <c r="X193" s="219"/>
      <c r="Y193" s="219"/>
      <c r="Z193" s="188"/>
      <c r="AA193" s="219"/>
      <c r="AB193" s="219"/>
      <c r="AC193" s="96"/>
      <c r="AD193" s="96"/>
      <c r="AE193" s="97"/>
      <c r="AF193" s="96"/>
      <c r="AG193" s="219"/>
      <c r="AH193" s="96"/>
      <c r="AI193" s="96"/>
      <c r="AJ193" s="97"/>
      <c r="AK193" s="96"/>
      <c r="AL193" s="219"/>
      <c r="AM193" s="219"/>
      <c r="AN193" s="96"/>
      <c r="AO193" s="97"/>
      <c r="AP193" s="96"/>
      <c r="AQ193" s="219"/>
      <c r="AR193" s="96"/>
      <c r="AS193" s="96"/>
      <c r="AT193" s="97"/>
      <c r="AU193" s="96"/>
      <c r="AV193" s="96"/>
      <c r="AW193" s="96"/>
      <c r="AX193" s="96"/>
      <c r="AY193" s="97"/>
      <c r="AZ193" s="96"/>
      <c r="BA193" s="96"/>
      <c r="BB193" s="96"/>
      <c r="BC193" s="96"/>
      <c r="BD193" s="97"/>
      <c r="BE193" s="96"/>
      <c r="BF193" s="96"/>
      <c r="BG193" s="96"/>
      <c r="BH193" s="96"/>
      <c r="BI193" s="97"/>
      <c r="BJ193" s="21"/>
      <c r="BK193" s="21"/>
      <c r="BL193" s="21"/>
    </row>
    <row r="194" spans="1:65" s="283" customFormat="1">
      <c r="A194" s="11" t="s">
        <v>89</v>
      </c>
      <c r="B194" s="96"/>
      <c r="C194" s="96"/>
      <c r="D194" s="96"/>
      <c r="E194" s="96"/>
      <c r="F194" s="188"/>
      <c r="G194" s="96"/>
      <c r="H194" s="96"/>
      <c r="I194" s="96"/>
      <c r="J194" s="96"/>
      <c r="K194" s="97"/>
      <c r="L194" s="96"/>
      <c r="M194" s="96"/>
      <c r="N194" s="96"/>
      <c r="O194" s="96"/>
      <c r="P194" s="188"/>
      <c r="Q194" s="219"/>
      <c r="R194" s="219"/>
      <c r="S194" s="219"/>
      <c r="T194" s="219"/>
      <c r="U194" s="188"/>
      <c r="V194" s="219"/>
      <c r="W194" s="219"/>
      <c r="X194" s="219"/>
      <c r="Y194" s="219"/>
      <c r="Z194" s="188"/>
      <c r="AA194" s="219">
        <f>Cash_Flow_Qtr!AA60</f>
        <v>8001</v>
      </c>
      <c r="AB194" s="219">
        <f>Cash_Flow_Qtr!AB60</f>
        <v>6975</v>
      </c>
      <c r="AC194" s="219">
        <f>Cash_Flow_Qtr!AC60</f>
        <v>10001</v>
      </c>
      <c r="AD194" s="219">
        <f>Cash_Flow_Qtr!AD60</f>
        <v>8802</v>
      </c>
      <c r="AE194" s="97">
        <f>Cash_Flow_Qtr!AE60</f>
        <v>8802</v>
      </c>
      <c r="AF194" s="219">
        <f>Cash_Flow_Qtr!AF60</f>
        <v>8579</v>
      </c>
      <c r="AG194" s="219">
        <f>Cash_Flow_Qtr!AG60</f>
        <v>8051</v>
      </c>
      <c r="AH194" s="219">
        <f>Cash_Flow_Qtr!AH60</f>
        <v>7476</v>
      </c>
      <c r="AI194" s="219">
        <f>Cash_Flow_Qtr!AI60</f>
        <v>7832</v>
      </c>
      <c r="AJ194" s="97">
        <f>Cash_Flow_Qtr!AJ60</f>
        <v>7832</v>
      </c>
      <c r="AK194" s="219">
        <f>Cash_Flow_Qtr!AK60</f>
        <v>6040</v>
      </c>
      <c r="AL194" s="219">
        <f>Cash_Flow_Qtr!AL60</f>
        <v>4767</v>
      </c>
      <c r="AM194" s="219">
        <f>Cash_Flow_Qtr!AM60</f>
        <v>5381</v>
      </c>
      <c r="AN194" s="219">
        <f>Cash_Flow_Qtr!AN60</f>
        <v>6220</v>
      </c>
      <c r="AO194" s="97">
        <f>Cash_Flow_Qtr!AO60</f>
        <v>6220</v>
      </c>
      <c r="AP194" s="219">
        <f>Cash_Flow_Qtr!AP60</f>
        <v>5893</v>
      </c>
      <c r="AQ194" s="219">
        <f>Cash_Flow_Qtr!AQ60</f>
        <v>5391</v>
      </c>
      <c r="AR194" s="219">
        <f>Cash_Flow_Qtr!AR60</f>
        <v>5456</v>
      </c>
      <c r="AS194" s="219">
        <f>Cash_Flow_Qtr!AS60</f>
        <v>6587</v>
      </c>
      <c r="AT194" s="97">
        <f>Cash_Flow_Qtr!AT60</f>
        <v>6587</v>
      </c>
      <c r="AU194" s="219">
        <f>Cash_Flow_Qtr!AU60</f>
        <v>5607</v>
      </c>
      <c r="AV194" s="219">
        <f>Cash_Flow_Qtr!AV60</f>
        <v>6011</v>
      </c>
      <c r="AW194" s="219">
        <f>Cash_Flow_Qtr!AW60</f>
        <v>6682</v>
      </c>
      <c r="AX194" s="219">
        <f>Cash_Flow_Qtr!AX60</f>
        <v>5578</v>
      </c>
      <c r="AY194" s="97">
        <f>Cash_Flow_Qtr!AY60</f>
        <v>5578</v>
      </c>
      <c r="AZ194" s="219">
        <f>Cash_Flow_Qtr!AZ60</f>
        <v>5157</v>
      </c>
      <c r="BA194" s="219">
        <f>Cash_Flow_Qtr!BA60</f>
        <v>4782</v>
      </c>
      <c r="BB194" s="219">
        <f>Cash_Flow_Qtr!BB60</f>
        <v>5966</v>
      </c>
      <c r="BC194" s="219">
        <f>Cash_Flow_Qtr!BC60</f>
        <v>7435</v>
      </c>
      <c r="BD194" s="97">
        <f>Cash_Flow_Qtr!BD60</f>
        <v>7435</v>
      </c>
      <c r="BE194" s="219">
        <f>Cash_Flow_Qtr!BE60</f>
        <v>6818</v>
      </c>
      <c r="BF194" s="219">
        <f>Cash_Flow_Qtr!BF60</f>
        <v>8305</v>
      </c>
      <c r="BG194" s="219">
        <f>Cash_Flow_Qtr!BG60</f>
        <v>9335.1062457325861</v>
      </c>
      <c r="BH194" s="219">
        <f>Cash_Flow_Qtr!BH60</f>
        <v>8604.2143587620139</v>
      </c>
      <c r="BI194" s="188">
        <f>Cash_Flow_Qtr!BI60</f>
        <v>8604.2143587620139</v>
      </c>
      <c r="BJ194" s="21"/>
      <c r="BK194" s="21"/>
      <c r="BL194" s="21"/>
    </row>
    <row r="195" spans="1:65" s="25" customFormat="1">
      <c r="A195" s="11"/>
      <c r="B195" s="96"/>
      <c r="C195" s="96"/>
      <c r="D195" s="96"/>
      <c r="E195" s="96"/>
      <c r="F195" s="188"/>
      <c r="G195" s="96"/>
      <c r="H195" s="96"/>
      <c r="I195" s="96"/>
      <c r="J195" s="96"/>
      <c r="K195" s="97"/>
      <c r="L195" s="96"/>
      <c r="M195" s="96"/>
      <c r="N195" s="96"/>
      <c r="O195" s="96"/>
      <c r="P195" s="188"/>
      <c r="Q195" s="219"/>
      <c r="R195" s="219"/>
      <c r="S195" s="219"/>
      <c r="T195" s="219"/>
      <c r="U195" s="188"/>
      <c r="V195" s="219"/>
      <c r="W195" s="219"/>
      <c r="X195" s="219"/>
      <c r="Y195" s="219"/>
      <c r="Z195" s="188"/>
      <c r="AA195" s="219"/>
      <c r="AB195" s="96"/>
      <c r="AC195" s="96"/>
      <c r="AD195" s="96"/>
      <c r="AE195" s="97"/>
      <c r="AF195" s="96"/>
      <c r="AG195" s="96"/>
      <c r="AH195" s="96"/>
      <c r="AI195" s="96"/>
      <c r="AJ195" s="97"/>
      <c r="AK195" s="96"/>
      <c r="AL195" s="96"/>
      <c r="AM195" s="96"/>
      <c r="AN195" s="96"/>
      <c r="AO195" s="97"/>
      <c r="AP195" s="96"/>
      <c r="AQ195" s="96"/>
      <c r="AR195" s="96"/>
      <c r="AS195" s="96"/>
      <c r="AT195" s="97"/>
      <c r="AU195" s="96"/>
      <c r="AV195" s="96"/>
      <c r="AW195" s="96"/>
      <c r="AX195" s="96"/>
      <c r="AY195" s="97"/>
      <c r="AZ195" s="96"/>
      <c r="BA195" s="96"/>
      <c r="BB195" s="96"/>
      <c r="BC195" s="96"/>
      <c r="BD195" s="97"/>
      <c r="BE195" s="96"/>
      <c r="BF195" s="96"/>
      <c r="BG195" s="96"/>
      <c r="BH195" s="96"/>
      <c r="BI195" s="97"/>
      <c r="BJ195" s="21"/>
      <c r="BK195" s="21"/>
      <c r="BL195" s="21"/>
    </row>
    <row r="196" spans="1:65" s="283" customFormat="1">
      <c r="A196" s="11" t="s">
        <v>306</v>
      </c>
      <c r="B196" s="96"/>
      <c r="C196" s="96"/>
      <c r="D196" s="96"/>
      <c r="E196" s="96"/>
      <c r="F196" s="188"/>
      <c r="G196" s="96"/>
      <c r="H196" s="96"/>
      <c r="I196" s="96"/>
      <c r="J196" s="96"/>
      <c r="K196" s="97"/>
      <c r="L196" s="96"/>
      <c r="M196" s="96"/>
      <c r="N196" s="96"/>
      <c r="O196" s="96"/>
      <c r="P196" s="275"/>
      <c r="Q196" s="274"/>
      <c r="R196" s="274"/>
      <c r="S196" s="274"/>
      <c r="T196" s="96"/>
      <c r="U196" s="275"/>
      <c r="V196" s="274"/>
      <c r="W196" s="274"/>
      <c r="X196" s="274"/>
      <c r="Y196" s="96"/>
      <c r="Z196" s="275"/>
      <c r="AA196" s="274"/>
      <c r="AB196" s="274">
        <v>11</v>
      </c>
      <c r="AC196" s="274">
        <v>6</v>
      </c>
      <c r="AD196" s="96">
        <f>(AD197*AC194)/4</f>
        <v>8.6030107526881725</v>
      </c>
      <c r="AE196" s="97">
        <f>SUM(AA196:AD196)</f>
        <v>25.603010752688171</v>
      </c>
      <c r="AF196" s="274">
        <v>11</v>
      </c>
      <c r="AG196" s="274">
        <v>4</v>
      </c>
      <c r="AH196" s="274">
        <v>9</v>
      </c>
      <c r="AI196" s="274">
        <v>10</v>
      </c>
      <c r="AJ196" s="97">
        <f>SUM(AF196:AI196)</f>
        <v>34</v>
      </c>
      <c r="AK196" s="480">
        <v>31</v>
      </c>
      <c r="AL196" s="480">
        <v>32</v>
      </c>
      <c r="AM196" s="480">
        <v>33</v>
      </c>
      <c r="AN196" s="274">
        <v>10</v>
      </c>
      <c r="AO196" s="97">
        <f>SUM(AK196:AN196)</f>
        <v>106</v>
      </c>
      <c r="AP196" s="274">
        <v>10</v>
      </c>
      <c r="AQ196" s="96">
        <f t="shared" ref="AQ196:AS196" si="384">AQ197*AP194/4</f>
        <v>7.36625</v>
      </c>
      <c r="AR196" s="96">
        <f t="shared" si="384"/>
        <v>6.7387500000000005</v>
      </c>
      <c r="AS196" s="515">
        <f t="shared" ca="1" si="384"/>
        <v>0</v>
      </c>
      <c r="AT196" s="97">
        <f ca="1">SUM(AP196:AS196)</f>
        <v>24.105</v>
      </c>
      <c r="AU196" s="515">
        <f t="shared" ref="AU196" si="385">AU197*AT194/4</f>
        <v>8.2337500000000006</v>
      </c>
      <c r="AV196" s="515">
        <f t="shared" ref="AV196" si="386">AV197*AU194/4</f>
        <v>4.2052500000000004</v>
      </c>
      <c r="AW196" s="515">
        <f t="shared" ref="AW196" si="387">AW197*AV194/4</f>
        <v>4.5082500000000003</v>
      </c>
      <c r="AX196" s="515">
        <f t="shared" ref="AX196" ca="1" si="388">AX197*AW194/4</f>
        <v>0</v>
      </c>
      <c r="AY196" s="97">
        <f ca="1">SUM(AU196:AX196)</f>
        <v>16.94725</v>
      </c>
      <c r="AZ196" s="515">
        <f t="shared" ref="AZ196:BB196" si="389">AZ197*AY194/4</f>
        <v>6.9725000000000001</v>
      </c>
      <c r="BA196" s="515">
        <f t="shared" si="389"/>
        <v>6.44625</v>
      </c>
      <c r="BB196" s="515">
        <f t="shared" si="389"/>
        <v>5.9775</v>
      </c>
      <c r="BC196" s="515">
        <f t="shared" ref="BC196" ca="1" si="390">BC197*BB194/4</f>
        <v>0</v>
      </c>
      <c r="BD196" s="97">
        <f ca="1">SUM(AZ196:BC196)</f>
        <v>19.396249999999998</v>
      </c>
      <c r="BE196" s="515">
        <f t="shared" ref="BE196:BF196" si="391">BE197*BD194/4</f>
        <v>9.2937500000000011</v>
      </c>
      <c r="BF196" s="515">
        <f t="shared" si="391"/>
        <v>8.5225000000000009</v>
      </c>
      <c r="BG196" s="515">
        <f t="shared" ref="BG196" si="392">BG197*BF194/4</f>
        <v>10.38125</v>
      </c>
      <c r="BH196" s="515">
        <f>BH197*BG194/4</f>
        <v>0</v>
      </c>
      <c r="BI196" s="97">
        <f>SUM(BE196:BH196)</f>
        <v>28.197500000000005</v>
      </c>
      <c r="BJ196" s="21"/>
      <c r="BK196" s="21"/>
      <c r="BL196" s="21"/>
    </row>
    <row r="197" spans="1:65" s="98" customFormat="1">
      <c r="A197" s="284" t="s">
        <v>307</v>
      </c>
      <c r="B197" s="31"/>
      <c r="C197" s="31"/>
      <c r="D197" s="31"/>
      <c r="E197" s="31"/>
      <c r="F197" s="220"/>
      <c r="G197" s="31"/>
      <c r="H197" s="31"/>
      <c r="I197" s="31"/>
      <c r="J197" s="31"/>
      <c r="K197" s="220"/>
      <c r="L197" s="31"/>
      <c r="M197" s="31"/>
      <c r="N197" s="31"/>
      <c r="O197" s="31"/>
      <c r="P197" s="220"/>
      <c r="Q197" s="31"/>
      <c r="R197" s="31"/>
      <c r="S197" s="31"/>
      <c r="T197" s="31"/>
      <c r="U197" s="220"/>
      <c r="V197" s="31"/>
      <c r="W197" s="31"/>
      <c r="X197" s="31"/>
      <c r="Y197" s="31"/>
      <c r="Z197" s="220"/>
      <c r="AA197" s="31"/>
      <c r="AB197" s="31">
        <f>(AB196/AA194)*4</f>
        <v>5.4993125859267595E-3</v>
      </c>
      <c r="AC197" s="31">
        <f>(AC196/AB194)*4</f>
        <v>3.4408602150537634E-3</v>
      </c>
      <c r="AD197" s="217">
        <f>AC197</f>
        <v>3.4408602150537634E-3</v>
      </c>
      <c r="AE197" s="220">
        <f>AE196/AVERAGE(AA194:AC194)</f>
        <v>3.0751904655508876E-3</v>
      </c>
      <c r="AF197" s="217">
        <v>5.0000000000000001E-3</v>
      </c>
      <c r="AG197" s="31">
        <f>(AG196/AF194)*4</f>
        <v>1.8650192330108403E-3</v>
      </c>
      <c r="AH197" s="31">
        <f>(AH196/AG194)*4</f>
        <v>4.4714942243199605E-3</v>
      </c>
      <c r="AI197" s="31">
        <f>(AI196/AH194)*4</f>
        <v>5.3504547886570357E-3</v>
      </c>
      <c r="AJ197" s="220">
        <f>AJ196/AVERAGE(AE194:AH194)</f>
        <v>4.1327336817795065E-3</v>
      </c>
      <c r="AK197" s="468">
        <f>(AK196/AJ194)*4</f>
        <v>1.5832482124616958E-2</v>
      </c>
      <c r="AL197" s="468">
        <f>(AL196/AK194)*4</f>
        <v>2.119205298013245E-2</v>
      </c>
      <c r="AM197" s="468">
        <f>(AM196/AL194)*4</f>
        <v>2.7690371302706105E-2</v>
      </c>
      <c r="AN197" s="31">
        <f>(AN196/AM194)*4</f>
        <v>7.4335625348448241E-3</v>
      </c>
      <c r="AO197" s="220">
        <f>AO196/AVERAGE(AJ194:AM194)</f>
        <v>1.7651956702747711E-2</v>
      </c>
      <c r="AP197" s="31">
        <f>(AP196/AO194)*4</f>
        <v>6.4308681672025723E-3</v>
      </c>
      <c r="AQ197" s="217">
        <v>5.0000000000000001E-3</v>
      </c>
      <c r="AR197" s="217">
        <v>5.0000000000000001E-3</v>
      </c>
      <c r="AS197" s="31">
        <f ca="1">(AS196/AR194)*4</f>
        <v>0</v>
      </c>
      <c r="AT197" s="220">
        <f ca="1">AT196/AVERAGE(AO194:AR194)</f>
        <v>4.1994773519163763E-3</v>
      </c>
      <c r="AU197" s="499">
        <v>5.0000000000000001E-3</v>
      </c>
      <c r="AV197" s="499">
        <v>3.0000000000000001E-3</v>
      </c>
      <c r="AW197" s="499">
        <v>3.0000000000000001E-3</v>
      </c>
      <c r="AX197" s="31">
        <f ca="1">(AX196/AW194)*4</f>
        <v>0</v>
      </c>
      <c r="AY197" s="220">
        <f ca="1">AY196/AVERAGE(AT194:AW194)</f>
        <v>2.723871900992486E-3</v>
      </c>
      <c r="AZ197" s="499">
        <v>5.0000000000000001E-3</v>
      </c>
      <c r="BA197" s="499">
        <v>5.0000000000000001E-3</v>
      </c>
      <c r="BB197" s="499">
        <v>5.0000000000000001E-3</v>
      </c>
      <c r="BC197" s="31">
        <f ca="1">(BC196/BB194)*4</f>
        <v>0</v>
      </c>
      <c r="BD197" s="220">
        <f ca="1">BD196/AVERAGE(AY194:BB194)</f>
        <v>3.6114602243634501E-3</v>
      </c>
      <c r="BE197" s="499">
        <v>5.0000000000000001E-3</v>
      </c>
      <c r="BF197" s="499">
        <v>5.0000000000000001E-3</v>
      </c>
      <c r="BG197" s="499">
        <v>5.0000000000000001E-3</v>
      </c>
      <c r="BH197" s="217">
        <v>0</v>
      </c>
      <c r="BI197" s="220">
        <f>BI196/AVERAGE(BD194:BG194)</f>
        <v>3.5365009331786781E-3</v>
      </c>
      <c r="BJ197" s="447"/>
      <c r="BK197" s="447"/>
      <c r="BL197" s="21"/>
    </row>
    <row r="198" spans="1:65" s="98" customFormat="1">
      <c r="A198" s="284"/>
      <c r="B198" s="31"/>
      <c r="C198" s="31"/>
      <c r="D198" s="31"/>
      <c r="E198" s="31"/>
      <c r="F198" s="220"/>
      <c r="G198" s="31"/>
      <c r="H198" s="31"/>
      <c r="I198" s="31"/>
      <c r="J198" s="31"/>
      <c r="K198" s="220"/>
      <c r="L198" s="31"/>
      <c r="M198" s="31"/>
      <c r="N198" s="31"/>
      <c r="O198" s="31"/>
      <c r="P198" s="220"/>
      <c r="Q198" s="31"/>
      <c r="R198" s="31"/>
      <c r="S198" s="31"/>
      <c r="T198" s="31"/>
      <c r="U198" s="220"/>
      <c r="V198" s="31"/>
      <c r="W198" s="31"/>
      <c r="X198" s="31"/>
      <c r="Y198" s="31"/>
      <c r="Z198" s="220"/>
      <c r="AA198" s="31"/>
      <c r="AB198" s="217"/>
      <c r="AC198" s="217"/>
      <c r="AD198" s="217"/>
      <c r="AE198" s="220"/>
      <c r="AF198" s="217"/>
      <c r="AG198" s="217"/>
      <c r="AH198" s="217"/>
      <c r="AI198" s="217"/>
      <c r="AJ198" s="220"/>
      <c r="AK198" s="217"/>
      <c r="AL198" s="217"/>
      <c r="AM198" s="217"/>
      <c r="AN198" s="217"/>
      <c r="AO198" s="220"/>
      <c r="AP198" s="217"/>
      <c r="AQ198" s="217"/>
      <c r="AR198" s="217"/>
      <c r="AS198" s="217"/>
      <c r="AT198" s="220"/>
      <c r="AU198" s="217"/>
      <c r="AV198" s="217"/>
      <c r="AW198" s="217"/>
      <c r="AX198" s="217"/>
      <c r="AY198" s="220"/>
      <c r="AZ198" s="217"/>
      <c r="BA198" s="217"/>
      <c r="BB198" s="217"/>
      <c r="BC198" s="217"/>
      <c r="BD198" s="220"/>
      <c r="BE198" s="217"/>
      <c r="BF198" s="217"/>
      <c r="BG198" s="217"/>
      <c r="BH198" s="217"/>
      <c r="BI198" s="220"/>
      <c r="BJ198" s="21"/>
      <c r="BK198" s="21"/>
      <c r="BL198" s="21"/>
    </row>
    <row r="199" spans="1:65" s="96" customFormat="1">
      <c r="A199" s="309" t="s">
        <v>308</v>
      </c>
      <c r="B199" s="285"/>
      <c r="C199" s="285"/>
      <c r="D199" s="285"/>
      <c r="E199" s="285"/>
      <c r="F199" s="286"/>
      <c r="G199" s="285"/>
      <c r="H199" s="285"/>
      <c r="I199" s="285"/>
      <c r="J199" s="285"/>
      <c r="K199" s="286"/>
      <c r="L199" s="285"/>
      <c r="M199" s="285"/>
      <c r="N199" s="285"/>
      <c r="O199" s="285"/>
      <c r="P199" s="287"/>
      <c r="Q199" s="288"/>
      <c r="R199" s="288"/>
      <c r="S199" s="288"/>
      <c r="T199" s="288"/>
      <c r="U199" s="287"/>
      <c r="V199" s="288"/>
      <c r="W199" s="288"/>
      <c r="X199" s="288"/>
      <c r="Y199" s="288"/>
      <c r="Z199" s="287"/>
      <c r="AA199" s="288"/>
      <c r="AB199" s="288">
        <f>-ProForma_IS_Qtr!AB31</f>
        <v>341</v>
      </c>
      <c r="AC199" s="288">
        <f>-ProForma_IS_Qtr!AC31</f>
        <v>350</v>
      </c>
      <c r="AD199" s="288">
        <f>-ProForma_IS_Qtr!AD31</f>
        <v>349</v>
      </c>
      <c r="AE199" s="286">
        <f t="shared" ref="AE199:AJ199" si="393">AE192-AE196</f>
        <v>1040.0000000000005</v>
      </c>
      <c r="AF199" s="288">
        <f>-ProForma_IS_Qtr!AF31</f>
        <v>346</v>
      </c>
      <c r="AG199" s="288">
        <f>-ProForma_IS_Qtr!AG31</f>
        <v>342</v>
      </c>
      <c r="AH199" s="288">
        <f>-ProForma_IS_Qtr!AH31</f>
        <v>326</v>
      </c>
      <c r="AI199" s="288">
        <f>-ProForma_IS_Qtr!AI31</f>
        <v>308</v>
      </c>
      <c r="AJ199" s="286">
        <f t="shared" si="393"/>
        <v>1322.0000000000005</v>
      </c>
      <c r="AK199" s="470">
        <f>-ProForma_IS_Qtr!AK31</f>
        <v>318</v>
      </c>
      <c r="AL199" s="470">
        <f>-ProForma_IS_Qtr!AL31</f>
        <v>329</v>
      </c>
      <c r="AM199" s="470">
        <f>-ProForma_IS_Qtr!AM31</f>
        <v>311</v>
      </c>
      <c r="AN199" s="288">
        <f>-ProForma_IS_Qtr!AN31</f>
        <v>318</v>
      </c>
      <c r="AO199" s="286">
        <f t="shared" ref="AO199" si="394">AO192-AO196</f>
        <v>1276</v>
      </c>
      <c r="AP199" s="470">
        <f>-ProForma_IS_Qtr!AP31</f>
        <v>315</v>
      </c>
      <c r="AQ199" s="470">
        <f>-ProForma_IS_Qtr!AQ31</f>
        <v>333</v>
      </c>
      <c r="AR199" s="470">
        <f>-ProForma_IS_Qtr!AR31</f>
        <v>369</v>
      </c>
      <c r="AS199" s="514">
        <f>-ProForma_IS_Qtr!AS31</f>
        <v>499</v>
      </c>
      <c r="AT199" s="444">
        <f t="shared" ref="AT199" ca="1" si="395">AT192-AT196</f>
        <v>1516</v>
      </c>
      <c r="AU199" s="514">
        <f>-ProForma_IS_Qtr!AU31</f>
        <v>503.7341772151899</v>
      </c>
      <c r="AV199" s="514">
        <f>-ProForma_IS_Qtr!AV31</f>
        <v>475</v>
      </c>
      <c r="AW199" s="514">
        <f>-ProForma_IS_Qtr!AW31</f>
        <v>485</v>
      </c>
      <c r="AX199" s="514">
        <f>-ProForma_IS_Qtr!AX31</f>
        <v>486</v>
      </c>
      <c r="AY199" s="444">
        <f t="shared" ref="AY199" ca="1" si="396">AY192-AY196</f>
        <v>1949.7341772151899</v>
      </c>
      <c r="AZ199" s="514">
        <f>-ProForma_IS_Qtr!AZ31</f>
        <v>451.12658227848101</v>
      </c>
      <c r="BA199" s="514">
        <f>-ProForma_IS_Qtr!BA31</f>
        <v>467.92405063291142</v>
      </c>
      <c r="BB199" s="514">
        <f>-ProForma_IS_Qtr!BB31</f>
        <v>449</v>
      </c>
      <c r="BC199" s="514">
        <f>-ProForma_IS_Qtr!BC31</f>
        <v>400</v>
      </c>
      <c r="BD199" s="444">
        <f t="shared" ref="BD199" ca="1" si="397">BD192-BD196</f>
        <v>1768.0506329113923</v>
      </c>
      <c r="BE199" s="514">
        <f>-ProForma_IS_Qtr!BE31</f>
        <v>390</v>
      </c>
      <c r="BF199" s="514">
        <f>-ProForma_IS_Qtr!BF31</f>
        <v>417</v>
      </c>
      <c r="BG199" s="443">
        <f>BG192-BG196</f>
        <v>412.45281249999999</v>
      </c>
      <c r="BH199" s="443">
        <f>BH192-BH196</f>
        <v>405.12737499999997</v>
      </c>
      <c r="BI199" s="444">
        <f>BI192-BI196</f>
        <v>1624.5801875</v>
      </c>
      <c r="BJ199" s="21"/>
      <c r="BK199" s="21">
        <v>1650</v>
      </c>
      <c r="BL199" s="21"/>
      <c r="BM199" s="371"/>
    </row>
    <row r="200" spans="1:65" s="25" customFormat="1">
      <c r="A200" s="289"/>
      <c r="B200" s="290"/>
      <c r="C200" s="290"/>
      <c r="D200" s="290"/>
      <c r="E200" s="291"/>
      <c r="F200" s="291"/>
      <c r="G200" s="290"/>
      <c r="H200" s="290"/>
      <c r="I200" s="290"/>
      <c r="J200" s="291"/>
      <c r="K200" s="290"/>
      <c r="L200" s="290"/>
      <c r="M200" s="290"/>
      <c r="N200" s="290"/>
      <c r="O200" s="291"/>
      <c r="P200" s="291"/>
      <c r="Q200" s="291"/>
      <c r="R200" s="291"/>
      <c r="S200" s="291"/>
      <c r="T200" s="291"/>
      <c r="U200" s="291"/>
      <c r="V200" s="291"/>
      <c r="W200" s="291"/>
      <c r="X200" s="291"/>
      <c r="Y200" s="291"/>
      <c r="Z200" s="291"/>
      <c r="AA200" s="291"/>
      <c r="AB200" s="291"/>
      <c r="AC200" s="291"/>
      <c r="AD200" s="291"/>
      <c r="AE200" s="291"/>
      <c r="AF200" s="291"/>
      <c r="AG200" s="291"/>
      <c r="AH200" s="291"/>
      <c r="AI200" s="291"/>
      <c r="AJ200" s="291"/>
      <c r="AK200" s="42"/>
      <c r="AL200" s="42"/>
      <c r="AM200" s="42"/>
      <c r="AN200" s="42"/>
      <c r="AO200" s="42"/>
      <c r="AP200" s="42"/>
      <c r="AQ200" s="42"/>
      <c r="AR200" s="42"/>
      <c r="AS200" s="42"/>
      <c r="AT200" s="42"/>
      <c r="AU200" s="42"/>
      <c r="AV200" s="42"/>
      <c r="AW200" s="42"/>
      <c r="AX200" s="42"/>
      <c r="AY200" s="42"/>
      <c r="AZ200" s="42"/>
      <c r="BA200" s="42"/>
      <c r="BB200" s="42"/>
      <c r="BC200" s="42"/>
      <c r="BD200" s="42"/>
      <c r="BE200" s="42"/>
      <c r="BF200" s="42"/>
      <c r="BG200" s="42"/>
      <c r="BH200" s="42"/>
      <c r="BI200" s="42"/>
      <c r="BJ200" s="21"/>
      <c r="BK200" s="21"/>
      <c r="BL200" s="21"/>
    </row>
    <row r="201" spans="1:65">
      <c r="BG201" s="77"/>
      <c r="BH201" s="52"/>
      <c r="BJ201" s="21"/>
      <c r="BK201" s="21"/>
    </row>
    <row r="202" spans="1:65">
      <c r="BH202" s="77"/>
    </row>
  </sheetData>
  <phoneticPr fontId="32" type="noConversion"/>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1740E-7FF7-48E2-BF87-A98F01610E51}">
  <sheetPr codeName="Sheet46">
    <tabColor theme="8" tint="0.39997558519241921"/>
  </sheetPr>
  <dimension ref="A1:AO52"/>
  <sheetViews>
    <sheetView showGridLines="0" zoomScale="80" zoomScaleNormal="80" workbookViewId="0">
      <pane xSplit="1" ySplit="2" topLeftCell="R3" activePane="bottomRight" state="frozen"/>
      <selection activeCell="O15" sqref="O15"/>
      <selection pane="topRight" activeCell="O15" sqref="O15"/>
      <selection pane="bottomLeft" activeCell="O15" sqref="O15"/>
      <selection pane="bottomRight" activeCell="AC34" sqref="AC34"/>
    </sheetView>
  </sheetViews>
  <sheetFormatPr defaultRowHeight="15" outlineLevelRow="1"/>
  <cols>
    <col min="1" max="1" width="48" customWidth="1"/>
    <col min="2" max="11" width="12.42578125" style="25" hidden="1" customWidth="1"/>
    <col min="12" max="21" width="12.42578125" style="25" customWidth="1"/>
    <col min="22" max="32" width="12.42578125" customWidth="1"/>
    <col min="33" max="33" width="11.5703125" customWidth="1"/>
    <col min="34" max="34" width="10.5703125" customWidth="1"/>
    <col min="35" max="35" width="22" customWidth="1"/>
    <col min="36" max="36" width="13.140625" customWidth="1"/>
    <col min="37" max="37" width="26.7109375" customWidth="1"/>
    <col min="39" max="39" width="10.28515625" customWidth="1"/>
  </cols>
  <sheetData>
    <row r="1" spans="1:40">
      <c r="A1" s="14" t="s">
        <v>251</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row>
    <row r="2" spans="1:40">
      <c r="A2" s="6"/>
      <c r="B2" s="110" t="str">
        <f>ProForma_IS_Annual!B2</f>
        <v>CY2000A</v>
      </c>
      <c r="C2" s="110" t="str">
        <f>ProForma_IS_Annual!C2</f>
        <v>CY2001A</v>
      </c>
      <c r="D2" s="110" t="str">
        <f>ProForma_IS_Annual!D2</f>
        <v>CY2002A</v>
      </c>
      <c r="E2" s="110" t="str">
        <f>ProForma_IS_Annual!E2</f>
        <v>CY2003A</v>
      </c>
      <c r="F2" s="110" t="str">
        <f>ProForma_IS_Annual!F2</f>
        <v>CY2004A</v>
      </c>
      <c r="G2" s="110" t="str">
        <f>ProForma_IS_Annual!G2</f>
        <v>CY2005A</v>
      </c>
      <c r="H2" s="110" t="str">
        <f>ProForma_IS_Annual!H2</f>
        <v>CY2006A</v>
      </c>
      <c r="I2" s="110" t="str">
        <f>ProForma_IS_Annual!I2</f>
        <v>CY2007A</v>
      </c>
      <c r="J2" s="110" t="str">
        <f>ProForma_IS_Annual!J2</f>
        <v>CY2008A</v>
      </c>
      <c r="K2" s="110" t="str">
        <f>ProForma_IS_Annual!K2</f>
        <v>CY2009A</v>
      </c>
      <c r="L2" s="110" t="str">
        <f>ProForma_IS_Annual!L2</f>
        <v>CY2010A</v>
      </c>
      <c r="M2" s="110" t="str">
        <f>ProForma_IS_Annual!M2</f>
        <v>CY2011A</v>
      </c>
      <c r="N2" s="110" t="str">
        <f>ProForma_IS_Annual!N2</f>
        <v>CY2012A</v>
      </c>
      <c r="O2" s="110" t="str">
        <f>ProForma_IS_Annual!O2</f>
        <v>CY2013A</v>
      </c>
      <c r="P2" s="110" t="str">
        <f>ProForma_IS_Annual!P2</f>
        <v>CY2014A</v>
      </c>
      <c r="Q2" s="110" t="str">
        <f>ProForma_IS_Annual!Q2</f>
        <v>CY2015A</v>
      </c>
      <c r="R2" s="110" t="str">
        <f>ProForma_IS_Annual!R2</f>
        <v>CY2016A</v>
      </c>
      <c r="S2" s="110" t="str">
        <f>ProForma_IS_Annual!S2</f>
        <v>CY2017A</v>
      </c>
      <c r="T2" s="110" t="str">
        <f>ProForma_IS_Annual!T2</f>
        <v>CY2018A</v>
      </c>
      <c r="U2" s="110" t="str">
        <f>ProForma_IS_Annual!U2</f>
        <v>CY2019A</v>
      </c>
      <c r="V2" s="110" t="str">
        <f>ProForma_IS_Annual!V2</f>
        <v>CY2020A</v>
      </c>
      <c r="W2" s="110" t="str">
        <f>ProForma_IS_Annual!W2</f>
        <v>CY2021A</v>
      </c>
      <c r="X2" s="110" t="str">
        <f>ProForma_IS_Annual!X2</f>
        <v>CY2022A</v>
      </c>
      <c r="Y2" s="110" t="str">
        <f>ProForma_IS_Annual!Y2</f>
        <v>CY2023A</v>
      </c>
      <c r="Z2" s="110" t="str">
        <f>ProForma_IS_Annual!Z2</f>
        <v>CY2024A</v>
      </c>
      <c r="AA2" s="110" t="str">
        <f>ProForma_IS_Annual!AA2</f>
        <v>CY2025A</v>
      </c>
      <c r="AB2" s="110" t="str">
        <f>ProForma_IS_Annual!AB2</f>
        <v>CY2026E</v>
      </c>
      <c r="AC2" s="110" t="str">
        <f>ProForma_IS_Annual!AC2</f>
        <v>CY2027E</v>
      </c>
      <c r="AD2" s="110" t="str">
        <f>ProForma_IS_Annual!AD2</f>
        <v>CY2028E</v>
      </c>
      <c r="AE2" s="110" t="str">
        <f>ProForma_IS_Annual!AE2</f>
        <v>CY2029E</v>
      </c>
      <c r="AF2" s="110" t="str">
        <f>ProForma_IS_Annual!AF2</f>
        <v>CY2030E</v>
      </c>
    </row>
    <row r="3" spans="1:40" outlineLevel="1">
      <c r="A3" s="121" t="str">
        <f>'Recast Collins Aerospace_Qtr'!A3</f>
        <v>Products (Avionics, Interiors, Communications)</v>
      </c>
      <c r="B3" s="203"/>
      <c r="C3" s="203"/>
      <c r="D3" s="203"/>
      <c r="E3" s="203"/>
      <c r="F3" s="203"/>
      <c r="G3" s="203"/>
      <c r="H3" s="203"/>
      <c r="I3" s="203"/>
      <c r="J3" s="203"/>
      <c r="K3" s="203"/>
      <c r="L3" s="203"/>
      <c r="M3" s="203"/>
      <c r="N3" s="203"/>
      <c r="O3" s="203"/>
      <c r="P3" s="203"/>
      <c r="Q3" s="199"/>
      <c r="R3" s="199"/>
      <c r="S3" s="203"/>
      <c r="T3" s="203"/>
      <c r="U3" s="203">
        <f>'Recast Collins Aerospace_Qtr'!Z3</f>
        <v>0</v>
      </c>
      <c r="V3" s="203">
        <f>'Recast Collins Aerospace_Qtr'!AE3</f>
        <v>0</v>
      </c>
      <c r="W3" s="203">
        <f>'Recast Collins Aerospace_Qtr'!AJ3</f>
        <v>0</v>
      </c>
      <c r="X3" s="203">
        <f>'Recast Collins Aerospace_Qtr'!AO3</f>
        <v>0</v>
      </c>
      <c r="Y3" s="203">
        <f>'Recast Collins Aerospace_Qtr'!AT3</f>
        <v>19034</v>
      </c>
      <c r="Z3" s="203">
        <f>'Recast Collins Aerospace_Qtr'!AY3</f>
        <v>20272</v>
      </c>
      <c r="AA3" s="203">
        <f>'Recast Collins Aerospace_Qtr'!BD3</f>
        <v>21467</v>
      </c>
      <c r="AB3" s="204">
        <f>AA3*(1+AB4)</f>
        <v>22755.02</v>
      </c>
      <c r="AC3" s="204">
        <f>AB3*(1+AC4)</f>
        <v>24120.321200000002</v>
      </c>
      <c r="AD3" s="204">
        <f>AC3*(1+AD4)</f>
        <v>25567.540472000004</v>
      </c>
      <c r="AE3" s="204">
        <f>AD3*(1+AE4)</f>
        <v>27101.592900320007</v>
      </c>
      <c r="AF3" s="204">
        <f>AE3*(1+AF4)</f>
        <v>28727.688474339207</v>
      </c>
    </row>
    <row r="4" spans="1:40" outlineLevel="1">
      <c r="A4" s="1" t="str">
        <f>'Recast Collins Aerospace_Qtr'!A4</f>
        <v>YoY</v>
      </c>
      <c r="B4" s="200"/>
      <c r="C4" s="200"/>
      <c r="D4" s="200"/>
      <c r="E4" s="200"/>
      <c r="F4" s="200"/>
      <c r="G4" s="200"/>
      <c r="H4" s="200"/>
      <c r="I4" s="200"/>
      <c r="J4" s="200"/>
      <c r="K4" s="200"/>
      <c r="L4" s="200"/>
      <c r="M4" s="200"/>
      <c r="N4" s="200"/>
      <c r="O4" s="200"/>
      <c r="P4" s="200"/>
      <c r="Q4" s="200"/>
      <c r="R4" s="200"/>
      <c r="S4" s="200"/>
      <c r="T4" s="200"/>
      <c r="U4" s="200">
        <f>'Recast Collins Aerospace_Qtr'!Z4</f>
        <v>0</v>
      </c>
      <c r="V4" s="200" t="e">
        <f>'Recast Collins Aerospace_Qtr'!AE4</f>
        <v>#DIV/0!</v>
      </c>
      <c r="W4" s="200" t="e">
        <f>'Recast Collins Aerospace_Qtr'!AJ4</f>
        <v>#DIV/0!</v>
      </c>
      <c r="X4" s="200" t="e">
        <f>'Recast Collins Aerospace_Qtr'!AO4</f>
        <v>#DIV/0!</v>
      </c>
      <c r="Y4" s="226" t="e">
        <f>'Recast Collins Aerospace_Qtr'!AT4</f>
        <v>#DIV/0!</v>
      </c>
      <c r="Z4" s="226">
        <f>'Recast Collins Aerospace_Qtr'!AY4</f>
        <v>6.5041504675843242E-2</v>
      </c>
      <c r="AA4" s="226">
        <f>'Recast Collins Aerospace_Qtr'!BD4</f>
        <v>5.8948303078137254E-2</v>
      </c>
      <c r="AB4" s="218">
        <v>0.06</v>
      </c>
      <c r="AC4" s="218">
        <v>0.06</v>
      </c>
      <c r="AD4" s="218">
        <v>0.06</v>
      </c>
      <c r="AE4" s="218">
        <v>0.06</v>
      </c>
      <c r="AF4" s="218">
        <v>0.06</v>
      </c>
    </row>
    <row r="5" spans="1:40" outlineLevel="1">
      <c r="A5" s="1"/>
      <c r="B5" s="38"/>
      <c r="C5" s="38"/>
      <c r="D5" s="38"/>
      <c r="E5" s="38"/>
      <c r="F5" s="38"/>
      <c r="G5" s="38"/>
      <c r="H5" s="38"/>
      <c r="I5" s="38"/>
      <c r="J5" s="38"/>
      <c r="K5" s="38"/>
      <c r="L5" s="38"/>
      <c r="M5" s="38"/>
      <c r="N5" s="38"/>
      <c r="O5" s="38"/>
      <c r="P5" s="38"/>
      <c r="Q5" s="38"/>
      <c r="R5" s="38"/>
      <c r="S5" s="38"/>
      <c r="T5" s="38"/>
      <c r="U5" s="38"/>
      <c r="V5" s="38"/>
      <c r="W5" s="38"/>
      <c r="X5" s="38"/>
      <c r="Y5" s="206"/>
      <c r="Z5" s="206"/>
      <c r="AA5" s="206"/>
      <c r="AB5" s="206"/>
      <c r="AC5" s="206"/>
      <c r="AD5" s="206"/>
      <c r="AE5" s="206"/>
      <c r="AF5" s="206"/>
    </row>
    <row r="6" spans="1:40" outlineLevel="1">
      <c r="A6" s="121" t="str">
        <f>'Recast Collins Aerospace_Qtr'!A6</f>
        <v>Services (Training, ATC solutions)</v>
      </c>
      <c r="B6" s="199"/>
      <c r="C6" s="199"/>
      <c r="D6" s="199"/>
      <c r="E6" s="199"/>
      <c r="F6" s="199"/>
      <c r="G6" s="199"/>
      <c r="H6" s="199"/>
      <c r="I6" s="199"/>
      <c r="J6" s="199"/>
      <c r="K6" s="199"/>
      <c r="L6" s="199"/>
      <c r="M6" s="199"/>
      <c r="N6" s="199"/>
      <c r="O6" s="199"/>
      <c r="P6" s="199"/>
      <c r="Q6" s="199"/>
      <c r="R6" s="199"/>
      <c r="S6" s="199"/>
      <c r="T6" s="199"/>
      <c r="U6" s="199">
        <f>'Recast Collins Aerospace_Qtr'!Z6</f>
        <v>0</v>
      </c>
      <c r="V6" s="199">
        <f>'Recast Collins Aerospace_Qtr'!AE6</f>
        <v>0</v>
      </c>
      <c r="W6" s="199">
        <f>'Recast Collins Aerospace_Qtr'!AJ6</f>
        <v>0</v>
      </c>
      <c r="X6" s="199">
        <f>'Recast Collins Aerospace_Qtr'!AO6</f>
        <v>0</v>
      </c>
      <c r="Y6" s="484">
        <f>'Recast Collins Aerospace_Qtr'!AT6</f>
        <v>5260</v>
      </c>
      <c r="Z6" s="484">
        <f>'Recast Collins Aerospace_Qtr'!AY6</f>
        <v>5657</v>
      </c>
      <c r="AA6" s="484">
        <f>'Recast Collins Aerospace_Qtr'!BD6</f>
        <v>6118</v>
      </c>
      <c r="AB6" s="234">
        <f>AA6*(1+AB7)</f>
        <v>6485.08</v>
      </c>
      <c r="AC6" s="234">
        <f>AB6*(1+AC7)</f>
        <v>6874.1848</v>
      </c>
      <c r="AD6" s="234">
        <f>AC6*(1+AD7)</f>
        <v>7286.6358880000007</v>
      </c>
      <c r="AE6" s="234">
        <f>AD6*(1+AE7)</f>
        <v>7723.8340412800007</v>
      </c>
      <c r="AF6" s="234">
        <f>AE6*(1+AF7)</f>
        <v>8187.2640837568015</v>
      </c>
    </row>
    <row r="7" spans="1:40" outlineLevel="1">
      <c r="A7" s="1" t="str">
        <f>'Recast Collins Aerospace_Qtr'!A7</f>
        <v>YoY</v>
      </c>
      <c r="B7" s="200"/>
      <c r="C7" s="200"/>
      <c r="D7" s="200"/>
      <c r="E7" s="200"/>
      <c r="F7" s="200"/>
      <c r="G7" s="200"/>
      <c r="H7" s="200"/>
      <c r="I7" s="200"/>
      <c r="J7" s="200"/>
      <c r="K7" s="200"/>
      <c r="L7" s="200"/>
      <c r="M7" s="200"/>
      <c r="N7" s="200"/>
      <c r="O7" s="200"/>
      <c r="P7" s="200"/>
      <c r="Q7" s="200"/>
      <c r="R7" s="200"/>
      <c r="S7" s="200"/>
      <c r="T7" s="200"/>
      <c r="U7" s="200">
        <f>'Recast Collins Aerospace_Qtr'!Z7</f>
        <v>0</v>
      </c>
      <c r="V7" s="200" t="e">
        <f>'Recast Collins Aerospace_Qtr'!AE7</f>
        <v>#DIV/0!</v>
      </c>
      <c r="W7" s="200" t="e">
        <f>'Recast Collins Aerospace_Qtr'!AJ7</f>
        <v>#DIV/0!</v>
      </c>
      <c r="X7" s="200" t="e">
        <f>'Recast Collins Aerospace_Qtr'!AO7</f>
        <v>#DIV/0!</v>
      </c>
      <c r="Y7" s="226" t="e">
        <f>'Recast Collins Aerospace_Qtr'!AT7</f>
        <v>#DIV/0!</v>
      </c>
      <c r="Z7" s="226">
        <f>'Recast Collins Aerospace_Qtr'!AY7</f>
        <v>7.5475285171102691E-2</v>
      </c>
      <c r="AA7" s="226">
        <f>'Recast Collins Aerospace_Qtr'!BD7</f>
        <v>8.1491956867597581E-2</v>
      </c>
      <c r="AB7" s="218">
        <v>0.06</v>
      </c>
      <c r="AC7" s="218">
        <v>0.06</v>
      </c>
      <c r="AD7" s="218">
        <v>0.06</v>
      </c>
      <c r="AE7" s="218">
        <v>0.06</v>
      </c>
      <c r="AF7" s="218">
        <v>0.06</v>
      </c>
    </row>
    <row r="8" spans="1:40" outlineLevel="1">
      <c r="A8" s="1"/>
      <c r="B8" s="200"/>
      <c r="C8" s="200"/>
      <c r="D8" s="200"/>
      <c r="E8" s="200"/>
      <c r="F8" s="200"/>
      <c r="G8" s="200"/>
      <c r="H8" s="200"/>
      <c r="I8" s="200"/>
      <c r="J8" s="200"/>
      <c r="K8" s="200"/>
      <c r="L8" s="200"/>
      <c r="M8" s="200"/>
      <c r="N8" s="200"/>
      <c r="O8" s="200"/>
      <c r="P8" s="200"/>
      <c r="Q8" s="200"/>
      <c r="R8" s="200"/>
      <c r="S8" s="200"/>
      <c r="T8" s="200"/>
      <c r="U8" s="200"/>
      <c r="V8" s="200"/>
      <c r="W8" s="200"/>
      <c r="X8" s="200"/>
      <c r="Y8" s="226"/>
      <c r="Z8" s="226"/>
      <c r="AA8" s="226"/>
      <c r="AB8" s="218"/>
      <c r="AC8" s="218"/>
      <c r="AD8" s="218"/>
      <c r="AE8" s="218"/>
      <c r="AF8" s="218"/>
    </row>
    <row r="9" spans="1:40" outlineLevel="1">
      <c r="A9" s="121" t="str">
        <f>'Recast Collins Aerospace_Qtr'!A9</f>
        <v>Intersegment Sales</v>
      </c>
      <c r="B9" s="200"/>
      <c r="C9" s="200"/>
      <c r="D9" s="200"/>
      <c r="E9" s="200"/>
      <c r="F9" s="200"/>
      <c r="G9" s="200"/>
      <c r="H9" s="200"/>
      <c r="I9" s="200"/>
      <c r="J9" s="200"/>
      <c r="K9" s="200"/>
      <c r="L9" s="200"/>
      <c r="M9" s="200"/>
      <c r="N9" s="200"/>
      <c r="O9" s="200"/>
      <c r="P9" s="200"/>
      <c r="Q9" s="199"/>
      <c r="R9" s="199"/>
      <c r="S9" s="199"/>
      <c r="T9" s="199"/>
      <c r="U9" s="199">
        <f>'Recast Collins Aerospace_Qtr'!Z9</f>
        <v>0</v>
      </c>
      <c r="V9" s="199">
        <f>'Recast Collins Aerospace_Qtr'!AE9</f>
        <v>0</v>
      </c>
      <c r="W9" s="199">
        <f>'Recast Collins Aerospace_Qtr'!AJ9</f>
        <v>0</v>
      </c>
      <c r="X9" s="199">
        <f>'Recast Collins Aerospace_Qtr'!AO9</f>
        <v>0</v>
      </c>
      <c r="Y9" s="484">
        <f>'Recast Collins Aerospace_Qtr'!AT9</f>
        <v>1959</v>
      </c>
      <c r="Z9" s="484">
        <f>'Recast Collins Aerospace_Qtr'!AY9</f>
        <v>2355</v>
      </c>
      <c r="AA9" s="484">
        <f>'Recast Collins Aerospace_Qtr'!BD9</f>
        <v>2611</v>
      </c>
      <c r="AB9" s="234">
        <f>AA9*(1+AB10)</f>
        <v>2767.6600000000003</v>
      </c>
      <c r="AC9" s="234">
        <f>AB9*(1+AC10)</f>
        <v>2933.7196000000004</v>
      </c>
      <c r="AD9" s="234">
        <f>AC9*(1+AD10)</f>
        <v>3109.7427760000005</v>
      </c>
      <c r="AE9" s="234">
        <f>AD9*(1+AE10)</f>
        <v>3296.3273425600005</v>
      </c>
      <c r="AF9" s="234">
        <f>AE9*(1+AF10)</f>
        <v>3494.1069831136006</v>
      </c>
    </row>
    <row r="10" spans="1:40" outlineLevel="1">
      <c r="A10" s="121" t="str">
        <f>'Recast Collins Aerospace_Qtr'!A10</f>
        <v>YoY</v>
      </c>
      <c r="B10" s="200"/>
      <c r="C10" s="200"/>
      <c r="D10" s="200"/>
      <c r="E10" s="200"/>
      <c r="F10" s="200"/>
      <c r="G10" s="200"/>
      <c r="H10" s="200"/>
      <c r="I10" s="200"/>
      <c r="J10" s="200"/>
      <c r="K10" s="200"/>
      <c r="L10" s="200"/>
      <c r="M10" s="200"/>
      <c r="N10" s="200"/>
      <c r="O10" s="200"/>
      <c r="P10" s="200"/>
      <c r="Q10" s="199"/>
      <c r="R10" s="199"/>
      <c r="S10" s="199"/>
      <c r="T10" s="199"/>
      <c r="U10" s="200">
        <f>'Recast Collins Aerospace_Qtr'!Z10</f>
        <v>0</v>
      </c>
      <c r="V10" s="200" t="e">
        <f>'Recast Collins Aerospace_Qtr'!AE10</f>
        <v>#DIV/0!</v>
      </c>
      <c r="W10" s="200" t="e">
        <f>'Recast Collins Aerospace_Qtr'!AJ10</f>
        <v>#DIV/0!</v>
      </c>
      <c r="X10" s="200" t="e">
        <f>'Recast Collins Aerospace_Qtr'!AO10</f>
        <v>#DIV/0!</v>
      </c>
      <c r="Y10" s="226" t="e">
        <f>'Recast Collins Aerospace_Qtr'!AT10</f>
        <v>#DIV/0!</v>
      </c>
      <c r="Z10" s="226">
        <f>'Recast Collins Aerospace_Qtr'!AY10</f>
        <v>0.20214395099540572</v>
      </c>
      <c r="AA10" s="226">
        <f>'Recast Collins Aerospace_Qtr'!BD10</f>
        <v>0.1087048832271762</v>
      </c>
      <c r="AB10" s="218">
        <v>0.06</v>
      </c>
      <c r="AC10" s="218">
        <v>0.06</v>
      </c>
      <c r="AD10" s="218">
        <v>0.06</v>
      </c>
      <c r="AE10" s="218">
        <v>0.06</v>
      </c>
      <c r="AF10" s="218">
        <v>0.06</v>
      </c>
    </row>
    <row r="11" spans="1:40" outlineLevel="1">
      <c r="A11" s="1"/>
      <c r="B11" s="38"/>
      <c r="C11" s="38"/>
      <c r="D11" s="38"/>
      <c r="E11" s="38"/>
      <c r="F11" s="38"/>
      <c r="G11" s="38"/>
      <c r="H11" s="38"/>
      <c r="I11" s="38"/>
      <c r="J11" s="38"/>
      <c r="K11" s="38"/>
      <c r="L11" s="38"/>
      <c r="M11" s="38"/>
      <c r="N11" s="38"/>
      <c r="O11" s="38"/>
      <c r="P11" s="38"/>
      <c r="Q11" s="38"/>
      <c r="R11" s="38"/>
      <c r="S11" s="38"/>
      <c r="T11" s="38"/>
      <c r="U11" s="38"/>
      <c r="V11" s="38"/>
      <c r="W11" s="38"/>
      <c r="X11" s="38"/>
      <c r="Y11" s="484">
        <f>'Recast Collins Aerospace_Qtr'!AT11</f>
        <v>0</v>
      </c>
      <c r="Z11" s="484">
        <f>'Recast Collins Aerospace_Qtr'!AY11</f>
        <v>0</v>
      </c>
      <c r="AA11" s="484">
        <f>'Recast Collins Aerospace_Qtr'!BD11</f>
        <v>0</v>
      </c>
      <c r="AB11" s="206"/>
      <c r="AC11" s="206"/>
      <c r="AD11" s="206"/>
      <c r="AE11" s="206"/>
      <c r="AF11" s="206"/>
    </row>
    <row r="12" spans="1:40">
      <c r="A12" s="8" t="str">
        <f>'Recast Collins Aerospace_Qtr'!A12</f>
        <v>Net Sales</v>
      </c>
      <c r="B12" s="30"/>
      <c r="C12" s="30"/>
      <c r="D12" s="30"/>
      <c r="E12" s="30"/>
      <c r="F12" s="30"/>
      <c r="G12" s="30"/>
      <c r="H12" s="30"/>
      <c r="I12" s="30"/>
      <c r="J12" s="30"/>
      <c r="K12" s="30"/>
      <c r="L12" s="30"/>
      <c r="M12" s="30">
        <v>4760</v>
      </c>
      <c r="N12" s="30">
        <v>8334</v>
      </c>
      <c r="O12" s="30">
        <v>13347</v>
      </c>
      <c r="P12" s="30">
        <v>14215</v>
      </c>
      <c r="Q12" s="182">
        <f>'Recast Collins Aerospace_Qtr'!F12</f>
        <v>0</v>
      </c>
      <c r="R12" s="182">
        <f>'Recast Collins Aerospace_Qtr'!K12</f>
        <v>0</v>
      </c>
      <c r="S12" s="182">
        <f>'Recast Collins Aerospace_Qtr'!P12</f>
        <v>0</v>
      </c>
      <c r="T12" s="182">
        <f>'Recast Collins Aerospace_Qtr'!U12</f>
        <v>0</v>
      </c>
      <c r="U12" s="182">
        <f>'Recast Collins Aerospace_Qtr'!Z12</f>
        <v>0</v>
      </c>
      <c r="V12" s="182">
        <f>'Recast Collins Aerospace_Qtr'!AE12</f>
        <v>21989</v>
      </c>
      <c r="W12" s="182">
        <f>'Recast Collins Aerospace_Qtr'!AJ12</f>
        <v>21152</v>
      </c>
      <c r="X12" s="182">
        <f>'Recast Collins Aerospace_Qtr'!AO12</f>
        <v>23052</v>
      </c>
      <c r="Y12" s="182">
        <f>'Recast Collins Aerospace_Qtr'!AT12</f>
        <v>26253</v>
      </c>
      <c r="Z12" s="182">
        <f>'Recast Collins Aerospace_Qtr'!AY12</f>
        <v>28284</v>
      </c>
      <c r="AA12" s="182">
        <f>'Recast Collins Aerospace_Qtr'!BD12</f>
        <v>30196</v>
      </c>
      <c r="AB12" s="182">
        <f>'Recast Collins Aerospace_Qtr'!BI12</f>
        <v>32158.739999999998</v>
      </c>
      <c r="AC12" s="202">
        <f t="shared" ref="AC12:AF12" si="0">AB12*(1+AC13)</f>
        <v>34731.439200000001</v>
      </c>
      <c r="AD12" s="202">
        <f t="shared" si="0"/>
        <v>36815.325552000002</v>
      </c>
      <c r="AE12" s="202">
        <f t="shared" si="0"/>
        <v>38656.091829600002</v>
      </c>
      <c r="AF12" s="202">
        <f t="shared" si="0"/>
        <v>40588.896421080004</v>
      </c>
      <c r="AG12" s="368"/>
      <c r="AH12" s="202"/>
    </row>
    <row r="13" spans="1:40">
      <c r="A13" s="1" t="str">
        <f>'Recast Collins Aerospace_Qtr'!A13</f>
        <v>YoY</v>
      </c>
      <c r="B13" s="276"/>
      <c r="C13" s="209"/>
      <c r="D13" s="209"/>
      <c r="E13" s="209"/>
      <c r="F13" s="209"/>
      <c r="G13" s="209"/>
      <c r="H13" s="209"/>
      <c r="I13" s="209"/>
      <c r="J13" s="209"/>
      <c r="K13" s="209"/>
      <c r="L13" s="209"/>
      <c r="M13" s="209" t="str">
        <f>IFERROR(M12/L12-1,"NM")</f>
        <v>NM</v>
      </c>
      <c r="N13" s="209">
        <f>N12/M12-1</f>
        <v>0.75084033613445378</v>
      </c>
      <c r="O13" s="209">
        <f>O12/N12-1</f>
        <v>0.60151187904967607</v>
      </c>
      <c r="P13" s="209">
        <f>P12/O12-1</f>
        <v>6.5033340825653596E-2</v>
      </c>
      <c r="Q13" s="200">
        <f>'Recast Collins Aerospace_Qtr'!F13</f>
        <v>-1</v>
      </c>
      <c r="R13" s="200" t="e">
        <f>'Recast Collins Aerospace_Qtr'!K13</f>
        <v>#DIV/0!</v>
      </c>
      <c r="S13" s="200" t="e">
        <f>'Recast Collins Aerospace_Qtr'!P13</f>
        <v>#DIV/0!</v>
      </c>
      <c r="T13" s="200" t="e">
        <f>'Recast Collins Aerospace_Qtr'!U13</f>
        <v>#DIV/0!</v>
      </c>
      <c r="U13" s="200" t="e">
        <f>'Recast Collins Aerospace_Qtr'!Z13</f>
        <v>#DIV/0!</v>
      </c>
      <c r="V13" s="200" t="e">
        <f>'Recast Collins Aerospace_Qtr'!AE13</f>
        <v>#DIV/0!</v>
      </c>
      <c r="W13" s="200">
        <f>'Recast Collins Aerospace_Qtr'!AJ13</f>
        <v>-3.8064486788848995E-2</v>
      </c>
      <c r="X13" s="200">
        <f>'Recast Collins Aerospace_Qtr'!AO13</f>
        <v>8.9826021180030358E-2</v>
      </c>
      <c r="Y13" s="226">
        <f>'Recast Collins Aerospace_Qtr'!AT13</f>
        <v>0.13885996876626749</v>
      </c>
      <c r="Z13" s="226">
        <f>'Recast Collins Aerospace_Qtr'!AY13</f>
        <v>7.7362587132899119E-2</v>
      </c>
      <c r="AA13" s="226">
        <f>'Recast Collins Aerospace_Qtr'!BD13</f>
        <v>6.7600056569085076E-2</v>
      </c>
      <c r="AB13" s="226">
        <f>'Recast Collins Aerospace_Qtr'!BI13</f>
        <v>6.5000000000000002E-2</v>
      </c>
      <c r="AC13" s="218">
        <v>0.08</v>
      </c>
      <c r="AD13" s="218">
        <v>0.06</v>
      </c>
      <c r="AE13" s="218">
        <v>0.05</v>
      </c>
      <c r="AF13" s="218">
        <v>0.05</v>
      </c>
    </row>
    <row r="14" spans="1:40">
      <c r="A14" s="1"/>
      <c r="B14" s="276"/>
      <c r="C14" s="209"/>
      <c r="D14" s="209"/>
      <c r="E14" s="209"/>
      <c r="F14" s="209"/>
      <c r="G14" s="209"/>
      <c r="H14" s="209"/>
      <c r="I14" s="209"/>
      <c r="J14" s="209"/>
      <c r="K14" s="209"/>
      <c r="L14" s="209"/>
      <c r="M14" s="209"/>
      <c r="N14" s="209"/>
      <c r="O14" s="209"/>
      <c r="P14" s="209"/>
      <c r="Q14" s="200"/>
      <c r="R14" s="200"/>
      <c r="S14" s="200"/>
      <c r="T14" s="200"/>
      <c r="U14" s="200"/>
      <c r="V14" s="200"/>
      <c r="W14" s="200"/>
      <c r="X14" s="200"/>
      <c r="Y14" s="186"/>
      <c r="Z14" s="186"/>
      <c r="AA14" s="186"/>
      <c r="AB14" s="186"/>
      <c r="AC14" s="36"/>
      <c r="AD14" s="36"/>
      <c r="AE14" s="36"/>
      <c r="AF14" s="36"/>
    </row>
    <row r="15" spans="1:40">
      <c r="A15" s="121" t="str">
        <f>'Recast Collins Aerospace_Qtr'!A15</f>
        <v>Non-Recurring and Unusual Charges</v>
      </c>
      <c r="B15" s="38"/>
      <c r="C15" s="38"/>
      <c r="D15" s="38"/>
      <c r="E15" s="38"/>
      <c r="F15" s="38"/>
      <c r="G15" s="38"/>
      <c r="H15" s="38"/>
      <c r="I15" s="38"/>
      <c r="J15" s="38"/>
      <c r="K15" s="38"/>
      <c r="L15" s="38"/>
      <c r="M15" s="43">
        <v>0</v>
      </c>
      <c r="N15" s="43">
        <v>0</v>
      </c>
      <c r="O15" s="43">
        <v>0</v>
      </c>
      <c r="P15" s="43">
        <v>0</v>
      </c>
      <c r="Q15" s="199">
        <f>'Recast Collins Aerospace_Qtr'!F15</f>
        <v>0</v>
      </c>
      <c r="R15" s="199">
        <f>'Recast Collins Aerospace_Qtr'!K15</f>
        <v>0</v>
      </c>
      <c r="S15" s="199">
        <f>'Recast Collins Aerospace_Qtr'!P15</f>
        <v>0</v>
      </c>
      <c r="T15" s="199">
        <f>'Recast Collins Aerospace_Qtr'!U15</f>
        <v>0</v>
      </c>
      <c r="U15" s="199">
        <f>'Recast Collins Aerospace_Qtr'!Z15</f>
        <v>0</v>
      </c>
      <c r="V15" s="199">
        <f>'Recast Collins Aerospace_Qtr'!AE15</f>
        <v>0</v>
      </c>
      <c r="W15" s="199">
        <f>'Recast Collins Aerospace_Qtr'!AJ15</f>
        <v>0</v>
      </c>
      <c r="X15" s="199">
        <f>'Recast Collins Aerospace_Qtr'!AO15</f>
        <v>0</v>
      </c>
      <c r="Y15" s="38">
        <f>'Recast Collins Aerospace_Qtr'!AT15</f>
        <v>-55</v>
      </c>
      <c r="Z15" s="38">
        <f>'Recast Collins Aerospace_Qtr'!AY15</f>
        <v>0</v>
      </c>
      <c r="AA15" s="38">
        <f>'Recast Collins Aerospace_Qtr'!BD15</f>
        <v>0</v>
      </c>
      <c r="AB15" s="38">
        <f>'Recast Collins Aerospace_Qtr'!BI15</f>
        <v>0</v>
      </c>
      <c r="AC15" s="43">
        <v>0</v>
      </c>
      <c r="AD15" s="43">
        <v>0</v>
      </c>
      <c r="AE15" s="43">
        <v>0</v>
      </c>
      <c r="AF15" s="43">
        <v>0</v>
      </c>
      <c r="AJ15" t="s">
        <v>444</v>
      </c>
      <c r="AK15" t="s">
        <v>449</v>
      </c>
      <c r="AN15" t="s">
        <v>448</v>
      </c>
    </row>
    <row r="16" spans="1:40">
      <c r="A16" s="8" t="str">
        <f>'Recast Collins Aerospace_Qtr'!A16</f>
        <v>Adjusted Sales</v>
      </c>
      <c r="B16" s="30"/>
      <c r="C16" s="30"/>
      <c r="D16" s="30"/>
      <c r="E16" s="30"/>
      <c r="F16" s="30"/>
      <c r="G16" s="30"/>
      <c r="H16" s="30"/>
      <c r="I16" s="30"/>
      <c r="J16" s="30"/>
      <c r="K16" s="30"/>
      <c r="L16" s="30"/>
      <c r="M16" s="24">
        <f>M12+M15</f>
        <v>4760</v>
      </c>
      <c r="N16" s="24">
        <f>N12+N15</f>
        <v>8334</v>
      </c>
      <c r="O16" s="24">
        <f>O12+O15</f>
        <v>13347</v>
      </c>
      <c r="P16" s="24">
        <f>P12+P15</f>
        <v>14215</v>
      </c>
      <c r="Q16" s="182">
        <f>'Recast Collins Aerospace_Qtr'!F16</f>
        <v>0</v>
      </c>
      <c r="R16" s="182">
        <f>'Recast Collins Aerospace_Qtr'!K16</f>
        <v>0</v>
      </c>
      <c r="S16" s="182">
        <f>'Recast Collins Aerospace_Qtr'!P16</f>
        <v>0</v>
      </c>
      <c r="T16" s="182">
        <f>'Recast Collins Aerospace_Qtr'!U16</f>
        <v>0</v>
      </c>
      <c r="U16" s="182">
        <f>'Recast Collins Aerospace_Qtr'!Z16</f>
        <v>0</v>
      </c>
      <c r="V16" s="182">
        <f>'Recast Collins Aerospace_Qtr'!AE16</f>
        <v>21989</v>
      </c>
      <c r="W16" s="182">
        <f>'Recast Collins Aerospace_Qtr'!AJ16</f>
        <v>21152</v>
      </c>
      <c r="X16" s="182">
        <f>'Recast Collins Aerospace_Qtr'!AO16</f>
        <v>23052</v>
      </c>
      <c r="Y16" s="182">
        <f>'Recast Collins Aerospace_Qtr'!AT16</f>
        <v>26198</v>
      </c>
      <c r="Z16" s="182">
        <f>'Recast Collins Aerospace_Qtr'!AY16</f>
        <v>28284</v>
      </c>
      <c r="AA16" s="182">
        <f>'Recast Collins Aerospace_Qtr'!BD16</f>
        <v>30196</v>
      </c>
      <c r="AB16" s="182">
        <f>'Recast Collins Aerospace_Qtr'!BI16</f>
        <v>32158.739999999998</v>
      </c>
      <c r="AC16" s="24">
        <f>AC12+AC15</f>
        <v>34731.439200000001</v>
      </c>
      <c r="AD16" s="24">
        <f>AD12+AD15</f>
        <v>36815.325552000002</v>
      </c>
      <c r="AE16" s="24">
        <f>AE12+AE15</f>
        <v>38656.091829600002</v>
      </c>
      <c r="AF16" s="24">
        <f>AF12+AF15</f>
        <v>40588.896421080004</v>
      </c>
      <c r="AG16" s="368"/>
      <c r="AH16" s="459">
        <f>(AA16/V16)^0.2-1</f>
        <v>6.5488551088857205E-2</v>
      </c>
      <c r="AJ16">
        <v>21989</v>
      </c>
      <c r="AK16" s="348"/>
      <c r="AL16" s="498"/>
    </row>
    <row r="17" spans="1:41">
      <c r="A17" s="1" t="str">
        <f>'Recast Collins Aerospace_Qtr'!A17</f>
        <v>YoY</v>
      </c>
      <c r="B17" s="36"/>
      <c r="C17" s="36"/>
      <c r="D17" s="36"/>
      <c r="E17" s="36"/>
      <c r="F17" s="36"/>
      <c r="G17" s="36"/>
      <c r="H17" s="36"/>
      <c r="I17" s="36"/>
      <c r="J17" s="36"/>
      <c r="K17" s="36"/>
      <c r="L17" s="36"/>
      <c r="M17" s="209" t="str">
        <f>IFERROR(M16/L16-1,"NM")</f>
        <v>NM</v>
      </c>
      <c r="N17" s="36">
        <f>N16/M16-1</f>
        <v>0.75084033613445378</v>
      </c>
      <c r="O17" s="36">
        <f>O16/N16-1</f>
        <v>0.60151187904967607</v>
      </c>
      <c r="P17" s="36">
        <f>P16/O16-1</f>
        <v>6.5033340825653596E-2</v>
      </c>
      <c r="Q17" s="200">
        <f>'Recast Collins Aerospace_Qtr'!F17</f>
        <v>-1</v>
      </c>
      <c r="R17" s="200" t="e">
        <f>'Recast Collins Aerospace_Qtr'!K17</f>
        <v>#DIV/0!</v>
      </c>
      <c r="S17" s="200" t="e">
        <f>'Recast Collins Aerospace_Qtr'!P17</f>
        <v>#DIV/0!</v>
      </c>
      <c r="T17" s="200" t="e">
        <f>'Recast Collins Aerospace_Qtr'!U17</f>
        <v>#DIV/0!</v>
      </c>
      <c r="U17" s="200" t="e">
        <f>'Recast Collins Aerospace_Qtr'!Z17</f>
        <v>#DIV/0!</v>
      </c>
      <c r="V17" s="200" t="e">
        <f>'Recast Collins Aerospace_Qtr'!AE17</f>
        <v>#DIV/0!</v>
      </c>
      <c r="W17" s="200">
        <f>'Recast Collins Aerospace_Qtr'!AJ17</f>
        <v>-3.8064486788848995E-2</v>
      </c>
      <c r="X17" s="200">
        <f>'Recast Collins Aerospace_Qtr'!AO17</f>
        <v>8.9826021180030358E-2</v>
      </c>
      <c r="Y17" s="226">
        <f>'Recast Collins Aerospace_Qtr'!AT17</f>
        <v>0.13647405865000861</v>
      </c>
      <c r="Z17" s="226">
        <f>'Recast Collins Aerospace_Qtr'!AY17</f>
        <v>7.9624398809069463E-2</v>
      </c>
      <c r="AA17" s="226">
        <f>'Recast Collins Aerospace_Qtr'!BD17</f>
        <v>6.7600056569085076E-2</v>
      </c>
      <c r="AB17" s="226">
        <f>'Recast Collins Aerospace_Qtr'!BI17</f>
        <v>6.4999999999999947E-2</v>
      </c>
      <c r="AC17" s="137">
        <f>AC16/AB16-1</f>
        <v>8.0000000000000071E-2</v>
      </c>
      <c r="AD17" s="137">
        <f>AD16/AC16-1</f>
        <v>6.0000000000000053E-2</v>
      </c>
      <c r="AE17" s="137">
        <f>AE16/AD16-1</f>
        <v>5.0000000000000044E-2</v>
      </c>
      <c r="AF17" s="137">
        <f>AF16/AE16-1</f>
        <v>5.0000000000000044E-2</v>
      </c>
      <c r="AI17" t="s">
        <v>459</v>
      </c>
      <c r="AJ17">
        <v>1500</v>
      </c>
    </row>
    <row r="18" spans="1:41">
      <c r="B18" s="38"/>
      <c r="C18" s="38"/>
      <c r="D18" s="38"/>
      <c r="E18" s="38"/>
      <c r="F18" s="38"/>
      <c r="G18" s="38"/>
      <c r="H18" s="38"/>
      <c r="I18" s="38"/>
      <c r="J18" s="38"/>
      <c r="K18" s="38"/>
      <c r="L18" s="38"/>
      <c r="M18" s="38"/>
      <c r="N18" s="38"/>
      <c r="O18" s="38"/>
      <c r="P18" s="38"/>
      <c r="Q18" s="38"/>
      <c r="R18" s="38"/>
      <c r="S18" s="38"/>
      <c r="T18" s="38"/>
      <c r="U18" s="38"/>
      <c r="V18" s="38"/>
      <c r="W18" s="38"/>
      <c r="X18" s="38"/>
      <c r="Y18" s="484">
        <f>'Recast Collins Aerospace_Qtr'!AT18</f>
        <v>0</v>
      </c>
      <c r="Z18" s="484">
        <f>'Recast Collins Aerospace_Qtr'!AY18</f>
        <v>0</v>
      </c>
      <c r="AA18" s="484">
        <f>'Recast Collins Aerospace_Qtr'!BD18</f>
        <v>0</v>
      </c>
      <c r="AB18" s="484">
        <f>'Recast Collins Aerospace_Qtr'!BI18</f>
        <v>0</v>
      </c>
      <c r="AC18" s="206"/>
      <c r="AD18" s="206"/>
      <c r="AE18" s="206"/>
      <c r="AF18" s="206"/>
      <c r="AI18" t="s">
        <v>460</v>
      </c>
      <c r="AJ18">
        <f>AJ16-AJ17</f>
        <v>20489</v>
      </c>
      <c r="AK18" s="348">
        <f>AA12</f>
        <v>30196</v>
      </c>
      <c r="AL18" s="498">
        <f>(AK18/AJ18)^0.2-1</f>
        <v>8.0651674743684953E-2</v>
      </c>
      <c r="AN18" t="s">
        <v>447</v>
      </c>
    </row>
    <row r="19" spans="1:41">
      <c r="A19" s="9" t="str">
        <f>'Recast Collins Aerospace_Qtr'!A19</f>
        <v>Operating Expenses</v>
      </c>
      <c r="B19" s="28"/>
      <c r="C19" s="28"/>
      <c r="D19" s="28"/>
      <c r="E19" s="28"/>
      <c r="F19" s="28"/>
      <c r="G19" s="28"/>
      <c r="H19" s="28"/>
      <c r="I19" s="28"/>
      <c r="J19" s="28"/>
      <c r="K19" s="28"/>
      <c r="L19" s="28"/>
      <c r="M19" s="28">
        <f>+-M12+M22</f>
        <v>-4001</v>
      </c>
      <c r="N19" s="28">
        <f>+-N12+N22</f>
        <v>-7390</v>
      </c>
      <c r="O19" s="28">
        <f>+-O12+O22</f>
        <v>-11329</v>
      </c>
      <c r="P19" s="28">
        <f>+-P12+P22</f>
        <v>-11860</v>
      </c>
      <c r="Q19" s="201">
        <f>'Recast Collins Aerospace_Qtr'!F19</f>
        <v>0</v>
      </c>
      <c r="R19" s="201">
        <f>'Recast Collins Aerospace_Qtr'!K19</f>
        <v>0</v>
      </c>
      <c r="S19" s="201">
        <f>'Recast Collins Aerospace_Qtr'!P19</f>
        <v>0</v>
      </c>
      <c r="T19" s="201">
        <f>'Recast Collins Aerospace_Qtr'!U19</f>
        <v>0</v>
      </c>
      <c r="U19" s="201">
        <f>'Recast Collins Aerospace_Qtr'!Z19</f>
        <v>0</v>
      </c>
      <c r="V19" s="201">
        <f>'Recast Collins Aerospace_Qtr'!AE19</f>
        <v>-19979</v>
      </c>
      <c r="W19" s="201">
        <f>'Recast Collins Aerospace_Qtr'!AJ19</f>
        <v>-18772</v>
      </c>
      <c r="X19" s="201">
        <f>'Recast Collins Aerospace_Qtr'!AO19</f>
        <v>-20236</v>
      </c>
      <c r="Y19" s="201">
        <f>'Recast Collins Aerospace_Qtr'!AT19</f>
        <v>-22428</v>
      </c>
      <c r="Z19" s="201">
        <f>'Recast Collins Aerospace_Qtr'!AY19</f>
        <v>-24149</v>
      </c>
      <c r="AA19" s="201">
        <f>'Recast Collins Aerospace_Qtr'!BD19</f>
        <v>-25273</v>
      </c>
      <c r="AB19" s="201">
        <f>'Recast Collins Aerospace_Qtr'!BI19</f>
        <v>-26714.595459999997</v>
      </c>
      <c r="AC19" s="28">
        <f>+-AC12+AC22</f>
        <v>-28566.608742</v>
      </c>
      <c r="AD19" s="28">
        <f>+-AD12+AD22</f>
        <v>-30004.490324880004</v>
      </c>
      <c r="AE19" s="28">
        <f>+-AE12+AE22</f>
        <v>-31311.434381976003</v>
      </c>
      <c r="AF19" s="28">
        <f>+-AF12+AF22</f>
        <v>-32674.061618969405</v>
      </c>
    </row>
    <row r="20" spans="1:41">
      <c r="A20" s="1" t="str">
        <f>'Recast Collins Aerospace_Qtr'!A20</f>
        <v>YoY</v>
      </c>
      <c r="B20" s="209"/>
      <c r="C20" s="209"/>
      <c r="D20" s="209"/>
      <c r="E20" s="209"/>
      <c r="F20" s="209"/>
      <c r="G20" s="209"/>
      <c r="H20" s="209"/>
      <c r="I20" s="209"/>
      <c r="J20" s="209"/>
      <c r="K20" s="209"/>
      <c r="L20" s="209"/>
      <c r="M20" s="209"/>
      <c r="N20" s="209">
        <f>N19/M19-1</f>
        <v>0.84703824043988996</v>
      </c>
      <c r="O20" s="209">
        <f>O19/N19-1</f>
        <v>0.53301759133964821</v>
      </c>
      <c r="P20" s="209">
        <f>P19/O19-1</f>
        <v>4.6870862388560308E-2</v>
      </c>
      <c r="Q20" s="200">
        <f>'Recast Collins Aerospace_Qtr'!F20</f>
        <v>-1</v>
      </c>
      <c r="R20" s="200" t="e">
        <f>'Recast Collins Aerospace_Qtr'!K20</f>
        <v>#DIV/0!</v>
      </c>
      <c r="S20" s="200" t="e">
        <f>'Recast Collins Aerospace_Qtr'!P20</f>
        <v>#DIV/0!</v>
      </c>
      <c r="T20" s="200" t="e">
        <f>'Recast Collins Aerospace_Qtr'!U20</f>
        <v>#DIV/0!</v>
      </c>
      <c r="U20" s="200" t="e">
        <f>'Recast Collins Aerospace_Qtr'!Z20</f>
        <v>#DIV/0!</v>
      </c>
      <c r="V20" s="200" t="e">
        <f>'Recast Collins Aerospace_Qtr'!AE20</f>
        <v>#DIV/0!</v>
      </c>
      <c r="W20" s="200">
        <f>'Recast Collins Aerospace_Qtr'!AJ20</f>
        <v>-6.0413434105811126E-2</v>
      </c>
      <c r="X20" s="200">
        <f>'Recast Collins Aerospace_Qtr'!AO20</f>
        <v>7.7988493500958933E-2</v>
      </c>
      <c r="Y20" s="485">
        <f>'Recast Collins Aerospace_Qtr'!AT20</f>
        <v>0.10832180272781189</v>
      </c>
      <c r="Z20" s="485">
        <f>'Recast Collins Aerospace_Qtr'!AY20</f>
        <v>7.6734439093989693E-2</v>
      </c>
      <c r="AA20" s="485">
        <f>'Recast Collins Aerospace_Qtr'!BD20</f>
        <v>4.6544370367302967E-2</v>
      </c>
      <c r="AB20" s="485">
        <f>'Recast Collins Aerospace_Qtr'!BI20</f>
        <v>5.7040931428797403E-2</v>
      </c>
      <c r="AC20" s="207">
        <f>AC19/AB19-1</f>
        <v>6.9325896578633861E-2</v>
      </c>
      <c r="AD20" s="207">
        <f>AD19/AC19-1</f>
        <v>5.0334346504559369E-2</v>
      </c>
      <c r="AE20" s="207">
        <f>AE19/AD19-1</f>
        <v>4.3558282208588928E-2</v>
      </c>
      <c r="AF20" s="207">
        <f>AF19/AE19-1</f>
        <v>4.3518518518518512E-2</v>
      </c>
    </row>
    <row r="21" spans="1:41">
      <c r="A21" s="1"/>
      <c r="B21" s="209"/>
      <c r="C21" s="209"/>
      <c r="D21" s="209"/>
      <c r="E21" s="209"/>
      <c r="F21" s="209"/>
      <c r="G21" s="209"/>
      <c r="H21" s="209"/>
      <c r="I21" s="209"/>
      <c r="J21" s="209"/>
      <c r="K21" s="209"/>
      <c r="L21" s="209"/>
      <c r="M21" s="209"/>
      <c r="N21" s="209"/>
      <c r="O21" s="209"/>
      <c r="P21" s="209"/>
      <c r="Q21" s="200"/>
      <c r="R21" s="200"/>
      <c r="S21" s="200"/>
      <c r="T21" s="200"/>
      <c r="U21" s="200"/>
      <c r="V21" s="200"/>
      <c r="W21" s="200"/>
      <c r="X21" s="200"/>
      <c r="Y21" s="207"/>
      <c r="Z21" s="207"/>
      <c r="AA21" s="207"/>
      <c r="AB21" s="207"/>
      <c r="AC21" s="207"/>
      <c r="AD21" s="207"/>
      <c r="AE21" s="207"/>
      <c r="AF21" s="207"/>
    </row>
    <row r="22" spans="1:41">
      <c r="A22" s="8" t="str">
        <f>'Recast Collins Aerospace_Qtr'!A22</f>
        <v>Operating Profit</v>
      </c>
      <c r="B22" s="30"/>
      <c r="C22" s="30"/>
      <c r="D22" s="30"/>
      <c r="E22" s="30"/>
      <c r="F22" s="30"/>
      <c r="G22" s="30"/>
      <c r="H22" s="30"/>
      <c r="I22" s="30"/>
      <c r="J22" s="30"/>
      <c r="K22" s="30"/>
      <c r="L22" s="30"/>
      <c r="M22" s="30">
        <v>759</v>
      </c>
      <c r="N22" s="30">
        <v>944</v>
      </c>
      <c r="O22" s="30">
        <v>2018</v>
      </c>
      <c r="P22" s="30">
        <v>2355</v>
      </c>
      <c r="Q22" s="24">
        <f t="shared" ref="Q22:Y22" si="1">Q12+Q19</f>
        <v>0</v>
      </c>
      <c r="R22" s="24">
        <f t="shared" si="1"/>
        <v>0</v>
      </c>
      <c r="S22" s="24">
        <f t="shared" si="1"/>
        <v>0</v>
      </c>
      <c r="T22" s="24">
        <f t="shared" si="1"/>
        <v>0</v>
      </c>
      <c r="U22" s="24">
        <f t="shared" si="1"/>
        <v>0</v>
      </c>
      <c r="V22" s="24">
        <f t="shared" si="1"/>
        <v>2010</v>
      </c>
      <c r="W22" s="24">
        <f t="shared" si="1"/>
        <v>2380</v>
      </c>
      <c r="X22" s="24">
        <f t="shared" si="1"/>
        <v>2816</v>
      </c>
      <c r="Y22" s="24">
        <f t="shared" si="1"/>
        <v>3825</v>
      </c>
      <c r="Z22" s="24">
        <f t="shared" ref="Z22" si="2">Z12+Z19</f>
        <v>4135</v>
      </c>
      <c r="AA22" s="24">
        <f t="shared" ref="AA22:AB22" si="3">AA12+AA19</f>
        <v>4923</v>
      </c>
      <c r="AB22" s="24">
        <f t="shared" si="3"/>
        <v>5444.1445400000011</v>
      </c>
      <c r="AC22" s="24">
        <f>AC29-AC27-AC26</f>
        <v>6164.8304579999995</v>
      </c>
      <c r="AD22" s="24">
        <f>AD29-AD27-AD26</f>
        <v>6810.8352271200001</v>
      </c>
      <c r="AE22" s="24">
        <f>AE29-AE27-AE26</f>
        <v>7344.6574476240003</v>
      </c>
      <c r="AF22" s="24">
        <f>AF29-AF27-AF26</f>
        <v>7914.8348021106012</v>
      </c>
    </row>
    <row r="23" spans="1:41">
      <c r="A23" s="1" t="str">
        <f>'Recast Collins Aerospace_Qtr'!A23</f>
        <v>YoY</v>
      </c>
      <c r="B23" s="36"/>
      <c r="C23" s="36"/>
      <c r="D23" s="36"/>
      <c r="E23" s="36"/>
      <c r="F23" s="36"/>
      <c r="G23" s="36"/>
      <c r="H23" s="36"/>
      <c r="I23" s="36"/>
      <c r="J23" s="36"/>
      <c r="K23" s="36"/>
      <c r="L23" s="36"/>
      <c r="M23" s="209" t="str">
        <f>IFERROR(M22/L22-1,"NM")</f>
        <v>NM</v>
      </c>
      <c r="N23" s="36">
        <f>N22/M22-1</f>
        <v>0.24374176548089599</v>
      </c>
      <c r="O23" s="36">
        <f>O22/N22-1</f>
        <v>1.1377118644067798</v>
      </c>
      <c r="P23" s="36">
        <f>P22/O22-1</f>
        <v>0.16699702675916739</v>
      </c>
      <c r="Q23" s="200">
        <f>'Recast Collins Aerospace_Qtr'!F23</f>
        <v>-1</v>
      </c>
      <c r="R23" s="200" t="e">
        <f>'Recast Collins Aerospace_Qtr'!K23</f>
        <v>#DIV/0!</v>
      </c>
      <c r="S23" s="200" t="e">
        <f>'Recast Collins Aerospace_Qtr'!P23</f>
        <v>#DIV/0!</v>
      </c>
      <c r="T23" s="200" t="e">
        <f>'Recast Collins Aerospace_Qtr'!U23</f>
        <v>#DIV/0!</v>
      </c>
      <c r="U23" s="200" t="e">
        <f>'Recast Collins Aerospace_Qtr'!Z23</f>
        <v>#DIV/0!</v>
      </c>
      <c r="V23" s="200" t="e">
        <f>'Recast Collins Aerospace_Qtr'!AE23</f>
        <v>#DIV/0!</v>
      </c>
      <c r="W23" s="200">
        <f>'Recast Collins Aerospace_Qtr'!AJ23</f>
        <v>0.18407960199004969</v>
      </c>
      <c r="X23" s="200">
        <f>'Recast Collins Aerospace_Qtr'!AO23</f>
        <v>0.18319327731092439</v>
      </c>
      <c r="Y23" s="186">
        <f>'Recast Collins Aerospace_Qtr'!AT23</f>
        <v>0.35830965909090917</v>
      </c>
      <c r="Z23" s="186">
        <f>'Recast Collins Aerospace_Qtr'!AY23</f>
        <v>8.1045751633986862E-2</v>
      </c>
      <c r="AA23" s="186">
        <f>'Recast Collins Aerospace_Qtr'!BD23</f>
        <v>0.1905683192261185</v>
      </c>
      <c r="AB23" s="186">
        <f>'Recast Collins Aerospace_Qtr'!BI23</f>
        <v>0.10585913873654285</v>
      </c>
      <c r="AC23" s="36">
        <f>AC22/AB22-1</f>
        <v>0.1323781748821824</v>
      </c>
      <c r="AD23" s="36">
        <f>AD22/AC22-1</f>
        <v>0.10478873239436637</v>
      </c>
      <c r="AE23" s="36">
        <f>AE22/AD22-1</f>
        <v>7.8378378378378466E-2</v>
      </c>
      <c r="AF23" s="36">
        <f>AF22/AE22-1</f>
        <v>7.7631578947368496E-2</v>
      </c>
    </row>
    <row r="24" spans="1:41">
      <c r="A24" s="1" t="str">
        <f>'Recast Collins Aerospace_Qtr'!A24</f>
        <v>% Margin</v>
      </c>
      <c r="B24" s="36"/>
      <c r="C24" s="36"/>
      <c r="D24" s="36"/>
      <c r="E24" s="36"/>
      <c r="F24" s="36"/>
      <c r="G24" s="36"/>
      <c r="H24" s="36"/>
      <c r="I24" s="36"/>
      <c r="J24" s="36"/>
      <c r="K24" s="36"/>
      <c r="L24" s="36"/>
      <c r="M24" s="36">
        <f>M22/M12</f>
        <v>0.15945378151260503</v>
      </c>
      <c r="N24" s="36">
        <f>N22/N12</f>
        <v>0.11327093832493401</v>
      </c>
      <c r="O24" s="36">
        <f>O22/O12</f>
        <v>0.15119502509927324</v>
      </c>
      <c r="P24" s="36">
        <f>P22/P12</f>
        <v>0.16567006683081253</v>
      </c>
      <c r="Q24" s="200" t="e">
        <f>'Recast Collins Aerospace_Qtr'!F24</f>
        <v>#DIV/0!</v>
      </c>
      <c r="R24" s="200" t="e">
        <f>'Recast Collins Aerospace_Qtr'!K24</f>
        <v>#DIV/0!</v>
      </c>
      <c r="S24" s="200" t="e">
        <f>'Recast Collins Aerospace_Qtr'!P24</f>
        <v>#DIV/0!</v>
      </c>
      <c r="T24" s="200" t="e">
        <f>'Recast Collins Aerospace_Qtr'!U24</f>
        <v>#DIV/0!</v>
      </c>
      <c r="U24" s="200" t="e">
        <f>'Recast Collins Aerospace_Qtr'!Z24</f>
        <v>#DIV/0!</v>
      </c>
      <c r="V24" s="200">
        <f>'Recast Collins Aerospace_Qtr'!AE24</f>
        <v>9.1409341034153435E-2</v>
      </c>
      <c r="W24" s="200">
        <f>'Recast Collins Aerospace_Qtr'!AJ24</f>
        <v>0.11251891074130106</v>
      </c>
      <c r="X24" s="200">
        <f>'Recast Collins Aerospace_Qtr'!AO24</f>
        <v>0.12215859795245532</v>
      </c>
      <c r="Y24" s="186">
        <f>'Recast Collins Aerospace_Qtr'!AT24</f>
        <v>0.14569763455605073</v>
      </c>
      <c r="Z24" s="186">
        <f>'Recast Collins Aerospace_Qtr'!AY24</f>
        <v>0.14619572903408287</v>
      </c>
      <c r="AA24" s="186">
        <f>'Recast Collins Aerospace_Qtr'!BD24</f>
        <v>0.16303483905153002</v>
      </c>
      <c r="AB24" s="186">
        <f>'Recast Collins Aerospace_Qtr'!BI24</f>
        <v>0.16928973398833413</v>
      </c>
      <c r="AC24" s="36">
        <f>AC22/AC12</f>
        <v>0.17749999999999999</v>
      </c>
      <c r="AD24" s="36">
        <f>AD22/AD12</f>
        <v>0.185</v>
      </c>
      <c r="AE24" s="36">
        <f>AE22/AE12</f>
        <v>0.19</v>
      </c>
      <c r="AF24" s="36">
        <f>AF22/AF12</f>
        <v>0.19500000000000001</v>
      </c>
    </row>
    <row r="25" spans="1:41">
      <c r="A25" s="1"/>
      <c r="B25" s="209"/>
      <c r="C25" s="209"/>
      <c r="D25" s="209"/>
      <c r="E25" s="209"/>
      <c r="F25" s="209"/>
      <c r="G25" s="209"/>
      <c r="H25" s="209"/>
      <c r="I25" s="209"/>
      <c r="J25" s="209"/>
      <c r="K25" s="209"/>
      <c r="L25" s="209"/>
      <c r="M25" s="209"/>
      <c r="N25" s="209"/>
      <c r="O25" s="209"/>
      <c r="P25" s="209"/>
      <c r="Q25" s="200"/>
      <c r="R25" s="200"/>
      <c r="S25" s="200"/>
      <c r="T25" s="200"/>
      <c r="U25" s="200"/>
      <c r="V25" s="200"/>
      <c r="W25" s="200"/>
      <c r="X25" s="200"/>
      <c r="Y25" s="485"/>
      <c r="Z25" s="485"/>
      <c r="AA25" s="485"/>
      <c r="AB25" s="485"/>
      <c r="AC25" s="207"/>
      <c r="AD25" s="207"/>
      <c r="AE25" s="207"/>
      <c r="AF25" s="207"/>
    </row>
    <row r="26" spans="1:41">
      <c r="A26" s="6" t="str">
        <f>'Recast Collins Aerospace_Qtr'!A26</f>
        <v>Restructuring</v>
      </c>
      <c r="B26" s="209"/>
      <c r="C26" s="209"/>
      <c r="D26" s="209"/>
      <c r="E26" s="209"/>
      <c r="F26" s="209"/>
      <c r="G26" s="209"/>
      <c r="H26" s="209"/>
      <c r="I26" s="209"/>
      <c r="J26" s="209"/>
      <c r="K26" s="209"/>
      <c r="L26" s="209"/>
      <c r="M26" s="43">
        <v>11</v>
      </c>
      <c r="N26" s="43">
        <v>115</v>
      </c>
      <c r="O26" s="43">
        <v>92</v>
      </c>
      <c r="P26" s="43">
        <v>82</v>
      </c>
      <c r="Q26" s="199">
        <f>'Recast Collins Aerospace_Qtr'!F26</f>
        <v>0</v>
      </c>
      <c r="R26" s="199">
        <f>'Recast Collins Aerospace_Qtr'!K26</f>
        <v>0</v>
      </c>
      <c r="S26" s="199">
        <f>'Recast Collins Aerospace_Qtr'!P26</f>
        <v>0</v>
      </c>
      <c r="T26" s="199">
        <f>'Recast Collins Aerospace_Qtr'!U26</f>
        <v>0</v>
      </c>
      <c r="U26" s="199">
        <f>'Recast Collins Aerospace_Qtr'!Z26</f>
        <v>0</v>
      </c>
      <c r="V26" s="199">
        <f>'Recast Collins Aerospace_Qtr'!AE26</f>
        <v>360</v>
      </c>
      <c r="W26" s="199">
        <f>'Recast Collins Aerospace_Qtr'!AJ26</f>
        <v>40</v>
      </c>
      <c r="X26" s="199">
        <f>'Recast Collins Aerospace_Qtr'!AO26</f>
        <v>21</v>
      </c>
      <c r="Y26" s="484">
        <f>'Recast Collins Aerospace_Qtr'!AT26</f>
        <v>71</v>
      </c>
      <c r="Z26" s="484">
        <f>'Recast Collins Aerospace_Qtr'!AY26</f>
        <v>47</v>
      </c>
      <c r="AA26" s="484">
        <f>'Recast Collins Aerospace_Qtr'!BD26</f>
        <v>204</v>
      </c>
      <c r="AB26" s="484">
        <f>'Recast Collins Aerospace_Qtr'!BI26</f>
        <v>55</v>
      </c>
      <c r="AC26" s="352">
        <v>0</v>
      </c>
      <c r="AD26" s="352">
        <v>0</v>
      </c>
      <c r="AE26" s="352">
        <v>0</v>
      </c>
      <c r="AF26" s="352">
        <v>0</v>
      </c>
    </row>
    <row r="27" spans="1:41">
      <c r="A27" s="6" t="str">
        <f>'Recast Collins Aerospace_Qtr'!A27</f>
        <v>Other Non-Recurring and Unusual Charges</v>
      </c>
      <c r="B27" s="20"/>
      <c r="C27" s="20"/>
      <c r="D27" s="20"/>
      <c r="E27" s="20"/>
      <c r="F27" s="20"/>
      <c r="G27" s="20"/>
      <c r="H27" s="20"/>
      <c r="I27" s="20"/>
      <c r="J27" s="20"/>
      <c r="K27" s="20"/>
      <c r="L27" s="20"/>
      <c r="M27" s="43">
        <v>0</v>
      </c>
      <c r="N27" s="43">
        <v>0</v>
      </c>
      <c r="O27" s="43">
        <v>0</v>
      </c>
      <c r="P27" s="43">
        <v>0</v>
      </c>
      <c r="Q27" s="199">
        <f>'Recast Collins Aerospace_Qtr'!F27</f>
        <v>0</v>
      </c>
      <c r="R27" s="199">
        <f>'Recast Collins Aerospace_Qtr'!K27</f>
        <v>0</v>
      </c>
      <c r="S27" s="199">
        <f>'Recast Collins Aerospace_Qtr'!P27</f>
        <v>0</v>
      </c>
      <c r="T27" s="199">
        <f>'Recast Collins Aerospace_Qtr'!U27</f>
        <v>0</v>
      </c>
      <c r="U27" s="199">
        <f>'Recast Collins Aerospace_Qtr'!Z27</f>
        <v>0</v>
      </c>
      <c r="V27" s="199">
        <f>'Recast Collins Aerospace_Qtr'!AE27</f>
        <v>-356</v>
      </c>
      <c r="W27" s="199">
        <f>'Recast Collins Aerospace_Qtr'!AJ27</f>
        <v>0</v>
      </c>
      <c r="X27" s="199">
        <f>'Recast Collins Aerospace_Qtr'!AO27</f>
        <v>210</v>
      </c>
      <c r="Y27" s="484">
        <f>'Recast Collins Aerospace_Qtr'!AT27</f>
        <v>0</v>
      </c>
      <c r="Z27" s="484">
        <f>'Recast Collins Aerospace_Qtr'!AY27</f>
        <v>314</v>
      </c>
      <c r="AA27" s="484">
        <f>'Recast Collins Aerospace_Qtr'!BD27</f>
        <v>-234</v>
      </c>
      <c r="AB27" s="484">
        <f>'Recast Collins Aerospace_Qtr'!BI27</f>
        <v>0</v>
      </c>
      <c r="AC27" s="352">
        <v>0</v>
      </c>
      <c r="AD27" s="352">
        <v>0</v>
      </c>
      <c r="AE27" s="352">
        <v>0</v>
      </c>
      <c r="AF27" s="352">
        <v>0</v>
      </c>
    </row>
    <row r="28" spans="1:41">
      <c r="A28" s="1"/>
      <c r="B28" s="38"/>
      <c r="C28" s="38"/>
      <c r="D28" s="38"/>
      <c r="E28" s="38"/>
      <c r="F28" s="38"/>
      <c r="G28" s="38"/>
      <c r="H28" s="38"/>
      <c r="I28" s="38"/>
      <c r="J28" s="38"/>
      <c r="K28" s="38"/>
      <c r="L28" s="38"/>
      <c r="M28" s="38"/>
      <c r="N28" s="38"/>
      <c r="O28" s="38"/>
      <c r="P28" s="38"/>
      <c r="Q28" s="38"/>
      <c r="R28" s="38"/>
      <c r="S28" s="38"/>
      <c r="T28" s="38"/>
      <c r="U28" s="38"/>
      <c r="V28" s="38"/>
      <c r="W28" s="38"/>
      <c r="X28" s="38"/>
      <c r="Y28" s="206"/>
      <c r="Z28" s="206"/>
      <c r="AA28" s="206"/>
      <c r="AB28" s="206"/>
      <c r="AC28" s="206"/>
      <c r="AD28" s="206"/>
      <c r="AE28" s="206"/>
      <c r="AF28" s="206"/>
    </row>
    <row r="29" spans="1:41">
      <c r="A29" s="8" t="str">
        <f>'Recast Collins Aerospace_Qtr'!A29</f>
        <v>Adjusted Operating Profit</v>
      </c>
      <c r="B29" s="24"/>
      <c r="C29" s="24"/>
      <c r="D29" s="24"/>
      <c r="E29" s="24"/>
      <c r="F29" s="24"/>
      <c r="G29" s="24"/>
      <c r="H29" s="24"/>
      <c r="I29" s="24"/>
      <c r="J29" s="24"/>
      <c r="K29" s="24"/>
      <c r="L29" s="24"/>
      <c r="M29" s="24">
        <f t="shared" ref="M29:Y29" si="4">M22+M27+M26</f>
        <v>770</v>
      </c>
      <c r="N29" s="24">
        <f t="shared" si="4"/>
        <v>1059</v>
      </c>
      <c r="O29" s="24">
        <f>O22+O27+O26</f>
        <v>2110</v>
      </c>
      <c r="P29" s="24">
        <f t="shared" si="4"/>
        <v>2437</v>
      </c>
      <c r="Q29" s="24">
        <f t="shared" si="4"/>
        <v>0</v>
      </c>
      <c r="R29" s="24">
        <f t="shared" si="4"/>
        <v>0</v>
      </c>
      <c r="S29" s="24">
        <f t="shared" si="4"/>
        <v>0</v>
      </c>
      <c r="T29" s="24">
        <f t="shared" si="4"/>
        <v>0</v>
      </c>
      <c r="U29" s="24">
        <f t="shared" si="4"/>
        <v>0</v>
      </c>
      <c r="V29" s="24">
        <f t="shared" si="4"/>
        <v>2014</v>
      </c>
      <c r="W29" s="24">
        <f t="shared" si="4"/>
        <v>2420</v>
      </c>
      <c r="X29" s="24">
        <f t="shared" si="4"/>
        <v>3047</v>
      </c>
      <c r="Y29" s="24">
        <f t="shared" si="4"/>
        <v>3896</v>
      </c>
      <c r="Z29" s="24">
        <f t="shared" ref="Z29" si="5">Z22+Z27+Z26</f>
        <v>4496</v>
      </c>
      <c r="AA29" s="24">
        <f t="shared" ref="AA29:AB29" si="6">AA22+AA27+AA26</f>
        <v>4893</v>
      </c>
      <c r="AB29" s="24">
        <f t="shared" si="6"/>
        <v>5499.1445400000011</v>
      </c>
      <c r="AC29" s="202">
        <f>AC16*AC32</f>
        <v>6164.8304579999995</v>
      </c>
      <c r="AD29" s="202">
        <f>AD16*AD32</f>
        <v>6810.8352271200001</v>
      </c>
      <c r="AE29" s="202">
        <f>AE16*AE32</f>
        <v>7344.6574476240003</v>
      </c>
      <c r="AF29" s="202">
        <f>AF16*AF32</f>
        <v>7914.8348021106012</v>
      </c>
      <c r="AG29" s="368"/>
      <c r="AH29" s="459">
        <f>(AA29/V29)^0.2-1</f>
        <v>0.19427172398030268</v>
      </c>
      <c r="AJ29" s="521">
        <f>V29</f>
        <v>2014</v>
      </c>
      <c r="AK29" s="335"/>
      <c r="AL29" s="488"/>
    </row>
    <row r="30" spans="1:41">
      <c r="A30" s="1" t="str">
        <f>'Recast Collins Aerospace_Qtr'!A30</f>
        <v>YoY</v>
      </c>
      <c r="B30" s="209"/>
      <c r="C30" s="209"/>
      <c r="D30" s="209"/>
      <c r="E30" s="209"/>
      <c r="F30" s="209"/>
      <c r="G30" s="209"/>
      <c r="H30" s="209"/>
      <c r="I30" s="209"/>
      <c r="J30" s="209"/>
      <c r="K30" s="209"/>
      <c r="L30" s="209"/>
      <c r="M30" s="209" t="str">
        <f>IFERROR(M29/L29-1,"NM")</f>
        <v>NM</v>
      </c>
      <c r="N30" s="209">
        <f>N29/M29-1</f>
        <v>0.37532467532467528</v>
      </c>
      <c r="O30" s="209">
        <f>O29/N29-1</f>
        <v>0.99244570349386207</v>
      </c>
      <c r="P30" s="209">
        <f>P29/O29-1</f>
        <v>0.15497630331753554</v>
      </c>
      <c r="Q30" s="200">
        <f>'Recast Collins Aerospace_Qtr'!F30</f>
        <v>-1</v>
      </c>
      <c r="R30" s="200" t="e">
        <f>'Recast Collins Aerospace_Qtr'!K30</f>
        <v>#DIV/0!</v>
      </c>
      <c r="S30" s="200" t="e">
        <f>'Recast Collins Aerospace_Qtr'!P30</f>
        <v>#DIV/0!</v>
      </c>
      <c r="T30" s="200" t="e">
        <f>'Recast Collins Aerospace_Qtr'!U30</f>
        <v>#DIV/0!</v>
      </c>
      <c r="U30" s="200" t="e">
        <f>'Recast Collins Aerospace_Qtr'!Z30</f>
        <v>#DIV/0!</v>
      </c>
      <c r="V30" s="200" t="e">
        <f>'Recast Collins Aerospace_Qtr'!AE30</f>
        <v>#DIV/0!</v>
      </c>
      <c r="W30" s="200">
        <f>'Recast Collins Aerospace_Qtr'!AJ30</f>
        <v>0.201588877855015</v>
      </c>
      <c r="X30" s="200">
        <f>'Recast Collins Aerospace_Qtr'!AO30</f>
        <v>0.25909090909090904</v>
      </c>
      <c r="Y30" s="485">
        <f>'Recast Collins Aerospace_Qtr'!AT30</f>
        <v>0.2786347226780439</v>
      </c>
      <c r="Z30" s="485">
        <f>'Recast Collins Aerospace_Qtr'!AY30</f>
        <v>0.15400410677618059</v>
      </c>
      <c r="AA30" s="485">
        <f>'Recast Collins Aerospace_Qtr'!BD30</f>
        <v>8.8300711743772187E-2</v>
      </c>
      <c r="AB30" s="485">
        <f>'Recast Collins Aerospace_Qtr'!BI30</f>
        <v>0.12387993868792146</v>
      </c>
      <c r="AC30" s="207">
        <f>AC29/AB29-1</f>
        <v>0.12105263157894708</v>
      </c>
      <c r="AD30" s="207">
        <f>AD29/AC29-1</f>
        <v>0.10478873239436637</v>
      </c>
      <c r="AE30" s="207">
        <f>AE29/AD29-1</f>
        <v>7.8378378378378466E-2</v>
      </c>
      <c r="AF30" s="207">
        <f>AF29/AE29-1</f>
        <v>7.7631578947368496E-2</v>
      </c>
      <c r="AI30" t="s">
        <v>467</v>
      </c>
      <c r="AJ30" s="523">
        <f>AJ38</f>
        <v>104</v>
      </c>
    </row>
    <row r="31" spans="1:41">
      <c r="B31" s="38"/>
      <c r="C31" s="38"/>
      <c r="D31" s="38"/>
      <c r="E31" s="38"/>
      <c r="F31" s="38"/>
      <c r="G31" s="38"/>
      <c r="H31" s="38"/>
      <c r="I31" s="38"/>
      <c r="J31" s="38"/>
      <c r="K31" s="38"/>
      <c r="L31" s="38"/>
      <c r="M31" s="38"/>
      <c r="N31" s="38"/>
      <c r="O31" s="38"/>
      <c r="P31" s="38"/>
      <c r="Q31" s="38"/>
      <c r="R31" s="38"/>
      <c r="S31" s="38"/>
      <c r="T31" s="38"/>
      <c r="U31" s="38"/>
      <c r="V31" s="38"/>
      <c r="W31" s="369"/>
      <c r="X31" s="369"/>
      <c r="Y31" s="369"/>
      <c r="Z31" s="369"/>
      <c r="AA31" s="369"/>
      <c r="AB31" s="369"/>
      <c r="AC31" s="369"/>
      <c r="AD31" s="369"/>
      <c r="AE31" s="369"/>
      <c r="AF31" s="369"/>
      <c r="AI31" t="s">
        <v>460</v>
      </c>
      <c r="AJ31" s="524">
        <f>AJ29-AJ30</f>
        <v>1910</v>
      </c>
      <c r="AK31" s="475">
        <f>AA29</f>
        <v>4893</v>
      </c>
      <c r="AL31" s="498">
        <f>(AK31/AJ31)^0.2-1</f>
        <v>0.20700305604856317</v>
      </c>
      <c r="AM31" s="315"/>
      <c r="AN31" t="s">
        <v>466</v>
      </c>
      <c r="AO31" s="315"/>
    </row>
    <row r="32" spans="1:41">
      <c r="A32" s="8" t="str">
        <f>'Recast Collins Aerospace_Qtr'!A32</f>
        <v>Adjusted Operating Margin</v>
      </c>
      <c r="B32" s="123"/>
      <c r="C32" s="123"/>
      <c r="D32" s="123"/>
      <c r="E32" s="123"/>
      <c r="F32" s="123"/>
      <c r="G32" s="123"/>
      <c r="H32" s="123"/>
      <c r="I32" s="123"/>
      <c r="J32" s="123"/>
      <c r="K32" s="123"/>
      <c r="L32" s="123"/>
      <c r="M32" s="123">
        <f t="shared" ref="M32:Y32" si="7">+M29/M16</f>
        <v>0.16176470588235295</v>
      </c>
      <c r="N32" s="123">
        <f t="shared" si="7"/>
        <v>0.12706983441324693</v>
      </c>
      <c r="O32" s="123">
        <f t="shared" si="7"/>
        <v>0.15808795984116281</v>
      </c>
      <c r="P32" s="123">
        <f t="shared" si="7"/>
        <v>0.17143862117481534</v>
      </c>
      <c r="Q32" s="123" t="e">
        <f t="shared" si="7"/>
        <v>#DIV/0!</v>
      </c>
      <c r="R32" s="123" t="e">
        <f t="shared" si="7"/>
        <v>#DIV/0!</v>
      </c>
      <c r="S32" s="123" t="e">
        <f t="shared" si="7"/>
        <v>#DIV/0!</v>
      </c>
      <c r="T32" s="123" t="e">
        <f t="shared" si="7"/>
        <v>#DIV/0!</v>
      </c>
      <c r="U32" s="123" t="e">
        <f t="shared" si="7"/>
        <v>#DIV/0!</v>
      </c>
      <c r="V32" s="123">
        <f t="shared" si="7"/>
        <v>9.1591250170539817E-2</v>
      </c>
      <c r="W32" s="123">
        <f t="shared" si="7"/>
        <v>0.11440998487140695</v>
      </c>
      <c r="X32" s="123">
        <f t="shared" si="7"/>
        <v>0.13217942044074266</v>
      </c>
      <c r="Y32" s="123">
        <f t="shared" si="7"/>
        <v>0.14871364226276815</v>
      </c>
      <c r="Z32" s="123">
        <f t="shared" ref="Z32" si="8">+Z29/Z16</f>
        <v>0.15895912883609106</v>
      </c>
      <c r="AA32" s="123">
        <f t="shared" ref="AA32:AB32" si="9">+AA29/AA16</f>
        <v>0.16204132997748047</v>
      </c>
      <c r="AB32" s="123">
        <f t="shared" si="9"/>
        <v>0.17100000000000004</v>
      </c>
      <c r="AC32" s="208">
        <v>0.17749999999999999</v>
      </c>
      <c r="AD32" s="208">
        <v>0.185</v>
      </c>
      <c r="AE32" s="208">
        <v>0.19</v>
      </c>
      <c r="AF32" s="208">
        <v>0.19500000000000001</v>
      </c>
      <c r="AJ32" s="335"/>
      <c r="AK32" s="335"/>
      <c r="AL32" s="488"/>
    </row>
    <row r="33" spans="1:41">
      <c r="A33" s="1" t="str">
        <f>'Recast Collins Aerospace_Qtr'!A33</f>
        <v>YoY</v>
      </c>
      <c r="B33" s="209"/>
      <c r="C33" s="209"/>
      <c r="D33" s="209"/>
      <c r="E33" s="209"/>
      <c r="F33" s="209"/>
      <c r="G33" s="209"/>
      <c r="H33" s="209"/>
      <c r="I33" s="209"/>
      <c r="J33" s="209"/>
      <c r="K33" s="209"/>
      <c r="L33" s="209"/>
      <c r="M33" s="209" t="str">
        <f>IFERROR(M32/L32-1,"NM")</f>
        <v>NM</v>
      </c>
      <c r="N33" s="209">
        <f>N32/M32-1</f>
        <v>-0.21447738726356447</v>
      </c>
      <c r="O33" s="209">
        <f>O32/N32-1</f>
        <v>0.24410298141289033</v>
      </c>
      <c r="P33" s="209">
        <f>P32/O32-1</f>
        <v>8.4450842094910161E-2</v>
      </c>
      <c r="Q33" s="200">
        <f>'Recast Collins Aerospace_Qtr'!F33</f>
        <v>-2146826281</v>
      </c>
      <c r="R33" s="200" t="e">
        <f>'Recast Collins Aerospace_Qtr'!K33</f>
        <v>#DIV/0!</v>
      </c>
      <c r="S33" s="200" t="e">
        <f>'Recast Collins Aerospace_Qtr'!P33</f>
        <v>#DIV/0!</v>
      </c>
      <c r="T33" s="200" t="e">
        <f>'Recast Collins Aerospace_Qtr'!U33</f>
        <v>#DIV/0!</v>
      </c>
      <c r="U33" s="200" t="e">
        <f>'Recast Collins Aerospace_Qtr'!Z33</f>
        <v>#DIV/0!</v>
      </c>
      <c r="V33" s="200" t="e">
        <f>'Recast Collins Aerospace_Qtr'!AE33</f>
        <v>#DIV/0!</v>
      </c>
      <c r="W33" s="200">
        <f>'Recast Collins Aerospace_Qtr'!AJ33</f>
        <v>0.24913662231249623</v>
      </c>
      <c r="X33" s="200">
        <f>'Recast Collins Aerospace_Qtr'!AO33</f>
        <v>0.1553136781663591</v>
      </c>
      <c r="Y33" s="485">
        <f>'Recast Collins Aerospace_Qtr'!AT33</f>
        <v>0.12508922922262289</v>
      </c>
      <c r="Z33" s="485">
        <f>'Recast Collins Aerospace_Qtr'!AY33</f>
        <v>6.8894059868561008E-2</v>
      </c>
      <c r="AA33" s="485">
        <f>'Recast Collins Aerospace_Qtr'!BD33</f>
        <v>1.9389897038046611E-2</v>
      </c>
      <c r="AB33" s="485">
        <f>'Recast Collins Aerospace_Qtr'!BI33</f>
        <v>5.5286327406499192E-2</v>
      </c>
      <c r="AC33" s="207">
        <f>AC32/AB32-1</f>
        <v>3.8011695906432497E-2</v>
      </c>
      <c r="AD33" s="207">
        <f>AD32/AC32-1</f>
        <v>4.2253521126760507E-2</v>
      </c>
      <c r="AE33" s="207">
        <f>AE32/AD32-1</f>
        <v>2.7027027027026973E-2</v>
      </c>
      <c r="AF33" s="207">
        <f>AF32/AE32-1</f>
        <v>2.6315789473684292E-2</v>
      </c>
      <c r="AL33" s="315"/>
      <c r="AM33" s="315"/>
      <c r="AN33" s="315"/>
      <c r="AO33" s="315"/>
    </row>
    <row r="34" spans="1:41">
      <c r="A34" s="1"/>
      <c r="B34" s="22"/>
      <c r="C34" s="22"/>
      <c r="D34" s="22"/>
      <c r="E34" s="22"/>
      <c r="F34" s="22"/>
      <c r="G34" s="22"/>
      <c r="H34" s="22"/>
      <c r="I34" s="22"/>
      <c r="J34" s="22"/>
      <c r="K34" s="22"/>
      <c r="L34" s="22"/>
      <c r="M34" s="22"/>
      <c r="N34" s="22"/>
      <c r="O34" s="22"/>
      <c r="P34" s="22"/>
      <c r="Q34" s="22"/>
      <c r="R34" s="22"/>
      <c r="S34" s="22"/>
      <c r="T34" s="22"/>
      <c r="U34" s="22"/>
      <c r="V34" s="22"/>
      <c r="W34" s="22"/>
      <c r="X34" s="36">
        <f>(X29-W29)/(X12-W12)</f>
        <v>0.33</v>
      </c>
      <c r="Y34" s="36">
        <f t="shared" ref="Y34:AF34" si="10">(Y29-X29)/(Y12-X12)</f>
        <v>0.26522961574507964</v>
      </c>
      <c r="Z34" s="36">
        <f t="shared" si="10"/>
        <v>0.29542097488921715</v>
      </c>
      <c r="AA34" s="36">
        <f t="shared" si="10"/>
        <v>0.20763598326359833</v>
      </c>
      <c r="AB34" s="36">
        <f t="shared" si="10"/>
        <v>0.30882569265414767</v>
      </c>
      <c r="AC34" s="36">
        <f t="shared" si="10"/>
        <v>0.25874999999999909</v>
      </c>
      <c r="AD34" s="36">
        <f t="shared" si="10"/>
        <v>0.31000000000000011</v>
      </c>
      <c r="AE34" s="36">
        <f t="shared" si="10"/>
        <v>0.29000000000000009</v>
      </c>
      <c r="AF34" s="36">
        <f t="shared" si="10"/>
        <v>0.29500000000000015</v>
      </c>
      <c r="AG34" t="s">
        <v>423</v>
      </c>
    </row>
    <row r="35" spans="1:41">
      <c r="A35" s="13" t="str">
        <f>'Recast Collins Aerospace_Qtr'!A36</f>
        <v>As a % of Total Revenue</v>
      </c>
      <c r="B35" s="272"/>
      <c r="C35" s="22"/>
      <c r="D35" s="22"/>
      <c r="E35" s="22"/>
      <c r="F35" s="22"/>
      <c r="G35" s="22"/>
      <c r="H35" s="22"/>
      <c r="I35" s="22"/>
      <c r="J35" s="22"/>
      <c r="K35" s="22"/>
      <c r="L35" s="22"/>
      <c r="M35" s="22"/>
      <c r="N35" s="22"/>
      <c r="O35" s="22"/>
      <c r="P35" s="22"/>
      <c r="Q35" s="22"/>
      <c r="R35" s="22"/>
      <c r="S35" s="22"/>
      <c r="T35" s="22"/>
      <c r="U35" s="22"/>
      <c r="V35" s="22"/>
      <c r="W35" s="22"/>
      <c r="X35" s="22"/>
      <c r="Y35" s="206"/>
      <c r="Z35" s="206"/>
      <c r="AA35" s="206"/>
      <c r="AB35" s="206"/>
      <c r="AC35" s="206"/>
      <c r="AD35" s="206"/>
      <c r="AE35" s="206"/>
      <c r="AF35" s="206"/>
    </row>
    <row r="36" spans="1:41">
      <c r="A36" s="1" t="str">
        <f>'Recast Collins Aerospace_Qtr'!A37</f>
        <v>Products</v>
      </c>
      <c r="B36" s="186"/>
      <c r="C36" s="186"/>
      <c r="D36" s="186"/>
      <c r="E36" s="186"/>
      <c r="F36" s="186"/>
      <c r="G36" s="186"/>
      <c r="H36" s="186"/>
      <c r="I36" s="186"/>
      <c r="J36" s="186"/>
      <c r="K36" s="186"/>
      <c r="L36" s="186"/>
      <c r="M36" s="186"/>
      <c r="N36" s="186"/>
      <c r="O36" s="186"/>
      <c r="P36" s="186"/>
      <c r="Q36" s="186"/>
      <c r="R36" s="186"/>
      <c r="S36" s="186">
        <f>'Recast Collins Aerospace_Qtr'!P37</f>
        <v>0</v>
      </c>
      <c r="T36" s="186">
        <f>'Recast Collins Aerospace_Qtr'!U37</f>
        <v>0</v>
      </c>
      <c r="U36" s="186">
        <f>'Recast Collins Aerospace_Qtr'!Z37</f>
        <v>0</v>
      </c>
      <c r="V36" s="186">
        <f>'Recast Collins Aerospace_Qtr'!AE37</f>
        <v>0</v>
      </c>
      <c r="W36" s="186">
        <f>'Recast Collins Aerospace_Qtr'!AJ37</f>
        <v>0</v>
      </c>
      <c r="X36" s="186">
        <f>'Recast Collins Aerospace_Qtr'!AO37</f>
        <v>0</v>
      </c>
      <c r="Y36" s="186">
        <f>'Recast Collins Aerospace_Qtr'!AT37</f>
        <v>0</v>
      </c>
      <c r="Z36" s="186">
        <f>'Recast Collins Aerospace_Qtr'!AY37</f>
        <v>0</v>
      </c>
      <c r="AA36" s="186">
        <f>'Recast Collins Aerospace_Qtr'!BD37</f>
        <v>0</v>
      </c>
      <c r="AB36" s="186">
        <f>'Recast Collins Aerospace_Qtr'!BI37</f>
        <v>0</v>
      </c>
      <c r="AC36" s="115">
        <f>AC3/AC$12</f>
        <v>0.69448090132700291</v>
      </c>
      <c r="AD36" s="115">
        <f>AD3/AD$12</f>
        <v>0.69448090132700291</v>
      </c>
      <c r="AE36" s="115">
        <f>AE3/AE$12</f>
        <v>0.70109500514916501</v>
      </c>
      <c r="AF36" s="115">
        <f>AF3/AF$12</f>
        <v>0.70777210043629979</v>
      </c>
      <c r="AI36" t="s">
        <v>40</v>
      </c>
      <c r="AJ36" s="340">
        <v>130</v>
      </c>
      <c r="AK36" s="340"/>
      <c r="AN36" s="340"/>
      <c r="AO36" s="340"/>
    </row>
    <row r="37" spans="1:41">
      <c r="A37" s="1" t="str">
        <f>'Recast Collins Aerospace_Qtr'!A38</f>
        <v>Services</v>
      </c>
      <c r="B37" s="271"/>
      <c r="C37" s="186"/>
      <c r="D37" s="186"/>
      <c r="E37" s="186"/>
      <c r="F37" s="186"/>
      <c r="G37" s="186"/>
      <c r="H37" s="186"/>
      <c r="I37" s="186"/>
      <c r="J37" s="186"/>
      <c r="K37" s="186"/>
      <c r="L37" s="186"/>
      <c r="M37" s="186"/>
      <c r="N37" s="186"/>
      <c r="O37" s="186"/>
      <c r="P37" s="186"/>
      <c r="Q37" s="186"/>
      <c r="R37" s="186"/>
      <c r="S37" s="186">
        <f>'Recast Collins Aerospace_Qtr'!P38</f>
        <v>0</v>
      </c>
      <c r="T37" s="186">
        <f>'Recast Collins Aerospace_Qtr'!U38</f>
        <v>0</v>
      </c>
      <c r="U37" s="186">
        <f>'Recast Collins Aerospace_Qtr'!Z38</f>
        <v>0</v>
      </c>
      <c r="V37" s="186">
        <f>'Recast Collins Aerospace_Qtr'!AE38</f>
        <v>0</v>
      </c>
      <c r="W37" s="186">
        <f>'Recast Collins Aerospace_Qtr'!AJ38</f>
        <v>0</v>
      </c>
      <c r="X37" s="186">
        <f>'Recast Collins Aerospace_Qtr'!AO38</f>
        <v>0</v>
      </c>
      <c r="Y37" s="186">
        <f>'Recast Collins Aerospace_Qtr'!AT38</f>
        <v>0</v>
      </c>
      <c r="Z37" s="186">
        <f>'Recast Collins Aerospace_Qtr'!AY38</f>
        <v>0</v>
      </c>
      <c r="AA37" s="186">
        <f>'Recast Collins Aerospace_Qtr'!BD38</f>
        <v>0</v>
      </c>
      <c r="AB37" s="186">
        <f>'Recast Collins Aerospace_Qtr'!BI38</f>
        <v>0</v>
      </c>
      <c r="AC37" s="115">
        <f>AC6/AC$12</f>
        <v>0.19792398352441437</v>
      </c>
      <c r="AD37" s="115">
        <f>AD6/AD$12</f>
        <v>0.1979239835244144</v>
      </c>
      <c r="AE37" s="115">
        <f>AE6/AE$12</f>
        <v>0.19980897384369453</v>
      </c>
      <c r="AF37" s="115">
        <f>AF6/AF$12</f>
        <v>0.20171191645172973</v>
      </c>
      <c r="AI37" t="s">
        <v>468</v>
      </c>
      <c r="AJ37" s="522">
        <v>0.2</v>
      </c>
      <c r="AK37" s="504"/>
    </row>
    <row r="38" spans="1:41">
      <c r="A38" s="1"/>
      <c r="B38" s="38"/>
      <c r="C38" s="38"/>
      <c r="D38" s="38"/>
      <c r="E38" s="38"/>
      <c r="F38" s="38"/>
      <c r="G38" s="38"/>
      <c r="H38" s="38"/>
      <c r="I38" s="38"/>
      <c r="J38" s="38"/>
      <c r="K38" s="38"/>
      <c r="L38" s="38"/>
      <c r="M38" s="38"/>
      <c r="N38" s="38"/>
      <c r="O38" s="38"/>
      <c r="P38" s="38"/>
      <c r="Q38" s="38"/>
      <c r="R38" s="38"/>
      <c r="S38" s="38"/>
      <c r="T38" s="38"/>
      <c r="U38" s="38"/>
      <c r="V38" s="38"/>
      <c r="W38" s="38"/>
      <c r="X38" s="38"/>
      <c r="Y38" s="486"/>
      <c r="Z38" s="486"/>
      <c r="AA38" s="486"/>
      <c r="AB38" s="486"/>
      <c r="AC38" s="422"/>
      <c r="AD38" s="422"/>
      <c r="AE38" s="422"/>
      <c r="AF38" s="422"/>
      <c r="AI38" t="s">
        <v>144</v>
      </c>
      <c r="AJ38" s="505">
        <f>AJ36*(1-AJ37)</f>
        <v>104</v>
      </c>
      <c r="AK38" s="506"/>
    </row>
    <row r="39" spans="1:41">
      <c r="A39" t="s">
        <v>404</v>
      </c>
      <c r="L39" s="38">
        <v>0.23099999999999998</v>
      </c>
      <c r="M39" s="38"/>
      <c r="N39" s="38"/>
      <c r="O39" s="38"/>
      <c r="P39" s="38"/>
      <c r="Q39" s="38"/>
      <c r="R39" s="38"/>
      <c r="S39" s="38"/>
      <c r="T39" s="38"/>
      <c r="U39" s="38"/>
      <c r="V39" s="38"/>
      <c r="W39" s="271">
        <f>(W29-V29)/(W16-V16)</f>
        <v>-0.48506571087216249</v>
      </c>
      <c r="X39" s="271">
        <f>(X29-W29)/(X16-W16)</f>
        <v>0.33</v>
      </c>
      <c r="Y39" s="486">
        <f>'Recast Collins Aerospace_Qtr'!AT34</f>
        <v>0.26986649713922439</v>
      </c>
      <c r="Z39" s="486">
        <f>'Recast Collins Aerospace_Qtr'!AY34</f>
        <v>0.28763183125599234</v>
      </c>
      <c r="AA39" s="486">
        <f>'Recast Collins Aerospace_Qtr'!BD34</f>
        <v>0.20763598326359833</v>
      </c>
      <c r="AB39" s="486">
        <f>'Recast Collins Aerospace_Qtr'!BI34</f>
        <v>0.30882569265414722</v>
      </c>
      <c r="AC39" s="422">
        <v>0.35</v>
      </c>
      <c r="AD39" s="422">
        <f t="shared" ref="AD39:AF39" si="11">(AD29-AC29)/(AD16-AC16)</f>
        <v>0.31000000000000011</v>
      </c>
      <c r="AE39" s="422">
        <f t="shared" si="11"/>
        <v>0.29000000000000009</v>
      </c>
      <c r="AF39" s="422">
        <f t="shared" si="11"/>
        <v>0.29500000000000015</v>
      </c>
    </row>
    <row r="41" spans="1:41">
      <c r="X41" t="s">
        <v>420</v>
      </c>
      <c r="Y41" s="379">
        <v>0.3</v>
      </c>
      <c r="Z41" s="379">
        <v>0.4</v>
      </c>
      <c r="AA41" s="379">
        <v>0.4</v>
      </c>
      <c r="AB41" s="379">
        <v>0.4</v>
      </c>
    </row>
    <row r="45" spans="1:41">
      <c r="AI45">
        <f>1550</f>
        <v>1550</v>
      </c>
      <c r="AJ45">
        <f>AI45*(7.5/12)</f>
        <v>968.75</v>
      </c>
    </row>
    <row r="47" spans="1:41">
      <c r="AI47">
        <v>350</v>
      </c>
      <c r="AJ47">
        <f>AI47*(9/12)</f>
        <v>262.5</v>
      </c>
    </row>
    <row r="48" spans="1:41">
      <c r="AL48" s="475"/>
      <c r="AM48" s="475"/>
    </row>
    <row r="51" spans="36:36">
      <c r="AJ51" s="348">
        <f>AA16-AJ45-AJ47</f>
        <v>28964.75</v>
      </c>
    </row>
    <row r="52" spans="36:36">
      <c r="AJ52">
        <f>AB16/AJ51-1</f>
        <v>0.11027162326621154</v>
      </c>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2212E-7EC2-436F-A8F2-71F070DCAE30}">
  <sheetPr codeName="Sheet45">
    <tabColor theme="8" tint="0.39997558519241921"/>
  </sheetPr>
  <dimension ref="A1:BR75"/>
  <sheetViews>
    <sheetView showGridLines="0" zoomScaleNormal="100" workbookViewId="0">
      <pane xSplit="1" ySplit="2" topLeftCell="AZ3" activePane="bottomRight" state="frozen"/>
      <selection activeCell="I21" sqref="I21"/>
      <selection pane="topRight" activeCell="I21" sqref="I21"/>
      <selection pane="bottomLeft" activeCell="I21" sqref="I21"/>
      <selection pane="bottomRight" activeCell="BK73" sqref="BK73"/>
    </sheetView>
  </sheetViews>
  <sheetFormatPr defaultColWidth="9.140625" defaultRowHeight="15" outlineLevelRow="2" outlineLevelCol="1"/>
  <cols>
    <col min="1" max="1" width="47.85546875" customWidth="1"/>
    <col min="2" max="5" width="12.28515625" hidden="1" customWidth="1" outlineLevel="1"/>
    <col min="6" max="6" width="12.28515625" customWidth="1" collapsed="1"/>
    <col min="7" max="10" width="12.28515625" hidden="1" customWidth="1" outlineLevel="1"/>
    <col min="11" max="11" width="12.28515625" customWidth="1" collapsed="1"/>
    <col min="12" max="15" width="12.28515625" hidden="1" customWidth="1" outlineLevel="1"/>
    <col min="16" max="16" width="12.28515625" customWidth="1" collapsed="1"/>
    <col min="17" max="20" width="12.28515625" hidden="1" customWidth="1" outlineLevel="1"/>
    <col min="21" max="21" width="12.28515625" customWidth="1" collapsed="1"/>
    <col min="22" max="25" width="12.28515625" hidden="1" customWidth="1" outlineLevel="1"/>
    <col min="26" max="26" width="12.28515625" customWidth="1" collapsed="1"/>
    <col min="27" max="30" width="12.28515625" customWidth="1" outlineLevel="1"/>
    <col min="31" max="31" width="12.28515625" customWidth="1"/>
    <col min="32" max="35" width="12.28515625" customWidth="1" outlineLevel="1"/>
    <col min="36" max="36" width="12.28515625" customWidth="1"/>
    <col min="37" max="40" width="12.28515625" customWidth="1" outlineLevel="1"/>
    <col min="41" max="41" width="12.28515625" customWidth="1"/>
    <col min="42" max="45" width="12.28515625" customWidth="1" outlineLevel="1"/>
    <col min="46" max="46" width="12.28515625" customWidth="1"/>
    <col min="47" max="50" width="12.28515625" customWidth="1" outlineLevel="1"/>
    <col min="51" max="51" width="12.28515625" customWidth="1"/>
    <col min="52" max="55" width="12.28515625" customWidth="1" outlineLevel="1"/>
    <col min="56" max="56" width="12.28515625" customWidth="1"/>
    <col min="57" max="60" width="12.28515625" customWidth="1" outlineLevel="1"/>
    <col min="61" max="61" width="12.28515625" customWidth="1"/>
    <col min="62" max="62" width="12.5703125" customWidth="1"/>
    <col min="63" max="63" width="24.5703125" customWidth="1"/>
    <col min="64" max="64" width="9.28515625" customWidth="1"/>
    <col min="65" max="65" width="11.140625" customWidth="1"/>
    <col min="66" max="66" width="9.5703125" customWidth="1"/>
  </cols>
  <sheetData>
    <row r="1" spans="1:66">
      <c r="A1" s="14" t="s">
        <v>252</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row>
    <row r="2" spans="1:66">
      <c r="A2" s="6"/>
      <c r="B2" s="109" t="str">
        <f>ProForma_IS_Qtr!B2</f>
        <v>1Q15A</v>
      </c>
      <c r="C2" s="109" t="str">
        <f>ProForma_IS_Qtr!C2</f>
        <v>2Q15A</v>
      </c>
      <c r="D2" s="109" t="str">
        <f>ProForma_IS_Qtr!D2</f>
        <v>3Q15A</v>
      </c>
      <c r="E2" s="109" t="str">
        <f>ProForma_IS_Qtr!E2</f>
        <v>4Q15A</v>
      </c>
      <c r="F2" s="110" t="str">
        <f>ProForma_IS_Qtr!F2</f>
        <v>CY2015A</v>
      </c>
      <c r="G2" s="109" t="str">
        <f>ProForma_IS_Qtr!G2</f>
        <v>1Q16A</v>
      </c>
      <c r="H2" s="109" t="str">
        <f>ProForma_IS_Qtr!H2</f>
        <v>2Q16A</v>
      </c>
      <c r="I2" s="109" t="str">
        <f>ProForma_IS_Qtr!I2</f>
        <v>3Q16A</v>
      </c>
      <c r="J2" s="109" t="str">
        <f>ProForma_IS_Qtr!J2</f>
        <v>4Q16A</v>
      </c>
      <c r="K2" s="110" t="str">
        <f>ProForma_IS_Qtr!K2</f>
        <v>CY2016A</v>
      </c>
      <c r="L2" s="109" t="str">
        <f>ProForma_IS_Qtr!L2</f>
        <v>1Q17A</v>
      </c>
      <c r="M2" s="109" t="str">
        <f>ProForma_IS_Qtr!M2</f>
        <v>2Q17A</v>
      </c>
      <c r="N2" s="109" t="str">
        <f>ProForma_IS_Qtr!N2</f>
        <v>3Q17A</v>
      </c>
      <c r="O2" s="109" t="str">
        <f>ProForma_IS_Qtr!O2</f>
        <v>4Q17A</v>
      </c>
      <c r="P2" s="110" t="str">
        <f>ProForma_IS_Qtr!P2</f>
        <v>CY2017A</v>
      </c>
      <c r="Q2" s="109" t="str">
        <f>ProForma_IS_Qtr!Q2</f>
        <v>1Q18A</v>
      </c>
      <c r="R2" s="109" t="str">
        <f>ProForma_IS_Qtr!R2</f>
        <v>2Q18A</v>
      </c>
      <c r="S2" s="109" t="str">
        <f>ProForma_IS_Qtr!S2</f>
        <v>3Q18A</v>
      </c>
      <c r="T2" s="109" t="str">
        <f>ProForma_IS_Qtr!T2</f>
        <v>4Q18A</v>
      </c>
      <c r="U2" s="110" t="str">
        <f>ProForma_IS_Qtr!U2</f>
        <v>CY2018A</v>
      </c>
      <c r="V2" s="109" t="str">
        <f>ProForma_IS_Qtr!V2</f>
        <v>1Q19A</v>
      </c>
      <c r="W2" s="109" t="str">
        <f>ProForma_IS_Qtr!W2</f>
        <v>2Q19A</v>
      </c>
      <c r="X2" s="109" t="str">
        <f>ProForma_IS_Qtr!X2</f>
        <v>3Q19A</v>
      </c>
      <c r="Y2" s="109" t="str">
        <f>ProForma_IS_Qtr!Y2</f>
        <v>4Q19A</v>
      </c>
      <c r="Z2" s="110" t="str">
        <f>ProForma_IS_Qtr!Z2</f>
        <v>CY2019A</v>
      </c>
      <c r="AA2" s="109" t="str">
        <f>ProForma_IS_Qtr!AA2</f>
        <v>1Q20A</v>
      </c>
      <c r="AB2" s="109" t="str">
        <f>ProForma_IS_Qtr!AB2</f>
        <v>2Q20A</v>
      </c>
      <c r="AC2" s="109" t="str">
        <f>ProForma_IS_Qtr!AC2</f>
        <v>3Q20A</v>
      </c>
      <c r="AD2" s="109" t="str">
        <f>ProForma_IS_Qtr!AD2</f>
        <v>4Q20A</v>
      </c>
      <c r="AE2" s="110" t="str">
        <f>ProForma_IS_Qtr!AE2</f>
        <v>CY2020A</v>
      </c>
      <c r="AF2" s="109" t="str">
        <f>ProForma_IS_Qtr!AF2</f>
        <v>1Q21A</v>
      </c>
      <c r="AG2" s="109" t="str">
        <f>ProForma_IS_Qtr!AG2</f>
        <v>2Q21A</v>
      </c>
      <c r="AH2" s="109" t="str">
        <f>ProForma_IS_Qtr!AH2</f>
        <v>3Q21A</v>
      </c>
      <c r="AI2" s="109" t="str">
        <f>ProForma_IS_Qtr!AI2</f>
        <v>4Q21A</v>
      </c>
      <c r="AJ2" s="110" t="str">
        <f>ProForma_IS_Qtr!AJ2</f>
        <v>CY2021A</v>
      </c>
      <c r="AK2" s="109" t="str">
        <f>ProForma_IS_Qtr!AK2</f>
        <v>1Q22A</v>
      </c>
      <c r="AL2" s="109" t="str">
        <f>ProForma_IS_Qtr!AL2</f>
        <v>2Q22A</v>
      </c>
      <c r="AM2" s="109" t="str">
        <f>ProForma_IS_Qtr!AM2</f>
        <v>3Q22A</v>
      </c>
      <c r="AN2" s="109" t="str">
        <f>ProForma_IS_Qtr!AN2</f>
        <v>4Q22A</v>
      </c>
      <c r="AO2" s="110" t="str">
        <f>ProForma_IS_Qtr!AO2</f>
        <v>CY2022A</v>
      </c>
      <c r="AP2" s="109" t="str">
        <f>ProForma_IS_Qtr!AP2</f>
        <v>1Q23A</v>
      </c>
      <c r="AQ2" s="109" t="str">
        <f>ProForma_IS_Qtr!AQ2</f>
        <v>2Q23A</v>
      </c>
      <c r="AR2" s="109" t="str">
        <f>ProForma_IS_Qtr!AR2</f>
        <v>3Q23A</v>
      </c>
      <c r="AS2" s="109" t="str">
        <f>ProForma_IS_Qtr!AS2</f>
        <v>4Q23A</v>
      </c>
      <c r="AT2" s="110" t="str">
        <f>ProForma_IS_Qtr!AT2</f>
        <v>CY2023A</v>
      </c>
      <c r="AU2" s="109" t="str">
        <f>ProForma_IS_Qtr!AU2</f>
        <v>1Q24A</v>
      </c>
      <c r="AV2" s="109" t="str">
        <f>ProForma_IS_Qtr!AV2</f>
        <v>2Q24A</v>
      </c>
      <c r="AW2" s="109" t="str">
        <f>ProForma_IS_Qtr!AW2</f>
        <v>3Q24A</v>
      </c>
      <c r="AX2" s="109" t="str">
        <f>ProForma_IS_Qtr!AX2</f>
        <v>4Q24A</v>
      </c>
      <c r="AY2" s="110" t="str">
        <f>ProForma_IS_Qtr!AY2</f>
        <v>CY2024A</v>
      </c>
      <c r="AZ2" s="109" t="str">
        <f>ProForma_IS_Qtr!AZ2</f>
        <v>1Q25A</v>
      </c>
      <c r="BA2" s="109" t="str">
        <f>ProForma_IS_Qtr!BA2</f>
        <v>2Q25A</v>
      </c>
      <c r="BB2" s="109" t="str">
        <f>ProForma_IS_Qtr!BB2</f>
        <v>3Q25A</v>
      </c>
      <c r="BC2" s="109" t="str">
        <f>ProForma_IS_Qtr!BC2</f>
        <v>4Q25A</v>
      </c>
      <c r="BD2" s="110" t="str">
        <f>ProForma_IS_Qtr!BD2</f>
        <v>CY2025A</v>
      </c>
      <c r="BE2" s="109" t="str">
        <f>ProForma_IS_Qtr!BE2</f>
        <v>1Q26A</v>
      </c>
      <c r="BF2" s="109" t="str">
        <f>ProForma_IS_Qtr!BF2</f>
        <v>2Q26A</v>
      </c>
      <c r="BG2" s="109" t="str">
        <f>ProForma_IS_Qtr!BG2</f>
        <v>3Q26E</v>
      </c>
      <c r="BH2" s="109" t="str">
        <f>ProForma_IS_Qtr!BH2</f>
        <v>4Q26E</v>
      </c>
      <c r="BI2" s="110" t="str">
        <f>ProForma_IS_Qtr!BI2</f>
        <v>CY2026E</v>
      </c>
      <c r="BJ2" s="314" t="s">
        <v>487</v>
      </c>
      <c r="BK2" s="314"/>
    </row>
    <row r="3" spans="1:66" outlineLevel="1">
      <c r="A3" s="341" t="s">
        <v>379</v>
      </c>
      <c r="B3" s="18"/>
      <c r="C3" s="18"/>
      <c r="D3" s="18"/>
      <c r="E3" s="18"/>
      <c r="F3" s="20"/>
      <c r="G3" s="18"/>
      <c r="H3" s="18"/>
      <c r="I3" s="18"/>
      <c r="J3" s="18"/>
      <c r="K3" s="20"/>
      <c r="L3" s="18"/>
      <c r="M3" s="18"/>
      <c r="N3" s="18"/>
      <c r="O3" s="19"/>
      <c r="P3" s="20"/>
      <c r="Q3" s="18"/>
      <c r="R3" s="18"/>
      <c r="S3" s="18"/>
      <c r="T3" s="19"/>
      <c r="U3" s="20"/>
      <c r="V3" s="18"/>
      <c r="W3" s="18"/>
      <c r="X3" s="19"/>
      <c r="Y3" s="19"/>
      <c r="Z3" s="194"/>
      <c r="AA3" s="18"/>
      <c r="AB3" s="18"/>
      <c r="AC3" s="41"/>
      <c r="AD3" s="19"/>
      <c r="AE3" s="20"/>
      <c r="AF3" s="18"/>
      <c r="AG3" s="18"/>
      <c r="AH3" s="41"/>
      <c r="AI3" s="19"/>
      <c r="AJ3" s="449"/>
      <c r="AK3" s="18"/>
      <c r="AL3" s="18"/>
      <c r="AM3" s="41">
        <v>4194</v>
      </c>
      <c r="AN3" s="19"/>
      <c r="AO3" s="20"/>
      <c r="AP3" s="18"/>
      <c r="AQ3" s="18"/>
      <c r="AR3" s="41">
        <v>4761</v>
      </c>
      <c r="AS3" s="19"/>
      <c r="AT3" s="20">
        <v>19034</v>
      </c>
      <c r="AU3" s="18">
        <v>4833</v>
      </c>
      <c r="AV3" s="18">
        <v>5027</v>
      </c>
      <c r="AW3" s="41">
        <v>5024</v>
      </c>
      <c r="AX3" s="19">
        <f>AY3-SUM(AU3:AW3)</f>
        <v>5388</v>
      </c>
      <c r="AY3" s="20">
        <v>20272</v>
      </c>
      <c r="AZ3" s="18">
        <v>5110</v>
      </c>
      <c r="BA3" s="18">
        <v>5408</v>
      </c>
      <c r="BB3" s="41">
        <v>5441</v>
      </c>
      <c r="BC3" s="19">
        <f>BD3-SUM(AZ3:BB3)</f>
        <v>5508</v>
      </c>
      <c r="BD3" s="20">
        <v>21467</v>
      </c>
      <c r="BE3" s="18">
        <v>5424</v>
      </c>
      <c r="BF3" s="18">
        <v>5941</v>
      </c>
      <c r="BG3" s="41"/>
      <c r="BH3" s="19"/>
      <c r="BI3" s="20"/>
      <c r="BJ3" s="368"/>
      <c r="BK3" s="368"/>
      <c r="BL3" s="368"/>
      <c r="BM3" s="112"/>
    </row>
    <row r="4" spans="1:66" outlineLevel="1">
      <c r="A4" s="1" t="s">
        <v>4</v>
      </c>
      <c r="B4" s="34"/>
      <c r="C4" s="35"/>
      <c r="D4" s="35"/>
      <c r="E4" s="35"/>
      <c r="F4" s="36"/>
      <c r="G4" s="34"/>
      <c r="H4" s="35"/>
      <c r="I4" s="35"/>
      <c r="J4" s="35"/>
      <c r="K4" s="36"/>
      <c r="L4" s="34"/>
      <c r="M4" s="35"/>
      <c r="N4" s="35"/>
      <c r="O4" s="35"/>
      <c r="P4" s="36"/>
      <c r="Q4" s="34"/>
      <c r="R4" s="35"/>
      <c r="S4" s="35"/>
      <c r="T4" s="35"/>
      <c r="U4" s="36"/>
      <c r="V4" s="34"/>
      <c r="W4" s="35"/>
      <c r="X4" s="35"/>
      <c r="Y4" s="35"/>
      <c r="Z4" s="36"/>
      <c r="AA4" s="34" t="e">
        <f t="shared" ref="AA4:AO4" si="0">AA3/V3-1</f>
        <v>#DIV/0!</v>
      </c>
      <c r="AB4" s="34" t="e">
        <f t="shared" si="0"/>
        <v>#DIV/0!</v>
      </c>
      <c r="AC4" s="232" t="e">
        <f t="shared" si="0"/>
        <v>#DIV/0!</v>
      </c>
      <c r="AD4" s="32" t="e">
        <f t="shared" si="0"/>
        <v>#DIV/0!</v>
      </c>
      <c r="AE4" s="36" t="e">
        <f t="shared" si="0"/>
        <v>#DIV/0!</v>
      </c>
      <c r="AF4" s="32" t="e">
        <f t="shared" si="0"/>
        <v>#DIV/0!</v>
      </c>
      <c r="AG4" s="34" t="e">
        <f t="shared" si="0"/>
        <v>#DIV/0!</v>
      </c>
      <c r="AH4" s="232" t="e">
        <f t="shared" si="0"/>
        <v>#DIV/0!</v>
      </c>
      <c r="AI4" s="32" t="e">
        <f t="shared" si="0"/>
        <v>#DIV/0!</v>
      </c>
      <c r="AJ4" s="36" t="e">
        <f t="shared" si="0"/>
        <v>#DIV/0!</v>
      </c>
      <c r="AK4" s="32" t="e">
        <f t="shared" si="0"/>
        <v>#DIV/0!</v>
      </c>
      <c r="AL4" s="34" t="e">
        <f t="shared" si="0"/>
        <v>#DIV/0!</v>
      </c>
      <c r="AM4" s="232" t="e">
        <f t="shared" si="0"/>
        <v>#DIV/0!</v>
      </c>
      <c r="AN4" s="32" t="e">
        <f t="shared" si="0"/>
        <v>#DIV/0!</v>
      </c>
      <c r="AO4" s="36" t="e">
        <f t="shared" si="0"/>
        <v>#DIV/0!</v>
      </c>
      <c r="AP4" s="32" t="e">
        <f t="shared" ref="AP4" si="1">AP3/AK3-1</f>
        <v>#DIV/0!</v>
      </c>
      <c r="AQ4" s="34" t="e">
        <f t="shared" ref="AQ4" si="2">AQ3/AL3-1</f>
        <v>#DIV/0!</v>
      </c>
      <c r="AR4" s="232">
        <f t="shared" ref="AR4" si="3">AR3/AM3-1</f>
        <v>0.13519313304721026</v>
      </c>
      <c r="AS4" s="32" t="e">
        <f t="shared" ref="AS4" si="4">AS3/AN3-1</f>
        <v>#DIV/0!</v>
      </c>
      <c r="AT4" s="36" t="e">
        <f t="shared" ref="AT4:AU4" si="5">AT3/AO3-1</f>
        <v>#DIV/0!</v>
      </c>
      <c r="AU4" s="32" t="e">
        <f t="shared" si="5"/>
        <v>#DIV/0!</v>
      </c>
      <c r="AV4" s="232" t="e">
        <f t="shared" ref="AV4" si="6">AV3/AQ3-1</f>
        <v>#DIV/0!</v>
      </c>
      <c r="AW4" s="232">
        <f t="shared" ref="AW4" si="7">AW3/AR3-1</f>
        <v>5.5240495694181879E-2</v>
      </c>
      <c r="AX4" s="32" t="e">
        <f t="shared" ref="AX4" si="8">AX3/AS3-1</f>
        <v>#DIV/0!</v>
      </c>
      <c r="AY4" s="36">
        <f t="shared" ref="AY4:BB4" si="9">AY3/AT3-1</f>
        <v>6.5041504675843242E-2</v>
      </c>
      <c r="AZ4" s="32">
        <f t="shared" si="9"/>
        <v>5.7314297537761183E-2</v>
      </c>
      <c r="BA4" s="232">
        <f t="shared" si="9"/>
        <v>7.5790730057688549E-2</v>
      </c>
      <c r="BB4" s="232">
        <f t="shared" si="9"/>
        <v>8.3001592356687803E-2</v>
      </c>
      <c r="BC4" s="32">
        <f t="shared" ref="BC4" si="10">BC3/AX3-1</f>
        <v>2.2271714922049046E-2</v>
      </c>
      <c r="BD4" s="36">
        <f t="shared" ref="BD4:BF4" si="11">BD3/AY3-1</f>
        <v>5.8948303078137254E-2</v>
      </c>
      <c r="BE4" s="32">
        <f t="shared" si="11"/>
        <v>6.144814090019568E-2</v>
      </c>
      <c r="BF4" s="232">
        <f t="shared" si="11"/>
        <v>9.8557692307692291E-2</v>
      </c>
      <c r="BG4" s="232"/>
      <c r="BH4" s="32"/>
      <c r="BI4" s="137"/>
      <c r="BJ4" s="516"/>
      <c r="BL4" s="368"/>
      <c r="BM4" s="488"/>
    </row>
    <row r="5" spans="1:66" outlineLevel="1">
      <c r="A5" s="1"/>
      <c r="B5" s="21"/>
      <c r="C5" s="21"/>
      <c r="D5" s="21"/>
      <c r="E5" s="21"/>
      <c r="F5" s="22"/>
      <c r="G5" s="21"/>
      <c r="H5" s="21"/>
      <c r="I5" s="21"/>
      <c r="J5" s="21"/>
      <c r="K5" s="22"/>
      <c r="L5" s="21"/>
      <c r="M5" s="21"/>
      <c r="N5" s="21"/>
      <c r="O5" s="21"/>
      <c r="P5" s="22"/>
      <c r="Q5" s="21"/>
      <c r="R5" s="21"/>
      <c r="S5" s="21"/>
      <c r="T5" s="21"/>
      <c r="U5" s="22"/>
      <c r="V5" s="21"/>
      <c r="W5" s="21"/>
      <c r="X5" s="21"/>
      <c r="Y5" s="21"/>
      <c r="Z5" s="22"/>
      <c r="AA5" s="21"/>
      <c r="AB5" s="21"/>
      <c r="AC5" s="42"/>
      <c r="AD5" s="42"/>
      <c r="AE5" s="22"/>
      <c r="AF5" s="42"/>
      <c r="AG5" s="21"/>
      <c r="AH5" s="42"/>
      <c r="AI5" s="42"/>
      <c r="AJ5" s="22"/>
      <c r="AK5" s="42"/>
      <c r="AL5" s="21"/>
      <c r="AM5" s="42"/>
      <c r="AN5" s="42"/>
      <c r="AO5" s="22"/>
      <c r="AP5" s="42"/>
      <c r="AQ5" s="21"/>
      <c r="AR5" s="42"/>
      <c r="AS5" s="42"/>
      <c r="AT5" s="22"/>
      <c r="AU5" s="42"/>
      <c r="AV5" s="42"/>
      <c r="AW5" s="42"/>
      <c r="AX5" s="42"/>
      <c r="AY5" s="22"/>
      <c r="AZ5" s="42"/>
      <c r="BA5" s="42"/>
      <c r="BB5" s="42"/>
      <c r="BC5" s="42"/>
      <c r="BD5" s="22"/>
      <c r="BE5" s="42"/>
      <c r="BF5" s="42"/>
      <c r="BG5" s="42"/>
      <c r="BH5" s="42"/>
      <c r="BI5" s="22"/>
      <c r="BL5" s="368"/>
      <c r="BM5" s="112"/>
    </row>
    <row r="6" spans="1:66" outlineLevel="1">
      <c r="A6" s="341" t="s">
        <v>378</v>
      </c>
      <c r="B6" s="18"/>
      <c r="C6" s="18"/>
      <c r="D6" s="18"/>
      <c r="E6" s="18"/>
      <c r="F6" s="20"/>
      <c r="G6" s="18"/>
      <c r="H6" s="18"/>
      <c r="I6" s="18"/>
      <c r="J6" s="18"/>
      <c r="K6" s="20"/>
      <c r="L6" s="18"/>
      <c r="M6" s="18"/>
      <c r="N6" s="18"/>
      <c r="O6" s="19"/>
      <c r="P6" s="20"/>
      <c r="Q6" s="18"/>
      <c r="R6" s="18"/>
      <c r="S6" s="18"/>
      <c r="T6" s="19"/>
      <c r="U6" s="20"/>
      <c r="V6" s="18"/>
      <c r="W6" s="18"/>
      <c r="X6" s="19"/>
      <c r="Y6" s="19"/>
      <c r="Z6" s="194"/>
      <c r="AA6" s="18"/>
      <c r="AB6" s="18"/>
      <c r="AC6" s="41"/>
      <c r="AD6" s="19"/>
      <c r="AE6" s="20"/>
      <c r="AF6" s="41"/>
      <c r="AG6" s="18"/>
      <c r="AH6" s="41"/>
      <c r="AI6" s="19"/>
      <c r="AJ6" s="449"/>
      <c r="AK6" s="41"/>
      <c r="AL6" s="18"/>
      <c r="AM6" s="41">
        <v>1064</v>
      </c>
      <c r="AN6" s="19"/>
      <c r="AO6" s="20"/>
      <c r="AP6" s="41"/>
      <c r="AQ6" s="18"/>
      <c r="AR6" s="41">
        <v>1338</v>
      </c>
      <c r="AS6" s="19"/>
      <c r="AT6" s="20">
        <v>5260</v>
      </c>
      <c r="AU6" s="41">
        <v>1336</v>
      </c>
      <c r="AV6" s="41">
        <v>1389</v>
      </c>
      <c r="AW6" s="41">
        <v>1429</v>
      </c>
      <c r="AX6" s="19">
        <f>AY6-SUM(AU6:AW6)</f>
        <v>1503</v>
      </c>
      <c r="AY6" s="20">
        <v>5657</v>
      </c>
      <c r="AZ6" s="41">
        <v>1477</v>
      </c>
      <c r="BA6" s="41">
        <v>1521</v>
      </c>
      <c r="BB6" s="41">
        <v>1559</v>
      </c>
      <c r="BC6" s="19">
        <f>BD6-SUM(AZ6:BB6)</f>
        <v>1561</v>
      </c>
      <c r="BD6" s="20">
        <v>6118</v>
      </c>
      <c r="BE6" s="41">
        <v>1510</v>
      </c>
      <c r="BF6" s="41">
        <v>1611</v>
      </c>
      <c r="BG6" s="41"/>
      <c r="BH6" s="19"/>
      <c r="BI6" s="43"/>
      <c r="BJ6" s="517"/>
      <c r="BK6" s="368"/>
      <c r="BL6" s="368"/>
      <c r="BM6" s="112"/>
    </row>
    <row r="7" spans="1:66" outlineLevel="1">
      <c r="A7" s="1" t="s">
        <v>4</v>
      </c>
      <c r="B7" s="21"/>
      <c r="C7" s="21"/>
      <c r="D7" s="21"/>
      <c r="E7" s="21"/>
      <c r="F7" s="22"/>
      <c r="G7" s="34"/>
      <c r="H7" s="35"/>
      <c r="I7" s="35"/>
      <c r="J7" s="35"/>
      <c r="K7" s="36"/>
      <c r="L7" s="34"/>
      <c r="M7" s="35"/>
      <c r="N7" s="35"/>
      <c r="O7" s="35"/>
      <c r="P7" s="36"/>
      <c r="Q7" s="34"/>
      <c r="R7" s="35"/>
      <c r="S7" s="35"/>
      <c r="T7" s="35"/>
      <c r="U7" s="36"/>
      <c r="V7" s="34"/>
      <c r="W7" s="35"/>
      <c r="X7" s="35"/>
      <c r="Y7" s="35"/>
      <c r="Z7" s="36"/>
      <c r="AA7" s="34" t="e">
        <f t="shared" ref="AA7:AO7" si="12">AA6/V6-1</f>
        <v>#DIV/0!</v>
      </c>
      <c r="AB7" s="34" t="e">
        <f t="shared" si="12"/>
        <v>#DIV/0!</v>
      </c>
      <c r="AC7" s="232" t="e">
        <f t="shared" si="12"/>
        <v>#DIV/0!</v>
      </c>
      <c r="AD7" s="32" t="e">
        <f t="shared" si="12"/>
        <v>#DIV/0!</v>
      </c>
      <c r="AE7" s="36" t="e">
        <f t="shared" si="12"/>
        <v>#DIV/0!</v>
      </c>
      <c r="AF7" s="32" t="e">
        <f t="shared" si="12"/>
        <v>#DIV/0!</v>
      </c>
      <c r="AG7" s="34" t="e">
        <f t="shared" si="12"/>
        <v>#DIV/0!</v>
      </c>
      <c r="AH7" s="232" t="e">
        <f t="shared" si="12"/>
        <v>#DIV/0!</v>
      </c>
      <c r="AI7" s="32" t="e">
        <f t="shared" si="12"/>
        <v>#DIV/0!</v>
      </c>
      <c r="AJ7" s="36" t="e">
        <f t="shared" si="12"/>
        <v>#DIV/0!</v>
      </c>
      <c r="AK7" s="32" t="e">
        <f t="shared" si="12"/>
        <v>#DIV/0!</v>
      </c>
      <c r="AL7" s="34" t="e">
        <f t="shared" si="12"/>
        <v>#DIV/0!</v>
      </c>
      <c r="AM7" s="232" t="e">
        <f t="shared" si="12"/>
        <v>#DIV/0!</v>
      </c>
      <c r="AN7" s="32" t="e">
        <f t="shared" si="12"/>
        <v>#DIV/0!</v>
      </c>
      <c r="AO7" s="36" t="e">
        <f t="shared" si="12"/>
        <v>#DIV/0!</v>
      </c>
      <c r="AP7" s="32" t="e">
        <f t="shared" ref="AP7" si="13">AP6/AK6-1</f>
        <v>#DIV/0!</v>
      </c>
      <c r="AQ7" s="34" t="e">
        <f t="shared" ref="AQ7" si="14">AQ6/AL6-1</f>
        <v>#DIV/0!</v>
      </c>
      <c r="AR7" s="232">
        <f t="shared" ref="AR7" si="15">AR6/AM6-1</f>
        <v>0.25751879699248126</v>
      </c>
      <c r="AS7" s="32" t="e">
        <f t="shared" ref="AS7" si="16">AS6/AN6-1</f>
        <v>#DIV/0!</v>
      </c>
      <c r="AT7" s="36" t="e">
        <f t="shared" ref="AT7:AU7" si="17">AT6/AO6-1</f>
        <v>#DIV/0!</v>
      </c>
      <c r="AU7" s="32" t="e">
        <f t="shared" si="17"/>
        <v>#DIV/0!</v>
      </c>
      <c r="AV7" s="232" t="e">
        <f t="shared" ref="AV7" si="18">AV6/AQ6-1</f>
        <v>#DIV/0!</v>
      </c>
      <c r="AW7" s="232">
        <f t="shared" ref="AW7" si="19">AW6/AR6-1</f>
        <v>6.8011958146487306E-2</v>
      </c>
      <c r="AX7" s="32" t="e">
        <f t="shared" ref="AX7" si="20">AX6/AS6-1</f>
        <v>#DIV/0!</v>
      </c>
      <c r="AY7" s="36">
        <f t="shared" ref="AY7:BB7" si="21">AY6/AT6-1</f>
        <v>7.5475285171102691E-2</v>
      </c>
      <c r="AZ7" s="32">
        <f t="shared" si="21"/>
        <v>0.10553892215568861</v>
      </c>
      <c r="BA7" s="232">
        <f t="shared" si="21"/>
        <v>9.5032397408207236E-2</v>
      </c>
      <c r="BB7" s="232">
        <f t="shared" si="21"/>
        <v>9.0972708187543772E-2</v>
      </c>
      <c r="BC7" s="32">
        <f t="shared" ref="BC7" si="22">BC6/AX6-1</f>
        <v>3.8589487691284008E-2</v>
      </c>
      <c r="BD7" s="36">
        <f t="shared" ref="BD7:BF7" si="23">BD6/AY6-1</f>
        <v>8.1491956867597581E-2</v>
      </c>
      <c r="BE7" s="32">
        <f t="shared" si="23"/>
        <v>2.2342586323629066E-2</v>
      </c>
      <c r="BF7" s="232">
        <f t="shared" si="23"/>
        <v>5.9171597633136175E-2</v>
      </c>
      <c r="BG7" s="232"/>
      <c r="BH7" s="32"/>
      <c r="BI7" s="137"/>
      <c r="BJ7" s="516"/>
      <c r="BL7" s="368"/>
      <c r="BM7" s="488"/>
    </row>
    <row r="8" spans="1:66" outlineLevel="1">
      <c r="A8" s="1"/>
      <c r="B8" s="21"/>
      <c r="C8" s="21"/>
      <c r="D8" s="21"/>
      <c r="E8" s="21"/>
      <c r="F8" s="22"/>
      <c r="G8" s="21"/>
      <c r="H8" s="21"/>
      <c r="I8" s="21"/>
      <c r="J8" s="21"/>
      <c r="K8" s="22"/>
      <c r="L8" s="21"/>
      <c r="M8" s="21"/>
      <c r="N8" s="21"/>
      <c r="O8" s="21"/>
      <c r="P8" s="22"/>
      <c r="Q8" s="21"/>
      <c r="R8" s="21"/>
      <c r="S8" s="21"/>
      <c r="T8" s="21"/>
      <c r="U8" s="22"/>
      <c r="V8" s="21"/>
      <c r="W8" s="21"/>
      <c r="X8" s="21"/>
      <c r="Y8" s="21"/>
      <c r="Z8" s="22"/>
      <c r="AA8" s="21"/>
      <c r="AB8" s="21"/>
      <c r="AC8" s="42"/>
      <c r="AD8" s="42"/>
      <c r="AE8" s="22"/>
      <c r="AF8" s="42"/>
      <c r="AG8" s="21"/>
      <c r="AH8" s="42"/>
      <c r="AI8" s="42"/>
      <c r="AJ8" s="22"/>
      <c r="AK8" s="42"/>
      <c r="AL8" s="21"/>
      <c r="AM8" s="42"/>
      <c r="AN8" s="42"/>
      <c r="AO8" s="22"/>
      <c r="AP8" s="42"/>
      <c r="AQ8" s="21"/>
      <c r="AR8" s="42"/>
      <c r="AS8" s="42"/>
      <c r="AT8" s="22"/>
      <c r="AU8" s="42"/>
      <c r="AV8" s="42"/>
      <c r="AW8" s="42"/>
      <c r="AX8" s="42"/>
      <c r="AY8" s="22"/>
      <c r="AZ8" s="42"/>
      <c r="BA8" s="42"/>
      <c r="BB8" s="42"/>
      <c r="BC8" s="42"/>
      <c r="BD8" s="22"/>
      <c r="BE8" s="42"/>
      <c r="BF8" s="42"/>
      <c r="BG8" s="42"/>
      <c r="BH8" s="42"/>
      <c r="BI8" s="22"/>
      <c r="BL8" s="368"/>
      <c r="BM8" s="112"/>
    </row>
    <row r="9" spans="1:66" outlineLevel="1">
      <c r="A9" s="6" t="s">
        <v>65</v>
      </c>
      <c r="B9" s="18"/>
      <c r="C9" s="18"/>
      <c r="D9" s="18"/>
      <c r="E9" s="19"/>
      <c r="F9" s="20"/>
      <c r="G9" s="18"/>
      <c r="H9" s="18"/>
      <c r="I9" s="18"/>
      <c r="J9" s="19"/>
      <c r="K9" s="20"/>
      <c r="L9" s="18"/>
      <c r="M9" s="18"/>
      <c r="N9" s="18"/>
      <c r="O9" s="19"/>
      <c r="P9" s="20"/>
      <c r="Q9" s="18"/>
      <c r="R9" s="18"/>
      <c r="S9" s="18"/>
      <c r="T9" s="19"/>
      <c r="U9" s="20"/>
      <c r="V9" s="18"/>
      <c r="W9" s="18"/>
      <c r="X9" s="19"/>
      <c r="Y9" s="19"/>
      <c r="Z9" s="194"/>
      <c r="AA9" s="18"/>
      <c r="AB9" s="18"/>
      <c r="AC9" s="41"/>
      <c r="AD9" s="19"/>
      <c r="AE9" s="20"/>
      <c r="AF9" s="41"/>
      <c r="AG9" s="18"/>
      <c r="AH9" s="41"/>
      <c r="AI9" s="19"/>
      <c r="AJ9" s="194"/>
      <c r="AK9" s="41"/>
      <c r="AL9" s="18"/>
      <c r="AM9" s="41">
        <v>460</v>
      </c>
      <c r="AN9" s="19"/>
      <c r="AO9" s="20"/>
      <c r="AP9" s="41"/>
      <c r="AQ9" s="18"/>
      <c r="AR9" s="41">
        <v>530</v>
      </c>
      <c r="AS9" s="19"/>
      <c r="AT9" s="20">
        <v>1959</v>
      </c>
      <c r="AU9" s="41">
        <v>504</v>
      </c>
      <c r="AV9" s="41">
        <v>583</v>
      </c>
      <c r="AW9" s="41">
        <v>622</v>
      </c>
      <c r="AX9" s="19">
        <f>AY9-SUM(AU9:AW9)</f>
        <v>646</v>
      </c>
      <c r="AY9" s="20">
        <v>2355</v>
      </c>
      <c r="AZ9" s="41">
        <v>630</v>
      </c>
      <c r="BA9" s="41">
        <v>693</v>
      </c>
      <c r="BB9" s="41">
        <v>621</v>
      </c>
      <c r="BC9" s="19">
        <f>BD9-SUM(AZ9:BB9)</f>
        <v>667</v>
      </c>
      <c r="BD9" s="20">
        <v>2611</v>
      </c>
      <c r="BE9" s="41">
        <v>668</v>
      </c>
      <c r="BF9" s="41">
        <v>658</v>
      </c>
      <c r="BG9" s="41"/>
      <c r="BH9" s="19"/>
      <c r="BI9" s="43"/>
      <c r="BJ9" s="517"/>
      <c r="BK9" s="368"/>
      <c r="BL9" s="368"/>
      <c r="BM9" s="112"/>
    </row>
    <row r="10" spans="1:66" outlineLevel="1">
      <c r="A10" s="1" t="s">
        <v>4</v>
      </c>
      <c r="B10" s="18"/>
      <c r="C10" s="18"/>
      <c r="D10" s="18"/>
      <c r="E10" s="19"/>
      <c r="F10" s="20"/>
      <c r="G10" s="18"/>
      <c r="H10" s="18"/>
      <c r="I10" s="18"/>
      <c r="J10" s="19"/>
      <c r="K10" s="20"/>
      <c r="L10" s="18"/>
      <c r="M10" s="18"/>
      <c r="N10" s="18"/>
      <c r="O10" s="19"/>
      <c r="P10" s="20"/>
      <c r="Q10" s="18"/>
      <c r="R10" s="18"/>
      <c r="S10" s="18"/>
      <c r="T10" s="19"/>
      <c r="U10" s="20"/>
      <c r="V10" s="18"/>
      <c r="W10" s="18"/>
      <c r="X10" s="19"/>
      <c r="Y10" s="19"/>
      <c r="Z10" s="194"/>
      <c r="AA10" s="34" t="e">
        <f t="shared" ref="AA10:AO10" si="24">AA9/V9-1</f>
        <v>#DIV/0!</v>
      </c>
      <c r="AB10" s="34" t="e">
        <f t="shared" si="24"/>
        <v>#DIV/0!</v>
      </c>
      <c r="AC10" s="232" t="e">
        <f t="shared" si="24"/>
        <v>#DIV/0!</v>
      </c>
      <c r="AD10" s="32" t="e">
        <f t="shared" si="24"/>
        <v>#DIV/0!</v>
      </c>
      <c r="AE10" s="36" t="e">
        <f t="shared" si="24"/>
        <v>#DIV/0!</v>
      </c>
      <c r="AF10" s="32" t="e">
        <f t="shared" si="24"/>
        <v>#DIV/0!</v>
      </c>
      <c r="AG10" s="34" t="e">
        <f t="shared" si="24"/>
        <v>#DIV/0!</v>
      </c>
      <c r="AH10" s="232" t="e">
        <f t="shared" si="24"/>
        <v>#DIV/0!</v>
      </c>
      <c r="AI10" s="32" t="e">
        <f t="shared" si="24"/>
        <v>#DIV/0!</v>
      </c>
      <c r="AJ10" s="36" t="e">
        <f t="shared" si="24"/>
        <v>#DIV/0!</v>
      </c>
      <c r="AK10" s="32" t="e">
        <f t="shared" si="24"/>
        <v>#DIV/0!</v>
      </c>
      <c r="AL10" s="34" t="e">
        <f t="shared" si="24"/>
        <v>#DIV/0!</v>
      </c>
      <c r="AM10" s="232" t="e">
        <f t="shared" si="24"/>
        <v>#DIV/0!</v>
      </c>
      <c r="AN10" s="32" t="e">
        <f t="shared" si="24"/>
        <v>#DIV/0!</v>
      </c>
      <c r="AO10" s="36" t="e">
        <f t="shared" si="24"/>
        <v>#DIV/0!</v>
      </c>
      <c r="AP10" s="32" t="e">
        <f t="shared" ref="AP10" si="25">AP9/AK9-1</f>
        <v>#DIV/0!</v>
      </c>
      <c r="AQ10" s="34" t="e">
        <f t="shared" ref="AQ10" si="26">AQ9/AL9-1</f>
        <v>#DIV/0!</v>
      </c>
      <c r="AR10" s="232">
        <f t="shared" ref="AR10" si="27">AR9/AM9-1</f>
        <v>0.15217391304347827</v>
      </c>
      <c r="AS10" s="32" t="e">
        <f t="shared" ref="AS10" si="28">AS9/AN9-1</f>
        <v>#DIV/0!</v>
      </c>
      <c r="AT10" s="36" t="e">
        <f t="shared" ref="AT10:AU10" si="29">AT9/AO9-1</f>
        <v>#DIV/0!</v>
      </c>
      <c r="AU10" s="32" t="e">
        <f t="shared" si="29"/>
        <v>#DIV/0!</v>
      </c>
      <c r="AV10" s="232" t="e">
        <f t="shared" ref="AV10" si="30">AV9/AQ9-1</f>
        <v>#DIV/0!</v>
      </c>
      <c r="AW10" s="232">
        <f t="shared" ref="AW10" si="31">AW9/AR9-1</f>
        <v>0.17358490566037732</v>
      </c>
      <c r="AX10" s="32" t="e">
        <f t="shared" ref="AX10" si="32">AX9/AS9-1</f>
        <v>#DIV/0!</v>
      </c>
      <c r="AY10" s="36">
        <f t="shared" ref="AY10:BB10" si="33">AY9/AT9-1</f>
        <v>0.20214395099540572</v>
      </c>
      <c r="AZ10" s="32">
        <f t="shared" si="33"/>
        <v>0.25</v>
      </c>
      <c r="BA10" s="232">
        <f t="shared" si="33"/>
        <v>0.18867924528301883</v>
      </c>
      <c r="BB10" s="232">
        <f t="shared" si="33"/>
        <v>-1.607717041800627E-3</v>
      </c>
      <c r="BC10" s="32">
        <f t="shared" ref="BC10" si="34">BC9/AX9-1</f>
        <v>3.2507739938080427E-2</v>
      </c>
      <c r="BD10" s="36">
        <f t="shared" ref="BD10:BF10" si="35">BD9/AY9-1</f>
        <v>0.1087048832271762</v>
      </c>
      <c r="BE10" s="32">
        <f t="shared" si="35"/>
        <v>6.0317460317460325E-2</v>
      </c>
      <c r="BF10" s="232">
        <f t="shared" si="35"/>
        <v>-5.0505050505050497E-2</v>
      </c>
      <c r="BG10" s="232"/>
      <c r="BH10" s="32"/>
      <c r="BI10" s="137"/>
      <c r="BJ10" s="516"/>
      <c r="BL10" s="348"/>
      <c r="BM10" s="489"/>
      <c r="BN10" s="261"/>
    </row>
    <row r="11" spans="1:66" outlineLevel="1">
      <c r="A11" s="6"/>
      <c r="B11" s="18"/>
      <c r="C11" s="18"/>
      <c r="D11" s="18"/>
      <c r="E11" s="19"/>
      <c r="F11" s="20"/>
      <c r="G11" s="18"/>
      <c r="H11" s="18"/>
      <c r="I11" s="18"/>
      <c r="J11" s="19"/>
      <c r="K11" s="20"/>
      <c r="L11" s="18"/>
      <c r="M11" s="18"/>
      <c r="N11" s="18"/>
      <c r="O11" s="19"/>
      <c r="P11" s="20"/>
      <c r="Q11" s="18"/>
      <c r="R11" s="18"/>
      <c r="S11" s="18"/>
      <c r="T11" s="19"/>
      <c r="U11" s="20"/>
      <c r="V11" s="18"/>
      <c r="W11" s="18"/>
      <c r="X11" s="18"/>
      <c r="Y11" s="19"/>
      <c r="Z11" s="20"/>
      <c r="AA11" s="18"/>
      <c r="AB11" s="21"/>
      <c r="AC11" s="21"/>
      <c r="AD11" s="21"/>
      <c r="AE11" s="22"/>
      <c r="AF11" s="21"/>
      <c r="AG11" s="21"/>
      <c r="AH11" s="21"/>
      <c r="AI11" s="21"/>
      <c r="AJ11" s="22"/>
      <c r="AK11" s="21"/>
      <c r="AL11" s="21"/>
      <c r="AM11" s="21"/>
      <c r="AN11" s="21"/>
      <c r="AO11" s="22"/>
      <c r="AP11" s="21"/>
      <c r="AQ11" s="21"/>
      <c r="AR11" s="21"/>
      <c r="AS11" s="21"/>
      <c r="AT11" s="22"/>
      <c r="AU11" s="21"/>
      <c r="AV11" s="21"/>
      <c r="AW11" s="21"/>
      <c r="AX11" s="21"/>
      <c r="AY11" s="22"/>
      <c r="AZ11" s="21"/>
      <c r="BA11" s="21"/>
      <c r="BB11" s="21"/>
      <c r="BC11" s="21"/>
      <c r="BD11" s="22"/>
      <c r="BE11" s="21"/>
      <c r="BF11" s="21"/>
      <c r="BG11" s="21"/>
      <c r="BH11" s="21"/>
      <c r="BI11" s="22"/>
      <c r="BM11" s="434"/>
      <c r="BN11" s="261"/>
    </row>
    <row r="12" spans="1:66">
      <c r="A12" s="8" t="s">
        <v>0</v>
      </c>
      <c r="B12" s="29"/>
      <c r="C12" s="29"/>
      <c r="D12" s="29"/>
      <c r="E12" s="23"/>
      <c r="F12" s="30"/>
      <c r="G12" s="29"/>
      <c r="H12" s="29"/>
      <c r="I12" s="29"/>
      <c r="J12" s="23"/>
      <c r="K12" s="30"/>
      <c r="L12" s="29"/>
      <c r="M12" s="29"/>
      <c r="N12" s="29"/>
      <c r="O12" s="23"/>
      <c r="P12" s="30"/>
      <c r="Q12" s="29"/>
      <c r="R12" s="29"/>
      <c r="S12" s="29"/>
      <c r="T12" s="23"/>
      <c r="U12" s="30"/>
      <c r="V12" s="23"/>
      <c r="W12" s="23"/>
      <c r="X12" s="29"/>
      <c r="Y12" s="23"/>
      <c r="Z12" s="30"/>
      <c r="AA12" s="23"/>
      <c r="AB12" s="23"/>
      <c r="AC12" s="23"/>
      <c r="AD12" s="95"/>
      <c r="AE12" s="30">
        <v>21989</v>
      </c>
      <c r="AF12" s="23"/>
      <c r="AG12" s="23"/>
      <c r="AH12" s="23"/>
      <c r="AI12" s="95"/>
      <c r="AJ12" s="30">
        <v>21152</v>
      </c>
      <c r="AK12" s="29">
        <v>5476</v>
      </c>
      <c r="AL12" s="29">
        <v>5627</v>
      </c>
      <c r="AM12" s="29">
        <v>5718</v>
      </c>
      <c r="AN12" s="95">
        <f>AO12-SUM(AK12:AM12)</f>
        <v>6231</v>
      </c>
      <c r="AO12" s="30">
        <v>23052</v>
      </c>
      <c r="AP12" s="29">
        <v>6120</v>
      </c>
      <c r="AQ12" s="29">
        <v>6384</v>
      </c>
      <c r="AR12" s="29">
        <v>6629</v>
      </c>
      <c r="AS12" s="95">
        <f>AT12-SUM(AP12:AR12)</f>
        <v>7120</v>
      </c>
      <c r="AT12" s="30">
        <v>26253</v>
      </c>
      <c r="AU12" s="95">
        <f>AU3+AU6+AU9</f>
        <v>6673</v>
      </c>
      <c r="AV12" s="95">
        <f>AV3+AV6+AV9</f>
        <v>6999</v>
      </c>
      <c r="AW12" s="95">
        <f>AW3+AW6+AW9</f>
        <v>7075</v>
      </c>
      <c r="AX12" s="95">
        <f>AY12-SUM(AU12:AW12)</f>
        <v>7537</v>
      </c>
      <c r="AY12" s="202">
        <f>AY3+AY6+AY9</f>
        <v>28284</v>
      </c>
      <c r="AZ12" s="95">
        <f>AZ3+AZ6+AZ9</f>
        <v>7217</v>
      </c>
      <c r="BA12" s="95">
        <f>BA3+BA6+BA9</f>
        <v>7622</v>
      </c>
      <c r="BB12" s="95">
        <f>BB3+BB6+BB9</f>
        <v>7621</v>
      </c>
      <c r="BC12" s="95">
        <f>BD12-SUM(AZ12:BB12)</f>
        <v>7736</v>
      </c>
      <c r="BD12" s="202">
        <f>BD3+BD6+BD9</f>
        <v>30196</v>
      </c>
      <c r="BE12" s="95">
        <f>BE3+BE6+BE9</f>
        <v>7602</v>
      </c>
      <c r="BF12" s="95">
        <f>BF3+BF6+BF9</f>
        <v>8210</v>
      </c>
      <c r="BG12" s="23">
        <f t="shared" ref="BG12" si="36">BB12*(1+BG13)</f>
        <v>8059.2075000000004</v>
      </c>
      <c r="BH12" s="95">
        <f>BI12-SUM(BE12:BG12)</f>
        <v>8287.5324999999975</v>
      </c>
      <c r="BI12" s="202">
        <f>BD12*(1+BI13)</f>
        <v>32158.739999999998</v>
      </c>
      <c r="BJ12" s="348"/>
      <c r="BK12" s="348"/>
      <c r="BL12" s="428">
        <f>SUM(BG12:BH12)</f>
        <v>16346.739999999998</v>
      </c>
      <c r="BM12" s="96">
        <f>SUM(BB12:BC12)</f>
        <v>15357</v>
      </c>
      <c r="BN12" s="335">
        <f>BL12/BM12-1</f>
        <v>6.4448785570098144E-2</v>
      </c>
    </row>
    <row r="13" spans="1:66">
      <c r="A13" s="1" t="s">
        <v>4</v>
      </c>
      <c r="B13" s="232"/>
      <c r="C13" s="33"/>
      <c r="D13" s="33"/>
      <c r="E13" s="33"/>
      <c r="F13" s="137">
        <v>-1</v>
      </c>
      <c r="G13" s="232" t="e">
        <f t="shared" ref="G13:AQ13" si="37">G12/B12-1</f>
        <v>#DIV/0!</v>
      </c>
      <c r="H13" s="33" t="e">
        <f t="shared" si="37"/>
        <v>#DIV/0!</v>
      </c>
      <c r="I13" s="33" t="e">
        <f t="shared" si="37"/>
        <v>#DIV/0!</v>
      </c>
      <c r="J13" s="33" t="e">
        <f t="shared" si="37"/>
        <v>#DIV/0!</v>
      </c>
      <c r="K13" s="137" t="e">
        <f t="shared" si="37"/>
        <v>#DIV/0!</v>
      </c>
      <c r="L13" s="232" t="e">
        <f t="shared" si="37"/>
        <v>#DIV/0!</v>
      </c>
      <c r="M13" s="33" t="e">
        <f t="shared" si="37"/>
        <v>#DIV/0!</v>
      </c>
      <c r="N13" s="33" t="e">
        <f t="shared" si="37"/>
        <v>#DIV/0!</v>
      </c>
      <c r="O13" s="33" t="e">
        <f t="shared" si="37"/>
        <v>#DIV/0!</v>
      </c>
      <c r="P13" s="137" t="e">
        <f t="shared" si="37"/>
        <v>#DIV/0!</v>
      </c>
      <c r="Q13" s="232" t="e">
        <f t="shared" si="37"/>
        <v>#DIV/0!</v>
      </c>
      <c r="R13" s="33" t="e">
        <f t="shared" si="37"/>
        <v>#DIV/0!</v>
      </c>
      <c r="S13" s="33" t="e">
        <f t="shared" si="37"/>
        <v>#DIV/0!</v>
      </c>
      <c r="T13" s="33" t="e">
        <f t="shared" si="37"/>
        <v>#DIV/0!</v>
      </c>
      <c r="U13" s="137" t="e">
        <f t="shared" si="37"/>
        <v>#DIV/0!</v>
      </c>
      <c r="V13" s="232" t="e">
        <f t="shared" si="37"/>
        <v>#DIV/0!</v>
      </c>
      <c r="W13" s="33" t="e">
        <f t="shared" si="37"/>
        <v>#DIV/0!</v>
      </c>
      <c r="X13" s="33" t="e">
        <f t="shared" si="37"/>
        <v>#DIV/0!</v>
      </c>
      <c r="Y13" s="33" t="e">
        <f t="shared" si="37"/>
        <v>#DIV/0!</v>
      </c>
      <c r="Z13" s="137" t="e">
        <f t="shared" si="37"/>
        <v>#DIV/0!</v>
      </c>
      <c r="AA13" s="232" t="e">
        <f t="shared" si="37"/>
        <v>#DIV/0!</v>
      </c>
      <c r="AB13" s="33" t="e">
        <f t="shared" si="37"/>
        <v>#DIV/0!</v>
      </c>
      <c r="AC13" s="33" t="e">
        <f t="shared" si="37"/>
        <v>#DIV/0!</v>
      </c>
      <c r="AD13" s="232" t="e">
        <f t="shared" si="37"/>
        <v>#DIV/0!</v>
      </c>
      <c r="AE13" s="137" t="e">
        <f t="shared" si="37"/>
        <v>#DIV/0!</v>
      </c>
      <c r="AF13" s="232" t="e">
        <f t="shared" si="37"/>
        <v>#DIV/0!</v>
      </c>
      <c r="AG13" s="33" t="e">
        <f t="shared" si="37"/>
        <v>#DIV/0!</v>
      </c>
      <c r="AH13" s="33" t="e">
        <f t="shared" si="37"/>
        <v>#DIV/0!</v>
      </c>
      <c r="AI13" s="232" t="e">
        <f t="shared" si="37"/>
        <v>#DIV/0!</v>
      </c>
      <c r="AJ13" s="137">
        <f t="shared" si="37"/>
        <v>-3.8064486788848995E-2</v>
      </c>
      <c r="AK13" s="232" t="e">
        <f t="shared" si="37"/>
        <v>#DIV/0!</v>
      </c>
      <c r="AL13" s="33" t="e">
        <f t="shared" si="37"/>
        <v>#DIV/0!</v>
      </c>
      <c r="AM13" s="33" t="e">
        <f t="shared" si="37"/>
        <v>#DIV/0!</v>
      </c>
      <c r="AN13" s="232" t="e">
        <f t="shared" si="37"/>
        <v>#DIV/0!</v>
      </c>
      <c r="AO13" s="137">
        <f t="shared" si="37"/>
        <v>8.9826021180030358E-2</v>
      </c>
      <c r="AP13" s="232">
        <f t="shared" si="37"/>
        <v>0.11760409057706345</v>
      </c>
      <c r="AQ13" s="33">
        <f t="shared" si="37"/>
        <v>0.13452994490847692</v>
      </c>
      <c r="AR13" s="33">
        <f>AR12/AM12-1</f>
        <v>0.15932144106330881</v>
      </c>
      <c r="AS13" s="232">
        <f t="shared" ref="AS13" si="38">AS12/AN12-1</f>
        <v>0.14267372813352597</v>
      </c>
      <c r="AT13" s="137">
        <f t="shared" ref="AT13:AV13" si="39">AT12/AO12-1</f>
        <v>0.13885996876626749</v>
      </c>
      <c r="AU13" s="232">
        <f t="shared" si="39"/>
        <v>9.0359477124182908E-2</v>
      </c>
      <c r="AV13" s="33">
        <f t="shared" si="39"/>
        <v>9.6334586466165328E-2</v>
      </c>
      <c r="AW13" s="33">
        <f>AW12/AR12-1</f>
        <v>6.7280132750037636E-2</v>
      </c>
      <c r="AX13" s="232">
        <f t="shared" ref="AX13" si="40">AX12/AS12-1</f>
        <v>5.856741573033708E-2</v>
      </c>
      <c r="AY13" s="137">
        <f t="shared" ref="AY13:BA13" si="41">AY12/AT12-1</f>
        <v>7.7362587132899119E-2</v>
      </c>
      <c r="AZ13" s="232">
        <f t="shared" si="41"/>
        <v>8.152255357410465E-2</v>
      </c>
      <c r="BA13" s="33">
        <f t="shared" si="41"/>
        <v>8.9012716102300438E-2</v>
      </c>
      <c r="BB13" s="33">
        <f>BB12/AW12-1</f>
        <v>7.7173144876325095E-2</v>
      </c>
      <c r="BC13" s="232">
        <f t="shared" ref="BC13" si="42">BC12/AX12-1</f>
        <v>2.6403078147804182E-2</v>
      </c>
      <c r="BD13" s="137">
        <f t="shared" ref="BD13:BF13" si="43">BD12/AY12-1</f>
        <v>6.7600056569085076E-2</v>
      </c>
      <c r="BE13" s="232">
        <f t="shared" si="43"/>
        <v>5.3346265761396783E-2</v>
      </c>
      <c r="BF13" s="33">
        <f t="shared" si="43"/>
        <v>7.7145106271319763E-2</v>
      </c>
      <c r="BG13" s="193">
        <v>5.7500000000000002E-2</v>
      </c>
      <c r="BH13" s="232">
        <f t="shared" ref="BH13" si="44">BH12/BC12-1</f>
        <v>7.1294273526369967E-2</v>
      </c>
      <c r="BI13" s="218">
        <v>6.5000000000000002E-2</v>
      </c>
      <c r="BJ13" s="474"/>
      <c r="BK13" s="474"/>
      <c r="BL13" s="474">
        <f>SUM(BE12:BF12)</f>
        <v>15812</v>
      </c>
      <c r="BM13" s="96">
        <f>SUM(AZ12:BA12)</f>
        <v>14839</v>
      </c>
      <c r="BN13" s="335">
        <f>BL13/BM13-1</f>
        <v>6.5570456230204188E-2</v>
      </c>
    </row>
    <row r="14" spans="1:66">
      <c r="A14" s="1"/>
      <c r="B14" s="34"/>
      <c r="C14" s="35"/>
      <c r="D14" s="35"/>
      <c r="E14" s="35"/>
      <c r="F14" s="36"/>
      <c r="G14" s="34"/>
      <c r="H14" s="35"/>
      <c r="I14" s="35"/>
      <c r="J14" s="35"/>
      <c r="K14" s="36"/>
      <c r="L14" s="34"/>
      <c r="M14" s="35"/>
      <c r="N14" s="35"/>
      <c r="O14" s="35"/>
      <c r="P14" s="36"/>
      <c r="Q14" s="34"/>
      <c r="R14" s="35"/>
      <c r="S14" s="35"/>
      <c r="T14" s="35"/>
      <c r="U14" s="36"/>
      <c r="V14" s="34"/>
      <c r="W14" s="35"/>
      <c r="X14" s="35"/>
      <c r="Y14" s="35"/>
      <c r="Z14" s="36"/>
      <c r="AA14" s="34"/>
      <c r="AB14" s="35"/>
      <c r="AC14" s="35"/>
      <c r="AD14" s="35"/>
      <c r="AE14" s="36"/>
      <c r="AF14" s="35"/>
      <c r="AG14" s="35"/>
      <c r="AH14" s="35"/>
      <c r="AI14" s="35"/>
      <c r="AJ14" s="36"/>
      <c r="AK14" s="35"/>
      <c r="AL14" s="35"/>
      <c r="AM14" s="35"/>
      <c r="AN14" s="35"/>
      <c r="AO14" s="36"/>
      <c r="AP14" s="35"/>
      <c r="AQ14" s="35"/>
      <c r="AR14" s="35"/>
      <c r="AS14" s="35"/>
      <c r="AT14" s="36"/>
      <c r="AU14" s="35"/>
      <c r="AV14" s="35"/>
      <c r="AW14" s="35"/>
      <c r="AX14" s="35"/>
      <c r="AY14" s="36"/>
      <c r="AZ14" s="35"/>
      <c r="BA14" s="35"/>
      <c r="BB14" s="35"/>
      <c r="BC14" s="35"/>
      <c r="BD14" s="36"/>
      <c r="BE14" s="35"/>
      <c r="BF14" s="35"/>
      <c r="BG14" s="35"/>
      <c r="BH14" s="35"/>
      <c r="BI14" s="36"/>
      <c r="BM14" s="31"/>
      <c r="BN14" s="261"/>
    </row>
    <row r="15" spans="1:66">
      <c r="A15" t="s">
        <v>233</v>
      </c>
      <c r="B15" s="41"/>
      <c r="C15" s="41"/>
      <c r="D15" s="41"/>
      <c r="E15" s="21"/>
      <c r="F15" s="43"/>
      <c r="G15" s="41"/>
      <c r="H15" s="41"/>
      <c r="I15" s="41"/>
      <c r="J15" s="21"/>
      <c r="K15" s="43"/>
      <c r="L15" s="41"/>
      <c r="M15" s="41"/>
      <c r="N15" s="41"/>
      <c r="O15" s="21"/>
      <c r="P15" s="43"/>
      <c r="Q15" s="41"/>
      <c r="R15" s="41"/>
      <c r="S15" s="41"/>
      <c r="T15" s="21"/>
      <c r="U15" s="43"/>
      <c r="V15" s="41"/>
      <c r="W15" s="41"/>
      <c r="X15" s="41"/>
      <c r="Y15" s="21"/>
      <c r="Z15" s="43"/>
      <c r="AA15" s="41"/>
      <c r="AB15" s="41"/>
      <c r="AC15" s="41"/>
      <c r="AD15" s="41"/>
      <c r="AE15" s="22"/>
      <c r="AF15" s="41"/>
      <c r="AG15" s="41"/>
      <c r="AH15" s="41"/>
      <c r="AI15" s="41"/>
      <c r="AJ15" s="22"/>
      <c r="AK15" s="41"/>
      <c r="AL15" s="41"/>
      <c r="AM15" s="41"/>
      <c r="AN15" s="41"/>
      <c r="AO15" s="22"/>
      <c r="AP15" s="41">
        <v>0</v>
      </c>
      <c r="AQ15" s="41">
        <v>0</v>
      </c>
      <c r="AR15" s="41">
        <v>57</v>
      </c>
      <c r="AS15" s="41">
        <v>-112</v>
      </c>
      <c r="AT15" s="22">
        <f>SUM(AP15:AS15)</f>
        <v>-55</v>
      </c>
      <c r="AU15" s="41">
        <v>0</v>
      </c>
      <c r="AV15" s="41">
        <v>0</v>
      </c>
      <c r="AW15" s="41">
        <v>0</v>
      </c>
      <c r="AX15" s="41">
        <v>0</v>
      </c>
      <c r="AY15" s="22">
        <f>SUM(AU15:AX15)</f>
        <v>0</v>
      </c>
      <c r="AZ15" s="41">
        <v>0</v>
      </c>
      <c r="BA15" s="41">
        <v>0</v>
      </c>
      <c r="BB15" s="41">
        <v>0</v>
      </c>
      <c r="BC15" s="41">
        <v>0</v>
      </c>
      <c r="BD15" s="22">
        <f>SUM(AZ15:BC15)</f>
        <v>0</v>
      </c>
      <c r="BE15" s="41">
        <v>0</v>
      </c>
      <c r="BF15" s="41">
        <v>0</v>
      </c>
      <c r="BG15" s="41">
        <v>0</v>
      </c>
      <c r="BH15" s="41">
        <v>0</v>
      </c>
      <c r="BI15" s="22">
        <f>SUM(BE15:BH15)</f>
        <v>0</v>
      </c>
      <c r="BM15" s="42"/>
      <c r="BN15" s="261"/>
    </row>
    <row r="16" spans="1:66">
      <c r="A16" s="8" t="s">
        <v>293</v>
      </c>
      <c r="B16" s="23">
        <f>B12+B15</f>
        <v>0</v>
      </c>
      <c r="C16" s="23">
        <f>C12+C15</f>
        <v>0</v>
      </c>
      <c r="D16" s="23">
        <f>D12+D15</f>
        <v>0</v>
      </c>
      <c r="E16" s="23">
        <f>+F16-SUM(B16,C16,D16)</f>
        <v>0</v>
      </c>
      <c r="F16" s="24">
        <f>F12+F15</f>
        <v>0</v>
      </c>
      <c r="G16" s="23">
        <f>G12+G15</f>
        <v>0</v>
      </c>
      <c r="H16" s="23">
        <f>H12+H15</f>
        <v>0</v>
      </c>
      <c r="I16" s="23">
        <f>I12+I15</f>
        <v>0</v>
      </c>
      <c r="J16" s="23">
        <f>+K16-SUM(G16,H16,I16)</f>
        <v>0</v>
      </c>
      <c r="K16" s="24">
        <f>K12+K15</f>
        <v>0</v>
      </c>
      <c r="L16" s="23">
        <f>L12+L15</f>
        <v>0</v>
      </c>
      <c r="M16" s="23">
        <f>M12+M15</f>
        <v>0</v>
      </c>
      <c r="N16" s="23">
        <f>N12+N15</f>
        <v>0</v>
      </c>
      <c r="O16" s="23">
        <f>+P16-SUM(L16,M16,N16)</f>
        <v>0</v>
      </c>
      <c r="P16" s="24">
        <f>P12+P15</f>
        <v>0</v>
      </c>
      <c r="Q16" s="23">
        <f>Q12+Q15</f>
        <v>0</v>
      </c>
      <c r="R16" s="23">
        <f>R12+R15</f>
        <v>0</v>
      </c>
      <c r="S16" s="23">
        <f>S12+S15</f>
        <v>0</v>
      </c>
      <c r="T16" s="23">
        <f>+U16-SUM(Q16,R16,S16)</f>
        <v>0</v>
      </c>
      <c r="U16" s="24">
        <f>U12+U15</f>
        <v>0</v>
      </c>
      <c r="V16" s="23">
        <f t="shared" ref="V16:AF16" si="45">V12+V15</f>
        <v>0</v>
      </c>
      <c r="W16" s="23">
        <f t="shared" si="45"/>
        <v>0</v>
      </c>
      <c r="X16" s="23">
        <f t="shared" si="45"/>
        <v>0</v>
      </c>
      <c r="Y16" s="23">
        <f t="shared" si="45"/>
        <v>0</v>
      </c>
      <c r="Z16" s="24">
        <f t="shared" si="45"/>
        <v>0</v>
      </c>
      <c r="AA16" s="23">
        <f t="shared" si="45"/>
        <v>0</v>
      </c>
      <c r="AB16" s="23">
        <f t="shared" si="45"/>
        <v>0</v>
      </c>
      <c r="AC16" s="23">
        <f t="shared" si="45"/>
        <v>0</v>
      </c>
      <c r="AD16" s="23">
        <f t="shared" si="45"/>
        <v>0</v>
      </c>
      <c r="AE16" s="24">
        <f t="shared" si="45"/>
        <v>21989</v>
      </c>
      <c r="AF16" s="23">
        <f t="shared" si="45"/>
        <v>0</v>
      </c>
      <c r="AG16" s="23">
        <f>AG12+AG15</f>
        <v>0</v>
      </c>
      <c r="AH16" s="23">
        <f t="shared" ref="AH16:AK16" si="46">AH12+AH15</f>
        <v>0</v>
      </c>
      <c r="AI16" s="23">
        <f t="shared" si="46"/>
        <v>0</v>
      </c>
      <c r="AJ16" s="24">
        <f t="shared" si="46"/>
        <v>21152</v>
      </c>
      <c r="AK16" s="23">
        <f t="shared" si="46"/>
        <v>5476</v>
      </c>
      <c r="AL16" s="23">
        <f>AL12+AL15</f>
        <v>5627</v>
      </c>
      <c r="AM16" s="23">
        <f t="shared" ref="AM16:AQ16" si="47">AM12+AM15</f>
        <v>5718</v>
      </c>
      <c r="AN16" s="23">
        <f t="shared" si="47"/>
        <v>6231</v>
      </c>
      <c r="AO16" s="24">
        <f t="shared" si="47"/>
        <v>23052</v>
      </c>
      <c r="AP16" s="23">
        <f t="shared" si="47"/>
        <v>6120</v>
      </c>
      <c r="AQ16" s="23">
        <f t="shared" si="47"/>
        <v>6384</v>
      </c>
      <c r="AR16" s="23">
        <f t="shared" ref="AR16:AV16" si="48">AR12+AR15</f>
        <v>6686</v>
      </c>
      <c r="AS16" s="23">
        <f t="shared" si="48"/>
        <v>7008</v>
      </c>
      <c r="AT16" s="24">
        <f t="shared" si="48"/>
        <v>26198</v>
      </c>
      <c r="AU16" s="23">
        <f t="shared" si="48"/>
        <v>6673</v>
      </c>
      <c r="AV16" s="23">
        <f t="shared" si="48"/>
        <v>6999</v>
      </c>
      <c r="AW16" s="23">
        <f t="shared" ref="AW16:BA16" si="49">AW12+AW15</f>
        <v>7075</v>
      </c>
      <c r="AX16" s="23">
        <f t="shared" si="49"/>
        <v>7537</v>
      </c>
      <c r="AY16" s="24">
        <f t="shared" si="49"/>
        <v>28284</v>
      </c>
      <c r="AZ16" s="23">
        <f t="shared" si="49"/>
        <v>7217</v>
      </c>
      <c r="BA16" s="23">
        <f t="shared" si="49"/>
        <v>7622</v>
      </c>
      <c r="BB16" s="23">
        <f t="shared" ref="BB16:BE16" si="50">BB12+BB15</f>
        <v>7621</v>
      </c>
      <c r="BC16" s="23">
        <f t="shared" si="50"/>
        <v>7736</v>
      </c>
      <c r="BD16" s="24">
        <f t="shared" si="50"/>
        <v>30196</v>
      </c>
      <c r="BE16" s="23">
        <f t="shared" si="50"/>
        <v>7602</v>
      </c>
      <c r="BF16" s="23">
        <f t="shared" ref="BF16:BG16" si="51">BF12+BF15</f>
        <v>8210</v>
      </c>
      <c r="BG16" s="23">
        <f t="shared" si="51"/>
        <v>8059.2075000000004</v>
      </c>
      <c r="BH16" s="23">
        <f t="shared" ref="BH16" si="52">BH12+BH15</f>
        <v>8287.5324999999975</v>
      </c>
      <c r="BI16" s="24">
        <f>BI12+BI15</f>
        <v>32158.739999999998</v>
      </c>
      <c r="BL16" s="257"/>
      <c r="BM16" s="96"/>
      <c r="BN16" s="261"/>
    </row>
    <row r="17" spans="1:66">
      <c r="A17" s="1" t="s">
        <v>4</v>
      </c>
      <c r="B17" s="34"/>
      <c r="C17" s="35"/>
      <c r="D17" s="35"/>
      <c r="E17" s="35"/>
      <c r="F17" s="36">
        <v>-1</v>
      </c>
      <c r="G17" s="34" t="e">
        <f t="shared" ref="G17:AR17" si="53">G16/B16-1</f>
        <v>#DIV/0!</v>
      </c>
      <c r="H17" s="35" t="e">
        <f t="shared" si="53"/>
        <v>#DIV/0!</v>
      </c>
      <c r="I17" s="35" t="e">
        <f t="shared" si="53"/>
        <v>#DIV/0!</v>
      </c>
      <c r="J17" s="35" t="e">
        <f t="shared" si="53"/>
        <v>#DIV/0!</v>
      </c>
      <c r="K17" s="36" t="e">
        <f t="shared" si="53"/>
        <v>#DIV/0!</v>
      </c>
      <c r="L17" s="34" t="e">
        <f t="shared" si="53"/>
        <v>#DIV/0!</v>
      </c>
      <c r="M17" s="35" t="e">
        <f t="shared" si="53"/>
        <v>#DIV/0!</v>
      </c>
      <c r="N17" s="35" t="e">
        <f t="shared" si="53"/>
        <v>#DIV/0!</v>
      </c>
      <c r="O17" s="35" t="e">
        <f t="shared" si="53"/>
        <v>#DIV/0!</v>
      </c>
      <c r="P17" s="36" t="e">
        <f t="shared" si="53"/>
        <v>#DIV/0!</v>
      </c>
      <c r="Q17" s="34" t="e">
        <f t="shared" si="53"/>
        <v>#DIV/0!</v>
      </c>
      <c r="R17" s="35" t="e">
        <f t="shared" si="53"/>
        <v>#DIV/0!</v>
      </c>
      <c r="S17" s="35" t="e">
        <f t="shared" si="53"/>
        <v>#DIV/0!</v>
      </c>
      <c r="T17" s="35" t="e">
        <f t="shared" si="53"/>
        <v>#DIV/0!</v>
      </c>
      <c r="U17" s="36" t="e">
        <f t="shared" si="53"/>
        <v>#DIV/0!</v>
      </c>
      <c r="V17" s="34" t="e">
        <f t="shared" si="53"/>
        <v>#DIV/0!</v>
      </c>
      <c r="W17" s="35" t="e">
        <f t="shared" si="53"/>
        <v>#DIV/0!</v>
      </c>
      <c r="X17" s="35" t="e">
        <f t="shared" si="53"/>
        <v>#DIV/0!</v>
      </c>
      <c r="Y17" s="35" t="e">
        <f t="shared" si="53"/>
        <v>#DIV/0!</v>
      </c>
      <c r="Z17" s="36" t="e">
        <f t="shared" si="53"/>
        <v>#DIV/0!</v>
      </c>
      <c r="AA17" s="34" t="e">
        <f t="shared" si="53"/>
        <v>#DIV/0!</v>
      </c>
      <c r="AB17" s="35" t="e">
        <f t="shared" si="53"/>
        <v>#DIV/0!</v>
      </c>
      <c r="AC17" s="34" t="e">
        <f t="shared" si="53"/>
        <v>#DIV/0!</v>
      </c>
      <c r="AD17" s="34" t="e">
        <f t="shared" si="53"/>
        <v>#DIV/0!</v>
      </c>
      <c r="AE17" s="36" t="e">
        <f t="shared" si="53"/>
        <v>#DIV/0!</v>
      </c>
      <c r="AF17" s="34" t="e">
        <f t="shared" si="53"/>
        <v>#DIV/0!</v>
      </c>
      <c r="AG17" s="34" t="e">
        <f t="shared" si="53"/>
        <v>#DIV/0!</v>
      </c>
      <c r="AH17" s="34" t="e">
        <f t="shared" si="53"/>
        <v>#DIV/0!</v>
      </c>
      <c r="AI17" s="34" t="e">
        <f t="shared" si="53"/>
        <v>#DIV/0!</v>
      </c>
      <c r="AJ17" s="36">
        <f t="shared" si="53"/>
        <v>-3.8064486788848995E-2</v>
      </c>
      <c r="AK17" s="34" t="e">
        <f t="shared" si="53"/>
        <v>#DIV/0!</v>
      </c>
      <c r="AL17" s="34" t="e">
        <f t="shared" si="53"/>
        <v>#DIV/0!</v>
      </c>
      <c r="AM17" s="34" t="e">
        <f t="shared" si="53"/>
        <v>#DIV/0!</v>
      </c>
      <c r="AN17" s="34" t="e">
        <f t="shared" si="53"/>
        <v>#DIV/0!</v>
      </c>
      <c r="AO17" s="36">
        <f t="shared" si="53"/>
        <v>8.9826021180030358E-2</v>
      </c>
      <c r="AP17" s="34">
        <f t="shared" si="53"/>
        <v>0.11760409057706345</v>
      </c>
      <c r="AQ17" s="34">
        <f t="shared" si="53"/>
        <v>0.13452994490847692</v>
      </c>
      <c r="AR17" s="34">
        <f t="shared" si="53"/>
        <v>0.16928996152500875</v>
      </c>
      <c r="AS17" s="34">
        <f t="shared" ref="AS17" si="54">AS16/AN16-1</f>
        <v>0.12469908521906592</v>
      </c>
      <c r="AT17" s="36">
        <f t="shared" ref="AT17:AW17" si="55">AT16/AO16-1</f>
        <v>0.13647405865000861</v>
      </c>
      <c r="AU17" s="34">
        <f t="shared" si="55"/>
        <v>9.0359477124182908E-2</v>
      </c>
      <c r="AV17" s="34">
        <f t="shared" si="55"/>
        <v>9.6334586466165328E-2</v>
      </c>
      <c r="AW17" s="34">
        <f t="shared" si="55"/>
        <v>5.8181274304516917E-2</v>
      </c>
      <c r="AX17" s="34">
        <f t="shared" ref="AX17" si="56">AX16/AS16-1</f>
        <v>7.5485159817351599E-2</v>
      </c>
      <c r="AY17" s="36">
        <f t="shared" ref="AY17:BB17" si="57">AY16/AT16-1</f>
        <v>7.9624398809069463E-2</v>
      </c>
      <c r="AZ17" s="34">
        <f t="shared" si="57"/>
        <v>8.152255357410465E-2</v>
      </c>
      <c r="BA17" s="34">
        <f t="shared" si="57"/>
        <v>8.9012716102300438E-2</v>
      </c>
      <c r="BB17" s="34">
        <f t="shared" si="57"/>
        <v>7.7173144876325095E-2</v>
      </c>
      <c r="BC17" s="34">
        <f t="shared" ref="BC17" si="58">BC16/AX16-1</f>
        <v>2.6403078147804182E-2</v>
      </c>
      <c r="BD17" s="36">
        <f t="shared" ref="BD17:BE17" si="59">BD16/AY16-1</f>
        <v>6.7600056569085076E-2</v>
      </c>
      <c r="BE17" s="34">
        <f t="shared" si="59"/>
        <v>5.3346265761396783E-2</v>
      </c>
      <c r="BF17" s="34">
        <f t="shared" ref="BF17:BG17" si="60">BF16/BA16-1</f>
        <v>7.7145106271319763E-2</v>
      </c>
      <c r="BG17" s="34">
        <f t="shared" si="60"/>
        <v>5.7500000000000107E-2</v>
      </c>
      <c r="BH17" s="34">
        <f t="shared" ref="BH17" si="61">BH16/BC16-1</f>
        <v>7.1294273526369967E-2</v>
      </c>
      <c r="BI17" s="36">
        <f t="shared" ref="BI17" si="62">BI16/BD16-1</f>
        <v>6.4999999999999947E-2</v>
      </c>
      <c r="BJ17" s="454" t="s">
        <v>520</v>
      </c>
      <c r="BK17" s="454"/>
      <c r="BM17" s="31"/>
      <c r="BN17" s="261"/>
    </row>
    <row r="18" spans="1:66">
      <c r="A18" s="1"/>
      <c r="B18" s="21"/>
      <c r="C18" s="21"/>
      <c r="D18" s="21"/>
      <c r="E18" s="21"/>
      <c r="F18" s="22"/>
      <c r="G18" s="21"/>
      <c r="H18" s="21"/>
      <c r="I18" s="21"/>
      <c r="J18" s="21"/>
      <c r="K18" s="22"/>
      <c r="L18" s="21"/>
      <c r="M18" s="21"/>
      <c r="N18" s="21"/>
      <c r="O18" s="21"/>
      <c r="P18" s="22"/>
      <c r="Q18" s="21"/>
      <c r="R18" s="21"/>
      <c r="S18" s="21"/>
      <c r="T18" s="21"/>
      <c r="U18" s="22"/>
      <c r="V18" s="21"/>
      <c r="W18" s="21"/>
      <c r="X18" s="21"/>
      <c r="Y18" s="21"/>
      <c r="Z18" s="22"/>
      <c r="AA18" s="21"/>
      <c r="AB18" s="21"/>
      <c r="AC18" s="21"/>
      <c r="AD18" s="21"/>
      <c r="AE18" s="22"/>
      <c r="AF18" s="21"/>
      <c r="AG18" s="21"/>
      <c r="AH18" s="21"/>
      <c r="AI18" s="21"/>
      <c r="AJ18" s="22"/>
      <c r="AK18" s="21"/>
      <c r="AL18" s="21"/>
      <c r="AM18" s="21"/>
      <c r="AN18" s="21"/>
      <c r="AO18" s="22"/>
      <c r="AP18" s="21"/>
      <c r="AQ18" s="21"/>
      <c r="AR18" s="21"/>
      <c r="AS18" s="21"/>
      <c r="AT18" s="22"/>
      <c r="AU18" s="21"/>
      <c r="AV18" s="21"/>
      <c r="AW18" s="21"/>
      <c r="AX18" s="21"/>
      <c r="AY18" s="22"/>
      <c r="AZ18" s="21"/>
      <c r="BA18" s="21"/>
      <c r="BB18" s="21"/>
      <c r="BC18" s="21"/>
      <c r="BD18" s="22"/>
      <c r="BE18" s="21"/>
      <c r="BF18" s="21"/>
      <c r="BG18" s="21"/>
      <c r="BH18" s="21"/>
      <c r="BI18" s="22"/>
      <c r="BJ18" s="315"/>
      <c r="BK18" s="315"/>
      <c r="BM18" s="42"/>
      <c r="BN18" s="261"/>
    </row>
    <row r="19" spans="1:66">
      <c r="A19" s="9" t="s">
        <v>10</v>
      </c>
      <c r="B19" s="27">
        <f t="shared" ref="B19:AQ19" si="63">+-B12+B22</f>
        <v>0</v>
      </c>
      <c r="C19" s="27">
        <f t="shared" si="63"/>
        <v>0</v>
      </c>
      <c r="D19" s="27">
        <f t="shared" si="63"/>
        <v>0</v>
      </c>
      <c r="E19" s="27">
        <f t="shared" si="63"/>
        <v>0</v>
      </c>
      <c r="F19" s="28">
        <f t="shared" si="63"/>
        <v>0</v>
      </c>
      <c r="G19" s="27">
        <f t="shared" si="63"/>
        <v>0</v>
      </c>
      <c r="H19" s="27">
        <f t="shared" si="63"/>
        <v>0</v>
      </c>
      <c r="I19" s="27">
        <f t="shared" si="63"/>
        <v>0</v>
      </c>
      <c r="J19" s="27">
        <f t="shared" si="63"/>
        <v>0</v>
      </c>
      <c r="K19" s="28">
        <f t="shared" si="63"/>
        <v>0</v>
      </c>
      <c r="L19" s="27">
        <f t="shared" si="63"/>
        <v>0</v>
      </c>
      <c r="M19" s="27">
        <f t="shared" si="63"/>
        <v>0</v>
      </c>
      <c r="N19" s="27">
        <f t="shared" si="63"/>
        <v>0</v>
      </c>
      <c r="O19" s="27">
        <f t="shared" si="63"/>
        <v>0</v>
      </c>
      <c r="P19" s="28">
        <f t="shared" si="63"/>
        <v>0</v>
      </c>
      <c r="Q19" s="27">
        <f t="shared" si="63"/>
        <v>0</v>
      </c>
      <c r="R19" s="27">
        <f t="shared" si="63"/>
        <v>0</v>
      </c>
      <c r="S19" s="27">
        <f t="shared" si="63"/>
        <v>0</v>
      </c>
      <c r="T19" s="27">
        <f t="shared" si="63"/>
        <v>0</v>
      </c>
      <c r="U19" s="28">
        <f t="shared" si="63"/>
        <v>0</v>
      </c>
      <c r="V19" s="27">
        <f t="shared" si="63"/>
        <v>0</v>
      </c>
      <c r="W19" s="27">
        <f t="shared" si="63"/>
        <v>0</v>
      </c>
      <c r="X19" s="27">
        <f t="shared" si="63"/>
        <v>0</v>
      </c>
      <c r="Y19" s="27">
        <f t="shared" si="63"/>
        <v>0</v>
      </c>
      <c r="Z19" s="28">
        <f t="shared" si="63"/>
        <v>0</v>
      </c>
      <c r="AA19" s="27">
        <f t="shared" si="63"/>
        <v>0</v>
      </c>
      <c r="AB19" s="27">
        <f t="shared" si="63"/>
        <v>0</v>
      </c>
      <c r="AC19" s="27">
        <f t="shared" si="63"/>
        <v>0</v>
      </c>
      <c r="AD19" s="27">
        <f t="shared" si="63"/>
        <v>0</v>
      </c>
      <c r="AE19" s="28">
        <f t="shared" si="63"/>
        <v>-19979</v>
      </c>
      <c r="AF19" s="27">
        <f t="shared" si="63"/>
        <v>0</v>
      </c>
      <c r="AG19" s="27">
        <f t="shared" si="63"/>
        <v>0</v>
      </c>
      <c r="AH19" s="27">
        <f t="shared" si="63"/>
        <v>0</v>
      </c>
      <c r="AI19" s="27">
        <f t="shared" si="63"/>
        <v>0</v>
      </c>
      <c r="AJ19" s="28">
        <f t="shared" si="63"/>
        <v>-18772</v>
      </c>
      <c r="AK19" s="27">
        <f t="shared" si="63"/>
        <v>-4909</v>
      </c>
      <c r="AL19" s="27">
        <f t="shared" si="63"/>
        <v>-4963</v>
      </c>
      <c r="AM19" s="27">
        <f t="shared" si="63"/>
        <v>-4976</v>
      </c>
      <c r="AN19" s="27">
        <f t="shared" si="63"/>
        <v>-5388</v>
      </c>
      <c r="AO19" s="28">
        <f t="shared" si="63"/>
        <v>-20236</v>
      </c>
      <c r="AP19" s="27">
        <f t="shared" si="63"/>
        <v>-5223</v>
      </c>
      <c r="AQ19" s="27">
        <f t="shared" si="63"/>
        <v>-5485</v>
      </c>
      <c r="AR19" s="27">
        <f t="shared" ref="AR19:AV19" si="64">+-AR12+AR22</f>
        <v>-5726</v>
      </c>
      <c r="AS19" s="27">
        <f t="shared" si="64"/>
        <v>-5994</v>
      </c>
      <c r="AT19" s="28">
        <f t="shared" si="64"/>
        <v>-22428</v>
      </c>
      <c r="AU19" s="27">
        <f t="shared" si="64"/>
        <v>-5824</v>
      </c>
      <c r="AV19" s="27">
        <f t="shared" si="64"/>
        <v>-5881</v>
      </c>
      <c r="AW19" s="27">
        <f t="shared" ref="AW19:BA19" si="65">+-AW12+AW22</f>
        <v>-6013</v>
      </c>
      <c r="AX19" s="27">
        <f t="shared" si="65"/>
        <v>-6431</v>
      </c>
      <c r="AY19" s="28">
        <f t="shared" si="65"/>
        <v>-24149</v>
      </c>
      <c r="AZ19" s="27">
        <f t="shared" si="65"/>
        <v>-6129</v>
      </c>
      <c r="BA19" s="27">
        <f t="shared" si="65"/>
        <v>-6449</v>
      </c>
      <c r="BB19" s="27">
        <f t="shared" ref="BB19:BE19" si="66">+-BB12+BB22</f>
        <v>-6361</v>
      </c>
      <c r="BC19" s="27">
        <f t="shared" si="66"/>
        <v>-6334</v>
      </c>
      <c r="BD19" s="28">
        <f t="shared" si="66"/>
        <v>-25273</v>
      </c>
      <c r="BE19" s="27">
        <f t="shared" si="66"/>
        <v>-6295</v>
      </c>
      <c r="BF19" s="27">
        <f t="shared" ref="BF19:BG19" si="67">+-BF12+BF22</f>
        <v>-6904</v>
      </c>
      <c r="BG19" s="27">
        <f t="shared" si="67"/>
        <v>-6681.0830175000001</v>
      </c>
      <c r="BH19" s="27">
        <f t="shared" ref="BH19:BI19" si="68">+-BH12+BH22</f>
        <v>-6834.5124424999976</v>
      </c>
      <c r="BI19" s="28">
        <f t="shared" si="68"/>
        <v>-26714.595459999997</v>
      </c>
      <c r="BJ19" s="315"/>
      <c r="BK19" s="315"/>
      <c r="BM19" s="107"/>
      <c r="BN19" s="261"/>
    </row>
    <row r="20" spans="1:66">
      <c r="A20" s="1" t="s">
        <v>4</v>
      </c>
      <c r="B20" s="34"/>
      <c r="C20" s="35"/>
      <c r="D20" s="35"/>
      <c r="E20" s="35"/>
      <c r="F20" s="36">
        <v>-1</v>
      </c>
      <c r="G20" s="34" t="e">
        <f t="shared" ref="G20:AR20" si="69">G19/B19-1</f>
        <v>#DIV/0!</v>
      </c>
      <c r="H20" s="35" t="e">
        <f t="shared" si="69"/>
        <v>#DIV/0!</v>
      </c>
      <c r="I20" s="35" t="e">
        <f t="shared" si="69"/>
        <v>#DIV/0!</v>
      </c>
      <c r="J20" s="35" t="e">
        <f t="shared" si="69"/>
        <v>#DIV/0!</v>
      </c>
      <c r="K20" s="36" t="e">
        <f t="shared" si="69"/>
        <v>#DIV/0!</v>
      </c>
      <c r="L20" s="34" t="e">
        <f t="shared" si="69"/>
        <v>#DIV/0!</v>
      </c>
      <c r="M20" s="35" t="e">
        <f t="shared" si="69"/>
        <v>#DIV/0!</v>
      </c>
      <c r="N20" s="35" t="e">
        <f t="shared" si="69"/>
        <v>#DIV/0!</v>
      </c>
      <c r="O20" s="35" t="e">
        <f t="shared" si="69"/>
        <v>#DIV/0!</v>
      </c>
      <c r="P20" s="36" t="e">
        <f t="shared" si="69"/>
        <v>#DIV/0!</v>
      </c>
      <c r="Q20" s="34" t="e">
        <f t="shared" si="69"/>
        <v>#DIV/0!</v>
      </c>
      <c r="R20" s="35" t="e">
        <f t="shared" si="69"/>
        <v>#DIV/0!</v>
      </c>
      <c r="S20" s="35" t="e">
        <f t="shared" si="69"/>
        <v>#DIV/0!</v>
      </c>
      <c r="T20" s="35" t="e">
        <f t="shared" si="69"/>
        <v>#DIV/0!</v>
      </c>
      <c r="U20" s="36" t="e">
        <f t="shared" si="69"/>
        <v>#DIV/0!</v>
      </c>
      <c r="V20" s="34" t="e">
        <f t="shared" si="69"/>
        <v>#DIV/0!</v>
      </c>
      <c r="W20" s="35" t="e">
        <f t="shared" si="69"/>
        <v>#DIV/0!</v>
      </c>
      <c r="X20" s="35" t="e">
        <f t="shared" si="69"/>
        <v>#DIV/0!</v>
      </c>
      <c r="Y20" s="35" t="e">
        <f t="shared" si="69"/>
        <v>#DIV/0!</v>
      </c>
      <c r="Z20" s="36" t="e">
        <f t="shared" si="69"/>
        <v>#DIV/0!</v>
      </c>
      <c r="AA20" s="34" t="e">
        <f t="shared" si="69"/>
        <v>#DIV/0!</v>
      </c>
      <c r="AB20" s="35" t="e">
        <f t="shared" si="69"/>
        <v>#DIV/0!</v>
      </c>
      <c r="AC20" s="35" t="e">
        <f t="shared" si="69"/>
        <v>#DIV/0!</v>
      </c>
      <c r="AD20" s="35" t="e">
        <f t="shared" si="69"/>
        <v>#DIV/0!</v>
      </c>
      <c r="AE20" s="36" t="e">
        <f t="shared" si="69"/>
        <v>#DIV/0!</v>
      </c>
      <c r="AF20" s="34" t="e">
        <f t="shared" si="69"/>
        <v>#DIV/0!</v>
      </c>
      <c r="AG20" s="35" t="e">
        <f t="shared" si="69"/>
        <v>#DIV/0!</v>
      </c>
      <c r="AH20" s="35" t="e">
        <f t="shared" si="69"/>
        <v>#DIV/0!</v>
      </c>
      <c r="AI20" s="35" t="e">
        <f t="shared" si="69"/>
        <v>#DIV/0!</v>
      </c>
      <c r="AJ20" s="36">
        <f t="shared" si="69"/>
        <v>-6.0413434105811126E-2</v>
      </c>
      <c r="AK20" s="34" t="e">
        <f t="shared" si="69"/>
        <v>#DIV/0!</v>
      </c>
      <c r="AL20" s="35" t="e">
        <f t="shared" si="69"/>
        <v>#DIV/0!</v>
      </c>
      <c r="AM20" s="35" t="e">
        <f t="shared" si="69"/>
        <v>#DIV/0!</v>
      </c>
      <c r="AN20" s="35" t="e">
        <f t="shared" si="69"/>
        <v>#DIV/0!</v>
      </c>
      <c r="AO20" s="36">
        <f t="shared" si="69"/>
        <v>7.7988493500958933E-2</v>
      </c>
      <c r="AP20" s="34">
        <f t="shared" si="69"/>
        <v>6.3964147484212752E-2</v>
      </c>
      <c r="AQ20" s="35">
        <f t="shared" si="69"/>
        <v>0.1051783195647793</v>
      </c>
      <c r="AR20" s="35">
        <f t="shared" si="69"/>
        <v>0.15072347266881025</v>
      </c>
      <c r="AS20" s="35">
        <f t="shared" ref="AS20" si="70">AS19/AN19-1</f>
        <v>0.11247216035634744</v>
      </c>
      <c r="AT20" s="36">
        <f t="shared" ref="AT20:AW20" si="71">AT19/AO19-1</f>
        <v>0.10832180272781189</v>
      </c>
      <c r="AU20" s="34">
        <f t="shared" si="71"/>
        <v>0.11506796860042123</v>
      </c>
      <c r="AV20" s="35">
        <f t="shared" si="71"/>
        <v>7.2196900638104022E-2</v>
      </c>
      <c r="AW20" s="35">
        <f t="shared" si="71"/>
        <v>5.0122249388752982E-2</v>
      </c>
      <c r="AX20" s="35">
        <f t="shared" ref="AX20" si="72">AX19/AS19-1</f>
        <v>7.2906239572906317E-2</v>
      </c>
      <c r="AY20" s="36">
        <f t="shared" ref="AY20:BB20" si="73">AY19/AT19-1</f>
        <v>7.6734439093989693E-2</v>
      </c>
      <c r="AZ20" s="34">
        <f t="shared" si="73"/>
        <v>5.2369505494505475E-2</v>
      </c>
      <c r="BA20" s="35">
        <f t="shared" si="73"/>
        <v>9.6582213909199188E-2</v>
      </c>
      <c r="BB20" s="35">
        <f t="shared" si="73"/>
        <v>5.7874605022451453E-2</v>
      </c>
      <c r="BC20" s="35">
        <f t="shared" ref="BC20" si="74">BC19/AX19-1</f>
        <v>-1.5083190794588752E-2</v>
      </c>
      <c r="BD20" s="36">
        <f t="shared" ref="BD20:BE20" si="75">BD19/AY19-1</f>
        <v>4.6544370367302967E-2</v>
      </c>
      <c r="BE20" s="34">
        <f t="shared" si="75"/>
        <v>2.7084353075542467E-2</v>
      </c>
      <c r="BF20" s="35">
        <f t="shared" ref="BF20:BG20" si="76">BF19/BA19-1</f>
        <v>7.055357419755004E-2</v>
      </c>
      <c r="BG20" s="35">
        <f t="shared" si="76"/>
        <v>5.031960658701462E-2</v>
      </c>
      <c r="BH20" s="35">
        <f t="shared" ref="BH20" si="77">BH19/BC19-1</f>
        <v>7.9019962503946495E-2</v>
      </c>
      <c r="BI20" s="36">
        <f t="shared" ref="BI20" si="78">BI19/BD19-1</f>
        <v>5.7040931428797403E-2</v>
      </c>
      <c r="BJ20" s="315"/>
      <c r="BK20" s="315"/>
      <c r="BM20" s="31"/>
      <c r="BN20" s="261"/>
    </row>
    <row r="21" spans="1:66">
      <c r="B21" s="25"/>
      <c r="C21" s="25"/>
      <c r="D21" s="25"/>
      <c r="E21" s="25"/>
      <c r="F21" s="26"/>
      <c r="G21" s="25"/>
      <c r="H21" s="25"/>
      <c r="I21" s="25"/>
      <c r="J21" s="25"/>
      <c r="K21" s="26"/>
      <c r="L21" s="25"/>
      <c r="M21" s="25"/>
      <c r="N21" s="25"/>
      <c r="O21" s="25"/>
      <c r="P21" s="26"/>
      <c r="Q21" s="25"/>
      <c r="R21" s="25"/>
      <c r="S21" s="25"/>
      <c r="T21" s="25"/>
      <c r="U21" s="26"/>
      <c r="V21" s="25"/>
      <c r="W21" s="25"/>
      <c r="X21" s="25"/>
      <c r="Y21" s="25"/>
      <c r="Z21" s="26"/>
      <c r="AA21" s="25"/>
      <c r="AB21" s="25"/>
      <c r="AC21" s="25"/>
      <c r="AD21" s="25"/>
      <c r="AE21" s="26"/>
      <c r="AF21" s="25"/>
      <c r="AG21" s="25"/>
      <c r="AH21" s="25"/>
      <c r="AI21" s="25"/>
      <c r="AJ21" s="26"/>
      <c r="AK21" s="25"/>
      <c r="AL21" s="25"/>
      <c r="AM21" s="25"/>
      <c r="AN21" s="25"/>
      <c r="AO21" s="26"/>
      <c r="AP21" s="25"/>
      <c r="AQ21" s="25"/>
      <c r="AR21" s="25"/>
      <c r="AS21" s="25"/>
      <c r="AT21" s="26"/>
      <c r="AU21" s="25"/>
      <c r="AV21" s="25"/>
      <c r="AW21" s="25"/>
      <c r="AX21" s="25"/>
      <c r="AY21" s="26"/>
      <c r="AZ21" s="25"/>
      <c r="BA21" s="25"/>
      <c r="BB21" s="25"/>
      <c r="BC21" s="25"/>
      <c r="BD21" s="26"/>
      <c r="BE21" s="25"/>
      <c r="BF21" s="25"/>
      <c r="BG21" s="25"/>
      <c r="BH21" s="25"/>
      <c r="BI21" s="26"/>
      <c r="BJ21" s="315"/>
      <c r="BK21" s="315"/>
      <c r="BM21" s="98"/>
      <c r="BN21" s="261"/>
    </row>
    <row r="22" spans="1:66">
      <c r="A22" s="8" t="s">
        <v>9</v>
      </c>
      <c r="B22" s="29"/>
      <c r="C22" s="29"/>
      <c r="D22" s="29"/>
      <c r="E22" s="23"/>
      <c r="F22" s="30"/>
      <c r="G22" s="29"/>
      <c r="H22" s="29"/>
      <c r="I22" s="29"/>
      <c r="J22" s="23"/>
      <c r="K22" s="30"/>
      <c r="L22" s="29"/>
      <c r="M22" s="29"/>
      <c r="N22" s="29"/>
      <c r="O22" s="23"/>
      <c r="P22" s="30"/>
      <c r="Q22" s="29"/>
      <c r="R22" s="29"/>
      <c r="S22" s="29"/>
      <c r="T22" s="23"/>
      <c r="U22" s="30"/>
      <c r="V22" s="29"/>
      <c r="W22" s="29"/>
      <c r="X22" s="29"/>
      <c r="Y22" s="23"/>
      <c r="Z22" s="30"/>
      <c r="AA22" s="29"/>
      <c r="AB22" s="29"/>
      <c r="AC22" s="29"/>
      <c r="AD22" s="29"/>
      <c r="AE22" s="30">
        <v>2010</v>
      </c>
      <c r="AF22" s="29"/>
      <c r="AG22" s="29"/>
      <c r="AH22" s="29"/>
      <c r="AI22" s="23"/>
      <c r="AJ22" s="30">
        <v>2380</v>
      </c>
      <c r="AK22" s="29">
        <v>567</v>
      </c>
      <c r="AL22" s="29">
        <v>664</v>
      </c>
      <c r="AM22" s="29">
        <v>742</v>
      </c>
      <c r="AN22" s="23">
        <f>AO22-SUM(AK22:AM22)</f>
        <v>843</v>
      </c>
      <c r="AO22" s="30">
        <v>2816</v>
      </c>
      <c r="AP22" s="29">
        <v>897</v>
      </c>
      <c r="AQ22" s="29">
        <v>899</v>
      </c>
      <c r="AR22" s="29">
        <v>903</v>
      </c>
      <c r="AS22" s="23">
        <f>AT22-SUM(AP22:AR22)</f>
        <v>1126</v>
      </c>
      <c r="AT22" s="30">
        <v>3825</v>
      </c>
      <c r="AU22" s="29">
        <v>849</v>
      </c>
      <c r="AV22" s="29">
        <v>1118</v>
      </c>
      <c r="AW22" s="29">
        <v>1062</v>
      </c>
      <c r="AX22" s="23">
        <f>AY22-SUM(AU22:AW22)</f>
        <v>1106</v>
      </c>
      <c r="AY22" s="30">
        <v>4135</v>
      </c>
      <c r="AZ22" s="29">
        <v>1088</v>
      </c>
      <c r="BA22" s="29">
        <v>1173</v>
      </c>
      <c r="BB22" s="29">
        <v>1260</v>
      </c>
      <c r="BC22" s="23">
        <f>BD22-SUM(AZ22:BB22)</f>
        <v>1402</v>
      </c>
      <c r="BD22" s="30">
        <v>4923</v>
      </c>
      <c r="BE22" s="29">
        <v>1307</v>
      </c>
      <c r="BF22" s="29">
        <v>1306</v>
      </c>
      <c r="BG22" s="95">
        <f t="shared" ref="BG22" si="79">BG29-BG27-BG26</f>
        <v>1378.1244825000001</v>
      </c>
      <c r="BH22" s="23">
        <f t="shared" ref="BH22" si="80">BH29-BH27-BH26</f>
        <v>1453.0200574999999</v>
      </c>
      <c r="BI22" s="202">
        <f>SUM(BE22:BH22)</f>
        <v>5444.1445400000002</v>
      </c>
      <c r="BJ22" s="315"/>
      <c r="BK22" s="315"/>
      <c r="BM22" s="96"/>
      <c r="BN22" s="261"/>
    </row>
    <row r="23" spans="1:66">
      <c r="A23" s="1" t="s">
        <v>4</v>
      </c>
      <c r="B23" s="34"/>
      <c r="C23" s="35"/>
      <c r="D23" s="35"/>
      <c r="E23" s="35"/>
      <c r="F23" s="36">
        <v>-1</v>
      </c>
      <c r="G23" s="34" t="e">
        <f t="shared" ref="G23:AR23" si="81">G22/B22-1</f>
        <v>#DIV/0!</v>
      </c>
      <c r="H23" s="35" t="e">
        <f t="shared" si="81"/>
        <v>#DIV/0!</v>
      </c>
      <c r="I23" s="35" t="e">
        <f t="shared" si="81"/>
        <v>#DIV/0!</v>
      </c>
      <c r="J23" s="35" t="e">
        <f t="shared" si="81"/>
        <v>#DIV/0!</v>
      </c>
      <c r="K23" s="36" t="e">
        <f t="shared" si="81"/>
        <v>#DIV/0!</v>
      </c>
      <c r="L23" s="34" t="e">
        <f t="shared" si="81"/>
        <v>#DIV/0!</v>
      </c>
      <c r="M23" s="35" t="e">
        <f t="shared" si="81"/>
        <v>#DIV/0!</v>
      </c>
      <c r="N23" s="35" t="e">
        <f t="shared" si="81"/>
        <v>#DIV/0!</v>
      </c>
      <c r="O23" s="35" t="e">
        <f t="shared" si="81"/>
        <v>#DIV/0!</v>
      </c>
      <c r="P23" s="36" t="e">
        <f t="shared" si="81"/>
        <v>#DIV/0!</v>
      </c>
      <c r="Q23" s="34" t="e">
        <f t="shared" si="81"/>
        <v>#DIV/0!</v>
      </c>
      <c r="R23" s="35" t="e">
        <f t="shared" si="81"/>
        <v>#DIV/0!</v>
      </c>
      <c r="S23" s="35" t="e">
        <f t="shared" si="81"/>
        <v>#DIV/0!</v>
      </c>
      <c r="T23" s="35" t="e">
        <f t="shared" si="81"/>
        <v>#DIV/0!</v>
      </c>
      <c r="U23" s="36" t="e">
        <f t="shared" si="81"/>
        <v>#DIV/0!</v>
      </c>
      <c r="V23" s="34" t="e">
        <f t="shared" si="81"/>
        <v>#DIV/0!</v>
      </c>
      <c r="W23" s="35" t="e">
        <f t="shared" si="81"/>
        <v>#DIV/0!</v>
      </c>
      <c r="X23" s="35" t="e">
        <f t="shared" si="81"/>
        <v>#DIV/0!</v>
      </c>
      <c r="Y23" s="35" t="e">
        <f t="shared" si="81"/>
        <v>#DIV/0!</v>
      </c>
      <c r="Z23" s="36" t="e">
        <f t="shared" si="81"/>
        <v>#DIV/0!</v>
      </c>
      <c r="AA23" s="232" t="e">
        <f t="shared" si="81"/>
        <v>#DIV/0!</v>
      </c>
      <c r="AB23" s="33" t="e">
        <f t="shared" si="81"/>
        <v>#DIV/0!</v>
      </c>
      <c r="AC23" s="33" t="e">
        <f t="shared" si="81"/>
        <v>#DIV/0!</v>
      </c>
      <c r="AD23" s="33" t="e">
        <f t="shared" si="81"/>
        <v>#DIV/0!</v>
      </c>
      <c r="AE23" s="137" t="e">
        <f t="shared" si="81"/>
        <v>#DIV/0!</v>
      </c>
      <c r="AF23" s="232" t="e">
        <f t="shared" si="81"/>
        <v>#DIV/0!</v>
      </c>
      <c r="AG23" s="35" t="e">
        <f t="shared" si="81"/>
        <v>#DIV/0!</v>
      </c>
      <c r="AH23" s="33" t="e">
        <f t="shared" si="81"/>
        <v>#DIV/0!</v>
      </c>
      <c r="AI23" s="33" t="e">
        <f t="shared" si="81"/>
        <v>#DIV/0!</v>
      </c>
      <c r="AJ23" s="137">
        <f t="shared" si="81"/>
        <v>0.18407960199004969</v>
      </c>
      <c r="AK23" s="232" t="e">
        <f t="shared" si="81"/>
        <v>#DIV/0!</v>
      </c>
      <c r="AL23" s="35" t="e">
        <f t="shared" si="81"/>
        <v>#DIV/0!</v>
      </c>
      <c r="AM23" s="33" t="e">
        <f t="shared" si="81"/>
        <v>#DIV/0!</v>
      </c>
      <c r="AN23" s="33" t="e">
        <f t="shared" si="81"/>
        <v>#DIV/0!</v>
      </c>
      <c r="AO23" s="137">
        <f t="shared" si="81"/>
        <v>0.18319327731092439</v>
      </c>
      <c r="AP23" s="232">
        <f t="shared" si="81"/>
        <v>0.58201058201058209</v>
      </c>
      <c r="AQ23" s="35">
        <f t="shared" si="81"/>
        <v>0.35391566265060237</v>
      </c>
      <c r="AR23" s="33">
        <f t="shared" si="81"/>
        <v>0.21698113207547176</v>
      </c>
      <c r="AS23" s="33">
        <f t="shared" ref="AS23" si="82">AS22/AN22-1</f>
        <v>0.33570581257413989</v>
      </c>
      <c r="AT23" s="137">
        <f t="shared" ref="AT23:AW23" si="83">AT22/AO22-1</f>
        <v>0.35830965909090917</v>
      </c>
      <c r="AU23" s="232">
        <f t="shared" si="83"/>
        <v>-5.3511705685618693E-2</v>
      </c>
      <c r="AV23" s="35">
        <f t="shared" si="83"/>
        <v>0.24360400444938812</v>
      </c>
      <c r="AW23" s="33">
        <f t="shared" si="83"/>
        <v>0.17607973421926904</v>
      </c>
      <c r="AX23" s="33">
        <f t="shared" ref="AX23" si="84">AX22/AS22-1</f>
        <v>-1.7761989342806372E-2</v>
      </c>
      <c r="AY23" s="137">
        <f t="shared" ref="AY23:BB23" si="85">AY22/AT22-1</f>
        <v>8.1045751633986862E-2</v>
      </c>
      <c r="AZ23" s="232">
        <f t="shared" si="85"/>
        <v>0.28150765606595995</v>
      </c>
      <c r="BA23" s="35">
        <f t="shared" si="85"/>
        <v>4.9194991055456105E-2</v>
      </c>
      <c r="BB23" s="33">
        <f t="shared" si="85"/>
        <v>0.18644067796610164</v>
      </c>
      <c r="BC23" s="33">
        <f t="shared" ref="BC23" si="86">BC22/AX22-1</f>
        <v>0.26763110307414095</v>
      </c>
      <c r="BD23" s="137">
        <f t="shared" ref="BD23:BF23" si="87">BD22/AY22-1</f>
        <v>0.1905683192261185</v>
      </c>
      <c r="BE23" s="232">
        <f t="shared" si="87"/>
        <v>0.20128676470588225</v>
      </c>
      <c r="BF23" s="35">
        <f t="shared" si="87"/>
        <v>0.11338448422847391</v>
      </c>
      <c r="BG23" s="33">
        <f t="shared" ref="BG23" si="88">BG22/BB22-1</f>
        <v>9.3749589285714308E-2</v>
      </c>
      <c r="BH23" s="33">
        <f t="shared" ref="BH23" si="89">BH22/BC22-1</f>
        <v>3.6390911198288078E-2</v>
      </c>
      <c r="BI23" s="137">
        <f t="shared" ref="BI23" si="90">BI22/BD22-1</f>
        <v>0.10585913873654285</v>
      </c>
      <c r="BJ23" s="315"/>
      <c r="BK23" s="315"/>
      <c r="BL23" s="232"/>
      <c r="BM23" s="31"/>
      <c r="BN23" s="261"/>
    </row>
    <row r="24" spans="1:66">
      <c r="A24" s="1" t="s">
        <v>225</v>
      </c>
      <c r="B24" s="34" t="e">
        <f t="shared" ref="B24:AQ24" si="91">B22/B12</f>
        <v>#DIV/0!</v>
      </c>
      <c r="C24" s="35" t="e">
        <f t="shared" si="91"/>
        <v>#DIV/0!</v>
      </c>
      <c r="D24" s="35" t="e">
        <f t="shared" si="91"/>
        <v>#DIV/0!</v>
      </c>
      <c r="E24" s="35" t="e">
        <f t="shared" si="91"/>
        <v>#DIV/0!</v>
      </c>
      <c r="F24" s="36" t="e">
        <f t="shared" si="91"/>
        <v>#DIV/0!</v>
      </c>
      <c r="G24" s="34" t="e">
        <f t="shared" si="91"/>
        <v>#DIV/0!</v>
      </c>
      <c r="H24" s="35" t="e">
        <f t="shared" si="91"/>
        <v>#DIV/0!</v>
      </c>
      <c r="I24" s="35" t="e">
        <f t="shared" si="91"/>
        <v>#DIV/0!</v>
      </c>
      <c r="J24" s="35" t="e">
        <f t="shared" si="91"/>
        <v>#DIV/0!</v>
      </c>
      <c r="K24" s="36" t="e">
        <f t="shared" si="91"/>
        <v>#DIV/0!</v>
      </c>
      <c r="L24" s="34" t="e">
        <f t="shared" si="91"/>
        <v>#DIV/0!</v>
      </c>
      <c r="M24" s="35" t="e">
        <f t="shared" si="91"/>
        <v>#DIV/0!</v>
      </c>
      <c r="N24" s="35" t="e">
        <f t="shared" si="91"/>
        <v>#DIV/0!</v>
      </c>
      <c r="O24" s="35" t="e">
        <f t="shared" si="91"/>
        <v>#DIV/0!</v>
      </c>
      <c r="P24" s="36" t="e">
        <f t="shared" si="91"/>
        <v>#DIV/0!</v>
      </c>
      <c r="Q24" s="34" t="e">
        <f t="shared" si="91"/>
        <v>#DIV/0!</v>
      </c>
      <c r="R24" s="35" t="e">
        <f t="shared" si="91"/>
        <v>#DIV/0!</v>
      </c>
      <c r="S24" s="35" t="e">
        <f t="shared" si="91"/>
        <v>#DIV/0!</v>
      </c>
      <c r="T24" s="35" t="e">
        <f t="shared" si="91"/>
        <v>#DIV/0!</v>
      </c>
      <c r="U24" s="36" t="e">
        <f t="shared" si="91"/>
        <v>#DIV/0!</v>
      </c>
      <c r="V24" s="34" t="e">
        <f t="shared" si="91"/>
        <v>#DIV/0!</v>
      </c>
      <c r="W24" s="35" t="e">
        <f t="shared" si="91"/>
        <v>#DIV/0!</v>
      </c>
      <c r="X24" s="35" t="e">
        <f t="shared" si="91"/>
        <v>#DIV/0!</v>
      </c>
      <c r="Y24" s="35" t="e">
        <f t="shared" si="91"/>
        <v>#DIV/0!</v>
      </c>
      <c r="Z24" s="36" t="e">
        <f t="shared" si="91"/>
        <v>#DIV/0!</v>
      </c>
      <c r="AA24" s="232" t="e">
        <f t="shared" si="91"/>
        <v>#DIV/0!</v>
      </c>
      <c r="AB24" s="33" t="e">
        <f t="shared" si="91"/>
        <v>#DIV/0!</v>
      </c>
      <c r="AC24" s="33" t="e">
        <f t="shared" si="91"/>
        <v>#DIV/0!</v>
      </c>
      <c r="AD24" s="33" t="e">
        <f t="shared" si="91"/>
        <v>#DIV/0!</v>
      </c>
      <c r="AE24" s="137">
        <f t="shared" si="91"/>
        <v>9.1409341034153435E-2</v>
      </c>
      <c r="AF24" s="232" t="e">
        <f t="shared" si="91"/>
        <v>#DIV/0!</v>
      </c>
      <c r="AG24" s="35" t="e">
        <f t="shared" si="91"/>
        <v>#DIV/0!</v>
      </c>
      <c r="AH24" s="33" t="e">
        <f t="shared" si="91"/>
        <v>#DIV/0!</v>
      </c>
      <c r="AI24" s="33" t="e">
        <f t="shared" si="91"/>
        <v>#DIV/0!</v>
      </c>
      <c r="AJ24" s="137">
        <f t="shared" si="91"/>
        <v>0.11251891074130106</v>
      </c>
      <c r="AK24" s="232">
        <f t="shared" si="91"/>
        <v>0.1035427319211103</v>
      </c>
      <c r="AL24" s="35">
        <f t="shared" si="91"/>
        <v>0.11800248800426515</v>
      </c>
      <c r="AM24" s="33">
        <f t="shared" si="91"/>
        <v>0.12976565232598811</v>
      </c>
      <c r="AN24" s="33">
        <f t="shared" si="91"/>
        <v>0.13529128550794414</v>
      </c>
      <c r="AO24" s="137">
        <f t="shared" si="91"/>
        <v>0.12215859795245532</v>
      </c>
      <c r="AP24" s="232">
        <f t="shared" si="91"/>
        <v>0.1465686274509804</v>
      </c>
      <c r="AQ24" s="35">
        <f t="shared" si="91"/>
        <v>0.14082080200501254</v>
      </c>
      <c r="AR24" s="33">
        <f t="shared" ref="AR24:AV24" si="92">AR22/AR12</f>
        <v>0.13621964097148892</v>
      </c>
      <c r="AS24" s="33">
        <f t="shared" si="92"/>
        <v>0.15814606741573034</v>
      </c>
      <c r="AT24" s="137">
        <f t="shared" si="92"/>
        <v>0.14569763455605073</v>
      </c>
      <c r="AU24" s="232">
        <f t="shared" si="92"/>
        <v>0.12722913232429192</v>
      </c>
      <c r="AV24" s="35">
        <f t="shared" si="92"/>
        <v>0.15973710530075724</v>
      </c>
      <c r="AW24" s="33">
        <f t="shared" ref="AW24:BA24" si="93">AW22/AW12</f>
        <v>0.15010600706713781</v>
      </c>
      <c r="AX24" s="33">
        <f t="shared" si="93"/>
        <v>0.14674273583653974</v>
      </c>
      <c r="AY24" s="137">
        <f t="shared" si="93"/>
        <v>0.14619572903408287</v>
      </c>
      <c r="AZ24" s="232">
        <f t="shared" si="93"/>
        <v>0.15075516142441459</v>
      </c>
      <c r="BA24" s="35">
        <f t="shared" si="93"/>
        <v>0.15389661506166361</v>
      </c>
      <c r="BB24" s="33">
        <f t="shared" ref="BB24:BF24" si="94">BB22/BB12</f>
        <v>0.16533263351266239</v>
      </c>
      <c r="BC24" s="33">
        <f t="shared" si="94"/>
        <v>0.18123061013443639</v>
      </c>
      <c r="BD24" s="137">
        <f t="shared" si="94"/>
        <v>0.16303483905153002</v>
      </c>
      <c r="BE24" s="232">
        <f t="shared" si="94"/>
        <v>0.171928439884241</v>
      </c>
      <c r="BF24" s="35">
        <f t="shared" si="94"/>
        <v>0.15907429963459196</v>
      </c>
      <c r="BG24" s="33">
        <f t="shared" ref="BG24" si="95">BG22/BG12</f>
        <v>0.17100000000000001</v>
      </c>
      <c r="BH24" s="33">
        <f t="shared" ref="BH24:BI24" si="96">BH22/BH12</f>
        <v>0.17532601621773433</v>
      </c>
      <c r="BI24" s="137">
        <f t="shared" si="96"/>
        <v>0.16928973398833413</v>
      </c>
      <c r="BJ24" s="315"/>
      <c r="BK24" s="315"/>
      <c r="BM24" s="31"/>
      <c r="BN24" s="261"/>
    </row>
    <row r="25" spans="1:66">
      <c r="B25" s="25"/>
      <c r="C25" s="25"/>
      <c r="D25" s="25"/>
      <c r="E25" s="25"/>
      <c r="F25" s="26"/>
      <c r="G25" s="25"/>
      <c r="H25" s="25"/>
      <c r="I25" s="25"/>
      <c r="J25" s="25"/>
      <c r="K25" s="26"/>
      <c r="L25" s="25"/>
      <c r="M25" s="25"/>
      <c r="N25" s="25"/>
      <c r="O25" s="25"/>
      <c r="P25" s="26"/>
      <c r="Q25" s="25"/>
      <c r="R25" s="25"/>
      <c r="S25" s="25"/>
      <c r="T25" s="25"/>
      <c r="U25" s="26"/>
      <c r="V25" s="25"/>
      <c r="W25" s="25"/>
      <c r="X25" s="25"/>
      <c r="Y25" s="25"/>
      <c r="Z25" s="26"/>
      <c r="AA25" s="25"/>
      <c r="AB25" s="25"/>
      <c r="AC25" s="25"/>
      <c r="AD25" s="25"/>
      <c r="AE25" s="26"/>
      <c r="AF25" s="25"/>
      <c r="AG25" s="25"/>
      <c r="AH25" s="25"/>
      <c r="AI25" s="25"/>
      <c r="AJ25" s="26"/>
      <c r="AK25" s="25"/>
      <c r="AL25" s="25"/>
      <c r="AM25" s="25"/>
      <c r="AN25" s="25"/>
      <c r="AO25" s="26"/>
      <c r="AP25" s="25"/>
      <c r="AQ25" s="25"/>
      <c r="AR25" s="25"/>
      <c r="AS25" s="25"/>
      <c r="AT25" s="26"/>
      <c r="AU25" s="25"/>
      <c r="AV25" s="25"/>
      <c r="AW25" s="25"/>
      <c r="AX25" s="25"/>
      <c r="AY25" s="26"/>
      <c r="AZ25" s="25"/>
      <c r="BA25" s="25"/>
      <c r="BB25" s="25"/>
      <c r="BC25" s="25"/>
      <c r="BD25" s="26"/>
      <c r="BE25" s="25"/>
      <c r="BF25" s="25"/>
      <c r="BG25" s="25"/>
      <c r="BH25" s="25"/>
      <c r="BI25" s="26"/>
      <c r="BJ25" s="315"/>
      <c r="BK25" s="315"/>
      <c r="BM25" s="98"/>
      <c r="BN25" s="261"/>
    </row>
    <row r="26" spans="1:66">
      <c r="A26" s="12" t="s">
        <v>292</v>
      </c>
      <c r="B26" s="41"/>
      <c r="C26" s="41"/>
      <c r="D26" s="41"/>
      <c r="E26" s="21"/>
      <c r="F26" s="43"/>
      <c r="G26" s="41"/>
      <c r="H26" s="41"/>
      <c r="I26" s="41"/>
      <c r="J26" s="21"/>
      <c r="K26" s="43"/>
      <c r="L26" s="41"/>
      <c r="M26" s="41"/>
      <c r="N26" s="41"/>
      <c r="O26" s="21"/>
      <c r="P26" s="43"/>
      <c r="Q26" s="41"/>
      <c r="R26" s="41"/>
      <c r="S26" s="41"/>
      <c r="T26" s="21"/>
      <c r="U26" s="43"/>
      <c r="V26" s="41"/>
      <c r="W26" s="41"/>
      <c r="X26" s="41"/>
      <c r="Y26" s="21"/>
      <c r="Z26" s="43"/>
      <c r="AA26" s="41"/>
      <c r="AB26" s="41"/>
      <c r="AC26" s="41"/>
      <c r="AD26" s="41"/>
      <c r="AE26" s="43">
        <v>360</v>
      </c>
      <c r="AF26" s="41"/>
      <c r="AG26" s="41"/>
      <c r="AH26" s="41"/>
      <c r="AI26" s="450"/>
      <c r="AJ26" s="43">
        <v>40</v>
      </c>
      <c r="AK26" s="41">
        <v>3</v>
      </c>
      <c r="AL26" s="41">
        <v>0</v>
      </c>
      <c r="AM26" s="41">
        <v>14</v>
      </c>
      <c r="AN26" s="450">
        <v>2</v>
      </c>
      <c r="AO26" s="43">
        <v>21</v>
      </c>
      <c r="AP26" s="41">
        <v>3</v>
      </c>
      <c r="AQ26" s="41">
        <v>5</v>
      </c>
      <c r="AR26" s="41">
        <v>64</v>
      </c>
      <c r="AS26" s="27">
        <f>AT26-SUM(AP26:AR26)</f>
        <v>-1</v>
      </c>
      <c r="AT26" s="43">
        <v>71</v>
      </c>
      <c r="AU26" s="41">
        <v>6</v>
      </c>
      <c r="AV26" s="41">
        <v>12</v>
      </c>
      <c r="AW26" s="41">
        <v>12</v>
      </c>
      <c r="AX26" s="19">
        <f>AY26-SUM(AU26:AW26)</f>
        <v>17</v>
      </c>
      <c r="AY26" s="43">
        <v>47</v>
      </c>
      <c r="AZ26" s="41">
        <v>113</v>
      </c>
      <c r="BA26" s="41">
        <v>39</v>
      </c>
      <c r="BB26" s="41">
        <v>17</v>
      </c>
      <c r="BC26" s="19">
        <f>BD26-SUM(AZ26:BB26)</f>
        <v>35</v>
      </c>
      <c r="BD26" s="43">
        <v>204</v>
      </c>
      <c r="BE26" s="41">
        <v>-9</v>
      </c>
      <c r="BF26" s="41">
        <v>64</v>
      </c>
      <c r="BG26" s="41">
        <v>0</v>
      </c>
      <c r="BH26" s="41">
        <v>0</v>
      </c>
      <c r="BI26" s="43">
        <f>SUM(BE26:BH26)</f>
        <v>55</v>
      </c>
      <c r="BJ26" s="315"/>
      <c r="BK26" s="315"/>
      <c r="BM26" s="42"/>
      <c r="BN26" s="261"/>
    </row>
    <row r="27" spans="1:66">
      <c r="A27" t="s">
        <v>299</v>
      </c>
      <c r="B27" s="41"/>
      <c r="C27" s="41"/>
      <c r="D27" s="41"/>
      <c r="E27" s="21"/>
      <c r="F27" s="43"/>
      <c r="G27" s="41"/>
      <c r="H27" s="41"/>
      <c r="I27" s="41"/>
      <c r="J27" s="21"/>
      <c r="K27" s="43"/>
      <c r="L27" s="41"/>
      <c r="M27" s="41"/>
      <c r="N27" s="41"/>
      <c r="O27" s="21"/>
      <c r="P27" s="43"/>
      <c r="Q27" s="41"/>
      <c r="R27" s="41"/>
      <c r="S27" s="41"/>
      <c r="T27" s="21"/>
      <c r="U27" s="43"/>
      <c r="V27" s="41"/>
      <c r="W27" s="41"/>
      <c r="X27" s="41"/>
      <c r="Y27" s="21"/>
      <c r="Z27" s="43"/>
      <c r="AA27" s="41"/>
      <c r="AB27" s="41"/>
      <c r="AC27" s="41"/>
      <c r="AD27" s="41"/>
      <c r="AE27" s="43">
        <f>183+125-72+3-595</f>
        <v>-356</v>
      </c>
      <c r="AF27" s="41"/>
      <c r="AG27" s="41"/>
      <c r="AH27" s="41"/>
      <c r="AI27" s="450"/>
      <c r="AJ27" s="43">
        <v>0</v>
      </c>
      <c r="AK27" s="41">
        <v>141</v>
      </c>
      <c r="AL27" s="41">
        <v>71</v>
      </c>
      <c r="AM27" s="41">
        <v>0</v>
      </c>
      <c r="AN27" s="450">
        <v>0</v>
      </c>
      <c r="AO27" s="43">
        <f>141+69</f>
        <v>210</v>
      </c>
      <c r="AP27" s="41">
        <v>3</v>
      </c>
      <c r="AQ27" s="41">
        <v>11</v>
      </c>
      <c r="AR27" s="41">
        <f>19+57</f>
        <v>76</v>
      </c>
      <c r="AS27" s="27">
        <f>AT27-SUM(AP27:AR27)</f>
        <v>-90</v>
      </c>
      <c r="AT27" s="43">
        <f>62-62</f>
        <v>0</v>
      </c>
      <c r="AU27" s="41">
        <f>18+175</f>
        <v>193</v>
      </c>
      <c r="AV27" s="41">
        <v>15</v>
      </c>
      <c r="AW27" s="41">
        <v>22</v>
      </c>
      <c r="AX27" s="19">
        <f>AY27-SUM(AU27:AW27)</f>
        <v>84</v>
      </c>
      <c r="AY27" s="43">
        <f>-99+175+83+155</f>
        <v>314</v>
      </c>
      <c r="AZ27" s="41">
        <v>26</v>
      </c>
      <c r="BA27" s="41">
        <v>37</v>
      </c>
      <c r="BB27" s="41">
        <f>12-95</f>
        <v>-83</v>
      </c>
      <c r="BC27" s="19">
        <f>BD27-SUM(AZ27:BB27)</f>
        <v>-214</v>
      </c>
      <c r="BD27" s="43">
        <f>-309+75</f>
        <v>-234</v>
      </c>
      <c r="BE27" s="41">
        <v>0</v>
      </c>
      <c r="BF27" s="41">
        <v>0</v>
      </c>
      <c r="BG27" s="41">
        <v>0</v>
      </c>
      <c r="BH27" s="41">
        <v>0</v>
      </c>
      <c r="BI27" s="43">
        <f>SUM(BE27:BH27)</f>
        <v>0</v>
      </c>
      <c r="BJ27" s="315"/>
      <c r="BK27" s="315"/>
      <c r="BM27" s="42"/>
      <c r="BN27" s="261"/>
    </row>
    <row r="28" spans="1:66">
      <c r="B28" s="25"/>
      <c r="C28" s="25"/>
      <c r="D28" s="25"/>
      <c r="E28" s="25"/>
      <c r="F28" s="26"/>
      <c r="G28" s="25"/>
      <c r="H28" s="25"/>
      <c r="I28" s="25"/>
      <c r="J28" s="25"/>
      <c r="K28" s="26"/>
      <c r="L28" s="25"/>
      <c r="M28" s="25"/>
      <c r="N28" s="25"/>
      <c r="O28" s="25"/>
      <c r="P28" s="26"/>
      <c r="Q28" s="25"/>
      <c r="R28" s="25"/>
      <c r="S28" s="25"/>
      <c r="T28" s="25"/>
      <c r="U28" s="26"/>
      <c r="V28" s="25"/>
      <c r="W28" s="25"/>
      <c r="X28" s="25"/>
      <c r="Y28" s="25"/>
      <c r="Z28" s="26"/>
      <c r="AA28" s="25"/>
      <c r="AB28" s="25"/>
      <c r="AC28" s="25"/>
      <c r="AD28" s="25"/>
      <c r="AE28" s="26"/>
      <c r="AF28" s="25"/>
      <c r="AG28" s="25"/>
      <c r="AH28" s="25"/>
      <c r="AI28" s="25"/>
      <c r="AJ28" s="26"/>
      <c r="AK28" s="25"/>
      <c r="AL28" s="25"/>
      <c r="AM28" s="25"/>
      <c r="AN28" s="25"/>
      <c r="AO28" s="26"/>
      <c r="AP28" s="25"/>
      <c r="AQ28" s="25"/>
      <c r="AR28" s="25"/>
      <c r="AS28" s="25"/>
      <c r="AT28" s="26"/>
      <c r="AU28" s="25"/>
      <c r="AV28" s="25"/>
      <c r="AW28" s="25"/>
      <c r="AX28" s="25"/>
      <c r="AY28" s="26"/>
      <c r="AZ28" s="25"/>
      <c r="BA28" s="25"/>
      <c r="BB28" s="25"/>
      <c r="BC28" s="25"/>
      <c r="BD28" s="26"/>
      <c r="BE28" s="25"/>
      <c r="BF28" s="25"/>
      <c r="BG28" s="25"/>
      <c r="BH28" s="25"/>
      <c r="BI28" s="26"/>
      <c r="BJ28" s="315"/>
      <c r="BK28" s="315"/>
      <c r="BM28" s="98"/>
      <c r="BN28" s="261"/>
    </row>
    <row r="29" spans="1:66">
      <c r="A29" s="8" t="s">
        <v>223</v>
      </c>
      <c r="B29" s="23">
        <f t="shared" ref="B29:AD29" si="97">B22+B27+B26</f>
        <v>0</v>
      </c>
      <c r="C29" s="23">
        <f t="shared" si="97"/>
        <v>0</v>
      </c>
      <c r="D29" s="23">
        <f t="shared" si="97"/>
        <v>0</v>
      </c>
      <c r="E29" s="23">
        <f t="shared" si="97"/>
        <v>0</v>
      </c>
      <c r="F29" s="24">
        <f t="shared" si="97"/>
        <v>0</v>
      </c>
      <c r="G29" s="23">
        <f t="shared" si="97"/>
        <v>0</v>
      </c>
      <c r="H29" s="23">
        <f t="shared" si="97"/>
        <v>0</v>
      </c>
      <c r="I29" s="23">
        <f t="shared" si="97"/>
        <v>0</v>
      </c>
      <c r="J29" s="23">
        <f t="shared" si="97"/>
        <v>0</v>
      </c>
      <c r="K29" s="24">
        <f t="shared" si="97"/>
        <v>0</v>
      </c>
      <c r="L29" s="23">
        <f t="shared" si="97"/>
        <v>0</v>
      </c>
      <c r="M29" s="23">
        <f t="shared" si="97"/>
        <v>0</v>
      </c>
      <c r="N29" s="23">
        <f t="shared" si="97"/>
        <v>0</v>
      </c>
      <c r="O29" s="23">
        <f t="shared" si="97"/>
        <v>0</v>
      </c>
      <c r="P29" s="24">
        <f t="shared" si="97"/>
        <v>0</v>
      </c>
      <c r="Q29" s="23">
        <f t="shared" si="97"/>
        <v>0</v>
      </c>
      <c r="R29" s="23">
        <f t="shared" si="97"/>
        <v>0</v>
      </c>
      <c r="S29" s="23">
        <f t="shared" si="97"/>
        <v>0</v>
      </c>
      <c r="T29" s="23">
        <f t="shared" si="97"/>
        <v>0</v>
      </c>
      <c r="U29" s="24">
        <f t="shared" si="97"/>
        <v>0</v>
      </c>
      <c r="V29" s="23">
        <f t="shared" si="97"/>
        <v>0</v>
      </c>
      <c r="W29" s="23">
        <f t="shared" si="97"/>
        <v>0</v>
      </c>
      <c r="X29" s="23">
        <f t="shared" si="97"/>
        <v>0</v>
      </c>
      <c r="Y29" s="23">
        <f t="shared" si="97"/>
        <v>0</v>
      </c>
      <c r="Z29" s="24">
        <f t="shared" si="97"/>
        <v>0</v>
      </c>
      <c r="AA29" s="23">
        <f>AA22+AA27+AA26</f>
        <v>0</v>
      </c>
      <c r="AB29" s="23">
        <f t="shared" si="97"/>
        <v>0</v>
      </c>
      <c r="AC29" s="23">
        <f t="shared" si="97"/>
        <v>0</v>
      </c>
      <c r="AD29" s="23">
        <f t="shared" si="97"/>
        <v>0</v>
      </c>
      <c r="AE29" s="24">
        <f>AE22+SUM(AE26:AE27)</f>
        <v>2014</v>
      </c>
      <c r="AF29" s="23">
        <f>AF22+AF27+AF26</f>
        <v>0</v>
      </c>
      <c r="AG29" s="23">
        <f t="shared" ref="AG29:AI29" si="98">AG22+AG27+AG26</f>
        <v>0</v>
      </c>
      <c r="AH29" s="23">
        <f t="shared" si="98"/>
        <v>0</v>
      </c>
      <c r="AI29" s="23">
        <f t="shared" si="98"/>
        <v>0</v>
      </c>
      <c r="AJ29" s="24">
        <f>AJ22+SUM(AJ26:AJ27)</f>
        <v>2420</v>
      </c>
      <c r="AK29" s="23">
        <f>AK22+AK27+AK26</f>
        <v>711</v>
      </c>
      <c r="AL29" s="23">
        <f t="shared" ref="AL29:AN29" si="99">AL22+AL27+AL26</f>
        <v>735</v>
      </c>
      <c r="AM29" s="23">
        <f t="shared" si="99"/>
        <v>756</v>
      </c>
      <c r="AN29" s="23">
        <f t="shared" si="99"/>
        <v>845</v>
      </c>
      <c r="AO29" s="24">
        <f>AO22+SUM(AO26:AO27)</f>
        <v>3047</v>
      </c>
      <c r="AP29" s="23">
        <f>AP22+AP27+AP26</f>
        <v>903</v>
      </c>
      <c r="AQ29" s="23">
        <f t="shared" ref="AQ29:AS29" si="100">AQ22+AQ27+AQ26</f>
        <v>915</v>
      </c>
      <c r="AR29" s="23">
        <f t="shared" si="100"/>
        <v>1043</v>
      </c>
      <c r="AS29" s="23">
        <f t="shared" si="100"/>
        <v>1035</v>
      </c>
      <c r="AT29" s="24">
        <f>AT22+SUM(AT26:AT27)</f>
        <v>3896</v>
      </c>
      <c r="AU29" s="23">
        <f>AU22+AU27+AU26</f>
        <v>1048</v>
      </c>
      <c r="AV29" s="23">
        <f t="shared" ref="AV29:AX29" si="101">AV22+AV27+AV26</f>
        <v>1145</v>
      </c>
      <c r="AW29" s="23">
        <f t="shared" si="101"/>
        <v>1096</v>
      </c>
      <c r="AX29" s="23">
        <f t="shared" si="101"/>
        <v>1207</v>
      </c>
      <c r="AY29" s="24">
        <f>AY22+SUM(AY26:AY27)</f>
        <v>4496</v>
      </c>
      <c r="AZ29" s="23">
        <f>AZ22+AZ27+AZ26</f>
        <v>1227</v>
      </c>
      <c r="BA29" s="23">
        <f t="shared" ref="BA29:BC29" si="102">BA22+BA27+BA26</f>
        <v>1249</v>
      </c>
      <c r="BB29" s="23">
        <f t="shared" si="102"/>
        <v>1194</v>
      </c>
      <c r="BC29" s="23">
        <f t="shared" si="102"/>
        <v>1223</v>
      </c>
      <c r="BD29" s="24">
        <f>BD22+SUM(BD26:BD27)</f>
        <v>4893</v>
      </c>
      <c r="BE29" s="23">
        <f>BE22+BE27+BE26</f>
        <v>1298</v>
      </c>
      <c r="BF29" s="23">
        <f t="shared" ref="BF29" si="103">BF22+BF27+BF26</f>
        <v>1370</v>
      </c>
      <c r="BG29" s="23">
        <f t="shared" ref="BG29" si="104">BG32*BG16</f>
        <v>1378.1244825000001</v>
      </c>
      <c r="BH29" s="23">
        <f>BI29-SUM(BE29:BG29)</f>
        <v>1453.0200574999999</v>
      </c>
      <c r="BI29" s="24">
        <f>BI16*BI32</f>
        <v>5499.1445400000002</v>
      </c>
      <c r="BJ29" s="454" t="s">
        <v>519</v>
      </c>
      <c r="BK29" s="454">
        <f>BI29-BD29</f>
        <v>606.14454000000023</v>
      </c>
      <c r="BL29" s="348"/>
      <c r="BM29" s="96"/>
      <c r="BN29" s="261"/>
    </row>
    <row r="30" spans="1:66">
      <c r="A30" s="1" t="s">
        <v>4</v>
      </c>
      <c r="B30" s="34"/>
      <c r="C30" s="35"/>
      <c r="D30" s="35"/>
      <c r="E30" s="35"/>
      <c r="F30" s="36">
        <v>-1</v>
      </c>
      <c r="G30" s="34" t="e">
        <f t="shared" ref="G30:AE30" si="105">G29/B29-1</f>
        <v>#DIV/0!</v>
      </c>
      <c r="H30" s="35" t="e">
        <f t="shared" si="105"/>
        <v>#DIV/0!</v>
      </c>
      <c r="I30" s="35" t="e">
        <f t="shared" si="105"/>
        <v>#DIV/0!</v>
      </c>
      <c r="J30" s="35" t="e">
        <f t="shared" si="105"/>
        <v>#DIV/0!</v>
      </c>
      <c r="K30" s="36" t="e">
        <f t="shared" si="105"/>
        <v>#DIV/0!</v>
      </c>
      <c r="L30" s="34" t="e">
        <f t="shared" si="105"/>
        <v>#DIV/0!</v>
      </c>
      <c r="M30" s="35" t="e">
        <f t="shared" si="105"/>
        <v>#DIV/0!</v>
      </c>
      <c r="N30" s="35" t="e">
        <f t="shared" si="105"/>
        <v>#DIV/0!</v>
      </c>
      <c r="O30" s="35" t="e">
        <f t="shared" si="105"/>
        <v>#DIV/0!</v>
      </c>
      <c r="P30" s="36" t="e">
        <f t="shared" si="105"/>
        <v>#DIV/0!</v>
      </c>
      <c r="Q30" s="34" t="e">
        <f t="shared" si="105"/>
        <v>#DIV/0!</v>
      </c>
      <c r="R30" s="35" t="e">
        <f t="shared" si="105"/>
        <v>#DIV/0!</v>
      </c>
      <c r="S30" s="35" t="e">
        <f t="shared" si="105"/>
        <v>#DIV/0!</v>
      </c>
      <c r="T30" s="35" t="e">
        <f t="shared" si="105"/>
        <v>#DIV/0!</v>
      </c>
      <c r="U30" s="36" t="e">
        <f t="shared" si="105"/>
        <v>#DIV/0!</v>
      </c>
      <c r="V30" s="34" t="e">
        <f t="shared" si="105"/>
        <v>#DIV/0!</v>
      </c>
      <c r="W30" s="35" t="e">
        <f t="shared" si="105"/>
        <v>#DIV/0!</v>
      </c>
      <c r="X30" s="35" t="e">
        <f t="shared" si="105"/>
        <v>#DIV/0!</v>
      </c>
      <c r="Y30" s="35" t="e">
        <f t="shared" si="105"/>
        <v>#DIV/0!</v>
      </c>
      <c r="Z30" s="36" t="e">
        <f t="shared" si="105"/>
        <v>#DIV/0!</v>
      </c>
      <c r="AA30" s="232" t="e">
        <f>AA29/V29-1</f>
        <v>#DIV/0!</v>
      </c>
      <c r="AB30" s="33" t="e">
        <f t="shared" si="105"/>
        <v>#DIV/0!</v>
      </c>
      <c r="AC30" s="33" t="e">
        <f t="shared" si="105"/>
        <v>#DIV/0!</v>
      </c>
      <c r="AD30" s="33" t="e">
        <f t="shared" si="105"/>
        <v>#DIV/0!</v>
      </c>
      <c r="AE30" s="137" t="e">
        <f t="shared" si="105"/>
        <v>#DIV/0!</v>
      </c>
      <c r="AF30" s="232" t="e">
        <f>AF29/AA29-1</f>
        <v>#DIV/0!</v>
      </c>
      <c r="AG30" s="33" t="e">
        <f t="shared" ref="AG30:AJ30" si="106">AG29/AB29-1</f>
        <v>#DIV/0!</v>
      </c>
      <c r="AH30" s="33" t="e">
        <f t="shared" si="106"/>
        <v>#DIV/0!</v>
      </c>
      <c r="AI30" s="33" t="e">
        <f t="shared" si="106"/>
        <v>#DIV/0!</v>
      </c>
      <c r="AJ30" s="137">
        <f t="shared" si="106"/>
        <v>0.201588877855015</v>
      </c>
      <c r="AK30" s="232" t="e">
        <f>AK29/AF29-1</f>
        <v>#DIV/0!</v>
      </c>
      <c r="AL30" s="33" t="e">
        <f t="shared" ref="AL30:AR30" si="107">AL29/AG29-1</f>
        <v>#DIV/0!</v>
      </c>
      <c r="AM30" s="33" t="e">
        <f t="shared" si="107"/>
        <v>#DIV/0!</v>
      </c>
      <c r="AN30" s="33" t="e">
        <f t="shared" si="107"/>
        <v>#DIV/0!</v>
      </c>
      <c r="AO30" s="137">
        <f t="shared" si="107"/>
        <v>0.25909090909090904</v>
      </c>
      <c r="AP30" s="232">
        <f>AP29/AK29-1</f>
        <v>0.27004219409282704</v>
      </c>
      <c r="AQ30" s="33">
        <f t="shared" si="107"/>
        <v>0.24489795918367352</v>
      </c>
      <c r="AR30" s="33">
        <f t="shared" si="107"/>
        <v>0.37962962962962954</v>
      </c>
      <c r="AS30" s="33">
        <f t="shared" ref="AS30" si="108">AS29/AN29-1</f>
        <v>0.2248520710059172</v>
      </c>
      <c r="AT30" s="137">
        <f t="shared" ref="AT30" si="109">AT29/AO29-1</f>
        <v>0.2786347226780439</v>
      </c>
      <c r="AU30" s="232">
        <f>AU29/AP29-1</f>
        <v>0.16057585825027676</v>
      </c>
      <c r="AV30" s="33">
        <f t="shared" ref="AV30:AW30" si="110">AV29/AQ29-1</f>
        <v>0.25136612021857929</v>
      </c>
      <c r="AW30" s="33">
        <f t="shared" si="110"/>
        <v>5.0814956855225413E-2</v>
      </c>
      <c r="AX30" s="33">
        <f t="shared" ref="AX30" si="111">AX29/AS29-1</f>
        <v>0.16618357487922708</v>
      </c>
      <c r="AY30" s="137">
        <f t="shared" ref="AY30" si="112">AY29/AT29-1</f>
        <v>0.15400410677618059</v>
      </c>
      <c r="AZ30" s="232">
        <f>AZ29/AU29-1</f>
        <v>0.17080152671755733</v>
      </c>
      <c r="BA30" s="33">
        <f t="shared" ref="BA30:BB30" si="113">BA29/AV29-1</f>
        <v>9.0829694323144139E-2</v>
      </c>
      <c r="BB30" s="33">
        <f t="shared" si="113"/>
        <v>8.9416058394160558E-2</v>
      </c>
      <c r="BC30" s="33">
        <f t="shared" ref="BC30" si="114">BC29/AX29-1</f>
        <v>1.3256006628003414E-2</v>
      </c>
      <c r="BD30" s="137">
        <f t="shared" ref="BD30" si="115">BD29/AY29-1</f>
        <v>8.8300711743772187E-2</v>
      </c>
      <c r="BE30" s="232">
        <f>BE29/AZ29-1</f>
        <v>5.7864710676446718E-2</v>
      </c>
      <c r="BF30" s="33">
        <f t="shared" ref="BF30" si="116">BF29/BA29-1</f>
        <v>9.6877502001601279E-2</v>
      </c>
      <c r="BG30" s="33">
        <f t="shared" ref="BG30" si="117">BG29/BB29-1</f>
        <v>0.15420810929648243</v>
      </c>
      <c r="BH30" s="33">
        <f t="shared" ref="BH30" si="118">BH29/BC29-1</f>
        <v>0.18807854251839728</v>
      </c>
      <c r="BI30" s="137">
        <f t="shared" ref="BI30" si="119">BI29/BD29-1</f>
        <v>0.12387993868792146</v>
      </c>
      <c r="BM30" s="31"/>
      <c r="BN30" s="261"/>
    </row>
    <row r="31" spans="1:66">
      <c r="B31" s="25"/>
      <c r="C31" s="25"/>
      <c r="D31" s="25"/>
      <c r="E31" s="25"/>
      <c r="F31" s="26"/>
      <c r="G31" s="25"/>
      <c r="H31" s="25"/>
      <c r="I31" s="25"/>
      <c r="J31" s="25"/>
      <c r="K31" s="26"/>
      <c r="L31" s="25"/>
      <c r="M31" s="25"/>
      <c r="N31" s="25"/>
      <c r="O31" s="25"/>
      <c r="P31" s="26"/>
      <c r="Q31" s="25"/>
      <c r="R31" s="25"/>
      <c r="S31" s="25"/>
      <c r="T31" s="25"/>
      <c r="U31" s="26"/>
      <c r="V31" s="25"/>
      <c r="W31" s="25"/>
      <c r="X31" s="25"/>
      <c r="Y31" s="25"/>
      <c r="Z31" s="26"/>
      <c r="AA31" s="25"/>
      <c r="AB31" s="25"/>
      <c r="AC31" s="25"/>
      <c r="AD31" s="25"/>
      <c r="AE31" s="26"/>
      <c r="AF31" s="25"/>
      <c r="AG31" s="25"/>
      <c r="AH31" s="25"/>
      <c r="AI31" s="25"/>
      <c r="AJ31" s="26"/>
      <c r="AK31" s="25"/>
      <c r="AL31" s="25"/>
      <c r="AM31" s="25"/>
      <c r="AN31" s="25"/>
      <c r="AO31" s="26"/>
      <c r="AP31" s="25"/>
      <c r="AQ31" s="25"/>
      <c r="AR31" s="25"/>
      <c r="AS31" s="25"/>
      <c r="AT31" s="26"/>
      <c r="AU31" s="25"/>
      <c r="AV31" s="25"/>
      <c r="AW31" s="25"/>
      <c r="AX31" s="25"/>
      <c r="AY31" s="26"/>
      <c r="AZ31" s="25"/>
      <c r="BA31" s="25"/>
      <c r="BB31" s="25"/>
      <c r="BC31" s="25"/>
      <c r="BD31" s="26"/>
      <c r="BE31" s="25"/>
      <c r="BF31" s="25"/>
      <c r="BG31" s="25"/>
      <c r="BH31" s="25"/>
      <c r="BI31" s="26"/>
      <c r="BM31" s="98"/>
      <c r="BN31" s="261"/>
    </row>
    <row r="32" spans="1:66" s="4" customFormat="1">
      <c r="A32" s="8" t="s">
        <v>224</v>
      </c>
      <c r="B32" s="122" t="e">
        <f t="shared" ref="B32:AA32" si="120">+B29/B16</f>
        <v>#DIV/0!</v>
      </c>
      <c r="C32" s="122" t="e">
        <f t="shared" si="120"/>
        <v>#DIV/0!</v>
      </c>
      <c r="D32" s="122" t="e">
        <f t="shared" si="120"/>
        <v>#DIV/0!</v>
      </c>
      <c r="E32" s="122" t="e">
        <f t="shared" si="120"/>
        <v>#DIV/0!</v>
      </c>
      <c r="F32" s="123" t="e">
        <f t="shared" si="120"/>
        <v>#DIV/0!</v>
      </c>
      <c r="G32" s="122" t="e">
        <f t="shared" si="120"/>
        <v>#DIV/0!</v>
      </c>
      <c r="H32" s="122" t="e">
        <f t="shared" si="120"/>
        <v>#DIV/0!</v>
      </c>
      <c r="I32" s="122" t="e">
        <f t="shared" si="120"/>
        <v>#DIV/0!</v>
      </c>
      <c r="J32" s="122" t="e">
        <f t="shared" si="120"/>
        <v>#DIV/0!</v>
      </c>
      <c r="K32" s="123" t="e">
        <f t="shared" si="120"/>
        <v>#DIV/0!</v>
      </c>
      <c r="L32" s="122" t="e">
        <f t="shared" si="120"/>
        <v>#DIV/0!</v>
      </c>
      <c r="M32" s="122" t="e">
        <f t="shared" si="120"/>
        <v>#DIV/0!</v>
      </c>
      <c r="N32" s="122" t="e">
        <f t="shared" si="120"/>
        <v>#DIV/0!</v>
      </c>
      <c r="O32" s="122" t="e">
        <f t="shared" si="120"/>
        <v>#DIV/0!</v>
      </c>
      <c r="P32" s="123" t="e">
        <f t="shared" si="120"/>
        <v>#DIV/0!</v>
      </c>
      <c r="Q32" s="122" t="e">
        <f t="shared" si="120"/>
        <v>#DIV/0!</v>
      </c>
      <c r="R32" s="122" t="e">
        <f t="shared" si="120"/>
        <v>#DIV/0!</v>
      </c>
      <c r="S32" s="122" t="e">
        <f t="shared" si="120"/>
        <v>#DIV/0!</v>
      </c>
      <c r="T32" s="122" t="e">
        <f t="shared" si="120"/>
        <v>#DIV/0!</v>
      </c>
      <c r="U32" s="123" t="e">
        <f t="shared" si="120"/>
        <v>#DIV/0!</v>
      </c>
      <c r="V32" s="122" t="e">
        <f t="shared" si="120"/>
        <v>#DIV/0!</v>
      </c>
      <c r="W32" s="122" t="e">
        <f t="shared" si="120"/>
        <v>#DIV/0!</v>
      </c>
      <c r="X32" s="122" t="e">
        <f t="shared" si="120"/>
        <v>#DIV/0!</v>
      </c>
      <c r="Y32" s="122" t="e">
        <f t="shared" si="120"/>
        <v>#DIV/0!</v>
      </c>
      <c r="Z32" s="123" t="e">
        <f t="shared" si="120"/>
        <v>#DIV/0!</v>
      </c>
      <c r="AA32" s="122" t="e">
        <f t="shared" si="120"/>
        <v>#DIV/0!</v>
      </c>
      <c r="AB32" s="122" t="e">
        <f>+AB29/AB16</f>
        <v>#DIV/0!</v>
      </c>
      <c r="AC32" s="122" t="e">
        <f>+AC29/AC16</f>
        <v>#DIV/0!</v>
      </c>
      <c r="AD32" s="122" t="e">
        <f>+AD29/AD16</f>
        <v>#DIV/0!</v>
      </c>
      <c r="AE32" s="123">
        <f>+AE29/AE16</f>
        <v>9.1591250170539817E-2</v>
      </c>
      <c r="AF32" s="122" t="e">
        <f t="shared" ref="AF32" si="121">+AF29/AF16</f>
        <v>#DIV/0!</v>
      </c>
      <c r="AG32" s="122" t="e">
        <f>+AG29/AG16</f>
        <v>#DIV/0!</v>
      </c>
      <c r="AH32" s="122" t="e">
        <f>+AH29/AH16</f>
        <v>#DIV/0!</v>
      </c>
      <c r="AI32" s="122" t="e">
        <f>+AI29/AI16</f>
        <v>#DIV/0!</v>
      </c>
      <c r="AJ32" s="123">
        <f>+AJ29/AJ16</f>
        <v>0.11440998487140695</v>
      </c>
      <c r="AK32" s="122">
        <f t="shared" ref="AK32" si="122">+AK29/AK16</f>
        <v>0.12983929875821767</v>
      </c>
      <c r="AL32" s="122">
        <f>+AL29/AL16</f>
        <v>0.13062022392038386</v>
      </c>
      <c r="AM32" s="122">
        <f>+AM29/AM16</f>
        <v>0.13221406086044071</v>
      </c>
      <c r="AN32" s="122">
        <f>+AN29/AN16</f>
        <v>0.13561226127427378</v>
      </c>
      <c r="AO32" s="123">
        <f>+AO29/AO16</f>
        <v>0.13217942044074266</v>
      </c>
      <c r="AP32" s="122">
        <f t="shared" ref="AP32" si="123">+AP29/AP16</f>
        <v>0.14754901960784314</v>
      </c>
      <c r="AQ32" s="122">
        <f>+AQ29/AQ16</f>
        <v>0.14332706766917294</v>
      </c>
      <c r="AR32" s="122">
        <f>+AR29/AR16</f>
        <v>0.15599760693987436</v>
      </c>
      <c r="AS32" s="122">
        <f>+AS29/AS16</f>
        <v>0.14768835616438356</v>
      </c>
      <c r="AT32" s="123">
        <f>+AT29/AT16</f>
        <v>0.14871364226276815</v>
      </c>
      <c r="AU32" s="122">
        <f t="shared" ref="AU32" si="124">+AU29/AU16</f>
        <v>0.15705080173834857</v>
      </c>
      <c r="AV32" s="122">
        <f>+AV29/AV16</f>
        <v>0.16359479925703671</v>
      </c>
      <c r="AW32" s="122">
        <f>+AW29/AW16</f>
        <v>0.15491166077738516</v>
      </c>
      <c r="AX32" s="122">
        <f>+AX29/AX16</f>
        <v>0.16014329308743533</v>
      </c>
      <c r="AY32" s="123">
        <f>+AY29/AY16</f>
        <v>0.15895912883609106</v>
      </c>
      <c r="AZ32" s="122">
        <f t="shared" ref="AZ32" si="125">+AZ29/AZ16</f>
        <v>0.17001524179021754</v>
      </c>
      <c r="BA32" s="122">
        <f>+BA29/BA16</f>
        <v>0.16386775124639202</v>
      </c>
      <c r="BB32" s="122">
        <f>+BB29/BB16</f>
        <v>0.15667235270961816</v>
      </c>
      <c r="BC32" s="122">
        <f>+BC29/BC16</f>
        <v>0.15809203722854187</v>
      </c>
      <c r="BD32" s="123">
        <f>+BD29/BD16</f>
        <v>0.16204132997748047</v>
      </c>
      <c r="BE32" s="122">
        <f t="shared" ref="BE32" si="126">+BE29/BE16</f>
        <v>0.17074454091028676</v>
      </c>
      <c r="BF32" s="122">
        <f>+BF29/BF16</f>
        <v>0.16686967113276491</v>
      </c>
      <c r="BG32" s="195">
        <v>0.17100000000000001</v>
      </c>
      <c r="BH32" s="122">
        <f>BH29/BH16</f>
        <v>0.17532601621773433</v>
      </c>
      <c r="BI32" s="208">
        <v>0.17100000000000001</v>
      </c>
      <c r="BM32" s="361"/>
      <c r="BN32" s="455"/>
    </row>
    <row r="33" spans="1:66">
      <c r="A33" s="1" t="s">
        <v>4</v>
      </c>
      <c r="B33" s="34"/>
      <c r="C33" s="35"/>
      <c r="D33" s="35"/>
      <c r="E33" s="35"/>
      <c r="F33" s="36">
        <v>-2146826281</v>
      </c>
      <c r="G33" s="34" t="e">
        <f t="shared" ref="G33:AR33" si="127">G32/B32-1</f>
        <v>#DIV/0!</v>
      </c>
      <c r="H33" s="35" t="e">
        <f t="shared" si="127"/>
        <v>#DIV/0!</v>
      </c>
      <c r="I33" s="35" t="e">
        <f t="shared" si="127"/>
        <v>#DIV/0!</v>
      </c>
      <c r="J33" s="35" t="e">
        <f t="shared" si="127"/>
        <v>#DIV/0!</v>
      </c>
      <c r="K33" s="36" t="e">
        <f t="shared" si="127"/>
        <v>#DIV/0!</v>
      </c>
      <c r="L33" s="34" t="e">
        <f t="shared" si="127"/>
        <v>#DIV/0!</v>
      </c>
      <c r="M33" s="35" t="e">
        <f t="shared" si="127"/>
        <v>#DIV/0!</v>
      </c>
      <c r="N33" s="35" t="e">
        <f t="shared" si="127"/>
        <v>#DIV/0!</v>
      </c>
      <c r="O33" s="35" t="e">
        <f t="shared" si="127"/>
        <v>#DIV/0!</v>
      </c>
      <c r="P33" s="36" t="e">
        <f t="shared" si="127"/>
        <v>#DIV/0!</v>
      </c>
      <c r="Q33" s="34" t="e">
        <f t="shared" si="127"/>
        <v>#DIV/0!</v>
      </c>
      <c r="R33" s="35" t="e">
        <f t="shared" si="127"/>
        <v>#DIV/0!</v>
      </c>
      <c r="S33" s="35" t="e">
        <f t="shared" si="127"/>
        <v>#DIV/0!</v>
      </c>
      <c r="T33" s="35" t="e">
        <f t="shared" si="127"/>
        <v>#DIV/0!</v>
      </c>
      <c r="U33" s="36" t="e">
        <f t="shared" si="127"/>
        <v>#DIV/0!</v>
      </c>
      <c r="V33" s="34" t="e">
        <f t="shared" si="127"/>
        <v>#DIV/0!</v>
      </c>
      <c r="W33" s="35" t="e">
        <f t="shared" si="127"/>
        <v>#DIV/0!</v>
      </c>
      <c r="X33" s="35" t="e">
        <f t="shared" si="127"/>
        <v>#DIV/0!</v>
      </c>
      <c r="Y33" s="35" t="e">
        <f t="shared" si="127"/>
        <v>#DIV/0!</v>
      </c>
      <c r="Z33" s="36" t="e">
        <f t="shared" si="127"/>
        <v>#DIV/0!</v>
      </c>
      <c r="AA33" s="232" t="e">
        <f t="shared" si="127"/>
        <v>#DIV/0!</v>
      </c>
      <c r="AB33" s="33" t="e">
        <f t="shared" si="127"/>
        <v>#DIV/0!</v>
      </c>
      <c r="AC33" s="33" t="e">
        <f t="shared" si="127"/>
        <v>#DIV/0!</v>
      </c>
      <c r="AD33" s="33" t="e">
        <f t="shared" si="127"/>
        <v>#DIV/0!</v>
      </c>
      <c r="AE33" s="137" t="e">
        <f t="shared" si="127"/>
        <v>#DIV/0!</v>
      </c>
      <c r="AF33" s="232" t="e">
        <f t="shared" si="127"/>
        <v>#DIV/0!</v>
      </c>
      <c r="AG33" s="33" t="e">
        <f t="shared" si="127"/>
        <v>#DIV/0!</v>
      </c>
      <c r="AH33" s="33" t="e">
        <f t="shared" si="127"/>
        <v>#DIV/0!</v>
      </c>
      <c r="AI33" s="33" t="e">
        <f t="shared" si="127"/>
        <v>#DIV/0!</v>
      </c>
      <c r="AJ33" s="137">
        <f t="shared" si="127"/>
        <v>0.24913662231249623</v>
      </c>
      <c r="AK33" s="232" t="e">
        <f t="shared" si="127"/>
        <v>#DIV/0!</v>
      </c>
      <c r="AL33" s="33" t="e">
        <f t="shared" si="127"/>
        <v>#DIV/0!</v>
      </c>
      <c r="AM33" s="33" t="e">
        <f t="shared" si="127"/>
        <v>#DIV/0!</v>
      </c>
      <c r="AN33" s="33" t="e">
        <f t="shared" si="127"/>
        <v>#DIV/0!</v>
      </c>
      <c r="AO33" s="137">
        <f t="shared" si="127"/>
        <v>0.1553136781663591</v>
      </c>
      <c r="AP33" s="232">
        <f t="shared" si="127"/>
        <v>0.13639723118501967</v>
      </c>
      <c r="AQ33" s="33">
        <f t="shared" si="127"/>
        <v>9.7280829625083109E-2</v>
      </c>
      <c r="AR33" s="33">
        <f t="shared" si="127"/>
        <v>0.17988666201349424</v>
      </c>
      <c r="AS33" s="33">
        <f t="shared" ref="AS33" si="128">AS32/AN32-1</f>
        <v>8.904869498257284E-2</v>
      </c>
      <c r="AT33" s="137">
        <f t="shared" ref="AT33:AW33" si="129">AT32/AO32-1</f>
        <v>0.12508922922262289</v>
      </c>
      <c r="AU33" s="232">
        <f t="shared" si="129"/>
        <v>6.4397460286481856E-2</v>
      </c>
      <c r="AV33" s="33">
        <f t="shared" si="129"/>
        <v>0.14140896006221015</v>
      </c>
      <c r="AW33" s="33">
        <f t="shared" si="129"/>
        <v>-6.961300136531845E-3</v>
      </c>
      <c r="AX33" s="33">
        <f t="shared" ref="AX33" si="130">AX32/AS32-1</f>
        <v>8.4332558412315795E-2</v>
      </c>
      <c r="AY33" s="137">
        <f t="shared" ref="AY33:BB33" si="131">AY32/AT32-1</f>
        <v>6.8894059868561008E-2</v>
      </c>
      <c r="AZ33" s="232">
        <f t="shared" si="131"/>
        <v>8.254934013942905E-2</v>
      </c>
      <c r="BA33" s="33">
        <f t="shared" si="131"/>
        <v>1.6684637323125528E-3</v>
      </c>
      <c r="BB33" s="33">
        <f t="shared" si="131"/>
        <v>1.1365780493201028E-2</v>
      </c>
      <c r="BC33" s="33">
        <f t="shared" ref="BC33" si="132">BC32/AX32-1</f>
        <v>-1.2808877720364542E-2</v>
      </c>
      <c r="BD33" s="137">
        <f t="shared" ref="BD33:BF33" si="133">BD32/AY32-1</f>
        <v>1.9389897038046611E-2</v>
      </c>
      <c r="BE33" s="232">
        <f t="shared" si="133"/>
        <v>4.2896102278235926E-3</v>
      </c>
      <c r="BF33" s="33">
        <f t="shared" si="133"/>
        <v>1.8319162028770375E-2</v>
      </c>
      <c r="BG33" s="33">
        <f t="shared" ref="BG33" si="134">BG32/BB32-1</f>
        <v>9.1449748743718695E-2</v>
      </c>
      <c r="BH33" s="33">
        <f t="shared" ref="BH33" si="135">BH32/BC32-1</f>
        <v>0.10901231517611842</v>
      </c>
      <c r="BI33" s="137">
        <f t="shared" ref="BI33" si="136">BI32/BD32-1</f>
        <v>5.5286327406499192E-2</v>
      </c>
      <c r="BM33" s="261"/>
      <c r="BN33" s="261"/>
    </row>
    <row r="34" spans="1:66">
      <c r="A34" s="1" t="s">
        <v>454</v>
      </c>
      <c r="B34" s="25"/>
      <c r="C34" s="25"/>
      <c r="D34" s="25"/>
      <c r="E34" s="25"/>
      <c r="F34" s="26"/>
      <c r="G34" s="25"/>
      <c r="H34" s="25"/>
      <c r="I34" s="25"/>
      <c r="J34" s="25"/>
      <c r="K34" s="26"/>
      <c r="L34" s="25"/>
      <c r="M34" s="25"/>
      <c r="N34" s="25"/>
      <c r="O34" s="25"/>
      <c r="P34" s="26"/>
      <c r="Q34" s="25"/>
      <c r="R34" s="25"/>
      <c r="S34" s="25"/>
      <c r="T34" s="25"/>
      <c r="U34" s="26"/>
      <c r="V34" s="25"/>
      <c r="W34" s="25"/>
      <c r="X34" s="25"/>
      <c r="Y34" s="25"/>
      <c r="Z34" s="26"/>
      <c r="AA34" s="25"/>
      <c r="AB34" s="25"/>
      <c r="AC34" s="25"/>
      <c r="AD34" s="25"/>
      <c r="AE34" s="26"/>
      <c r="AF34" s="25"/>
      <c r="AG34" s="25"/>
      <c r="AH34" s="25"/>
      <c r="AI34" s="25"/>
      <c r="AJ34" s="26"/>
      <c r="AK34" s="273">
        <f t="shared" ref="AK34" si="137">(AK29-AF29)/(AK16-AF16)</f>
        <v>0.12983929875821767</v>
      </c>
      <c r="AL34" s="25"/>
      <c r="AM34" s="25"/>
      <c r="AN34" s="25"/>
      <c r="AO34" s="26"/>
      <c r="AP34" s="273">
        <f t="shared" ref="AP34" si="138">(AP29-AK29)/(AP16-AK16)</f>
        <v>0.29813664596273293</v>
      </c>
      <c r="AQ34" s="273">
        <f t="shared" ref="AQ34" si="139">(AQ29-AL29)/(AQ16-AL16)</f>
        <v>0.23778071334214002</v>
      </c>
      <c r="AR34" s="441">
        <f t="shared" ref="AR34:AW34" si="140">(AR29-AM29)/(AR16-AM16)</f>
        <v>0.29648760330578511</v>
      </c>
      <c r="AS34" s="441">
        <f t="shared" si="140"/>
        <v>0.24453024453024452</v>
      </c>
      <c r="AT34" s="441">
        <f t="shared" si="140"/>
        <v>0.26986649713922439</v>
      </c>
      <c r="AU34" s="273">
        <f t="shared" si="140"/>
        <v>0.26220614828209765</v>
      </c>
      <c r="AV34" s="273">
        <f t="shared" si="140"/>
        <v>0.37398373983739835</v>
      </c>
      <c r="AW34" s="441">
        <f t="shared" si="140"/>
        <v>0.13624678663239073</v>
      </c>
      <c r="AX34" s="441">
        <f t="shared" ref="AX34" si="141">(AX29-AS29)/(AX16-AS16)</f>
        <v>0.32514177693761814</v>
      </c>
      <c r="AY34" s="441">
        <f t="shared" ref="AY34:BB34" si="142">(AY29-AT29)/(AY16-AT16)</f>
        <v>0.28763183125599234</v>
      </c>
      <c r="AZ34" s="273">
        <f t="shared" si="142"/>
        <v>0.32904411764705882</v>
      </c>
      <c r="BA34" s="273">
        <f t="shared" si="142"/>
        <v>0.16693418940609953</v>
      </c>
      <c r="BB34" s="441">
        <f t="shared" si="142"/>
        <v>0.17948717948717949</v>
      </c>
      <c r="BC34" s="441">
        <f t="shared" ref="BC34" si="143">(BC29-AX29)/(BC16-AX16)</f>
        <v>8.0402010050251257E-2</v>
      </c>
      <c r="BD34" s="441">
        <f t="shared" ref="BD34:BF34" si="144">(BD29-AY29)/(BD16-AY16)</f>
        <v>0.20763598326359833</v>
      </c>
      <c r="BE34" s="273">
        <f t="shared" si="144"/>
        <v>0.18441558441558442</v>
      </c>
      <c r="BF34" s="273">
        <f t="shared" si="144"/>
        <v>0.20578231292517007</v>
      </c>
      <c r="BG34" s="441">
        <f t="shared" ref="BG34" si="145">(BG29-BB29)/(BG16-BB16)</f>
        <v>0.42017647461533619</v>
      </c>
      <c r="BH34" s="441">
        <f t="shared" ref="BH34" si="146">(BH29-BC29)/(BH16-BC16)</f>
        <v>0.41705621608880877</v>
      </c>
      <c r="BI34" s="507">
        <f>(BI29-BD29)/(BI16-BD16)</f>
        <v>0.30882569265414722</v>
      </c>
    </row>
    <row r="35" spans="1:66">
      <c r="A35" s="1"/>
      <c r="B35" s="25"/>
      <c r="C35" s="25"/>
      <c r="D35" s="25"/>
      <c r="E35" s="25"/>
      <c r="F35" s="26"/>
      <c r="G35" s="25"/>
      <c r="H35" s="25"/>
      <c r="I35" s="25"/>
      <c r="J35" s="25"/>
      <c r="K35" s="26"/>
      <c r="L35" s="25"/>
      <c r="M35" s="25"/>
      <c r="N35" s="25"/>
      <c r="O35" s="25"/>
      <c r="P35" s="26"/>
      <c r="Q35" s="25"/>
      <c r="R35" s="25"/>
      <c r="S35" s="25"/>
      <c r="T35" s="25"/>
      <c r="U35" s="26"/>
      <c r="V35" s="25"/>
      <c r="W35" s="25"/>
      <c r="X35" s="25"/>
      <c r="Y35" s="25"/>
      <c r="Z35" s="26"/>
      <c r="AA35" s="25"/>
      <c r="AB35" s="25"/>
      <c r="AC35" s="25"/>
      <c r="AD35" s="25"/>
      <c r="AE35" s="26"/>
      <c r="AF35" s="25"/>
      <c r="AG35" s="25"/>
      <c r="AH35" s="25"/>
      <c r="AI35" s="25"/>
      <c r="AJ35" s="26"/>
      <c r="AK35" s="273"/>
      <c r="AL35" s="25"/>
      <c r="AM35" s="25"/>
      <c r="AN35" s="25"/>
      <c r="AO35" s="26"/>
      <c r="AP35" s="273"/>
      <c r="AQ35" s="25"/>
      <c r="AR35" s="25"/>
      <c r="AS35" s="25"/>
      <c r="AT35" s="26"/>
      <c r="AU35" s="25"/>
      <c r="AV35" s="25"/>
      <c r="AW35" s="25"/>
      <c r="AX35" s="25"/>
      <c r="AY35" s="26"/>
      <c r="AZ35" s="25"/>
      <c r="BA35" s="25"/>
      <c r="BB35" s="25"/>
      <c r="BC35" s="25"/>
      <c r="BD35" s="26"/>
      <c r="BE35" s="25"/>
      <c r="BF35" s="25"/>
      <c r="BG35" s="25"/>
      <c r="BH35" s="25"/>
      <c r="BI35" s="26"/>
    </row>
    <row r="36" spans="1:66" ht="15" hidden="1" customHeight="1" outlineLevel="1">
      <c r="A36" s="13" t="s">
        <v>66</v>
      </c>
      <c r="B36" s="25"/>
      <c r="C36" s="25"/>
      <c r="D36" s="25"/>
      <c r="E36" s="25"/>
      <c r="F36" s="26"/>
      <c r="G36" s="25"/>
      <c r="H36" s="25"/>
      <c r="I36" s="25"/>
      <c r="J36" s="25"/>
      <c r="K36" s="26"/>
      <c r="L36" s="25"/>
      <c r="M36" s="25"/>
      <c r="N36" s="25"/>
      <c r="O36" s="25"/>
      <c r="P36" s="26"/>
      <c r="Q36" s="25"/>
      <c r="R36" s="25"/>
      <c r="S36" s="25"/>
      <c r="T36" s="25"/>
      <c r="U36" s="26"/>
      <c r="V36" s="25"/>
      <c r="W36" s="25"/>
      <c r="X36" s="25"/>
      <c r="Y36" s="25"/>
      <c r="Z36" s="26"/>
      <c r="AA36" s="25"/>
      <c r="AB36" s="25"/>
      <c r="AC36" s="25"/>
      <c r="AD36" s="25"/>
      <c r="AE36" s="26"/>
      <c r="AF36" s="25"/>
      <c r="AG36" s="25"/>
      <c r="AH36" s="25"/>
      <c r="AI36" s="25"/>
      <c r="AJ36" s="26"/>
      <c r="AK36" s="273"/>
      <c r="AL36" s="25"/>
      <c r="AM36" s="25"/>
      <c r="AN36" s="25"/>
      <c r="AO36" s="26"/>
      <c r="AP36" s="273"/>
      <c r="AQ36" s="25"/>
      <c r="AR36" s="25"/>
      <c r="AS36" s="25"/>
      <c r="AT36" s="26"/>
      <c r="AU36" s="25"/>
      <c r="AV36" s="25"/>
      <c r="AW36" s="25"/>
      <c r="AX36" s="25"/>
      <c r="AY36" s="26"/>
      <c r="AZ36" s="25"/>
      <c r="BA36" s="25"/>
      <c r="BB36" s="25"/>
      <c r="BC36" s="25"/>
      <c r="BD36" s="26"/>
      <c r="BE36" s="25"/>
      <c r="BF36" s="25"/>
      <c r="BG36" s="25"/>
      <c r="BH36" s="25"/>
      <c r="BI36" s="26"/>
    </row>
    <row r="37" spans="1:66" ht="15" hidden="1" customHeight="1" outlineLevel="1">
      <c r="A37" s="1" t="s">
        <v>1</v>
      </c>
      <c r="B37" s="113"/>
      <c r="C37" s="114"/>
      <c r="D37" s="114"/>
      <c r="E37" s="114"/>
      <c r="F37" s="26"/>
      <c r="G37" s="25"/>
      <c r="H37" s="25"/>
      <c r="I37" s="25"/>
      <c r="J37" s="25"/>
      <c r="K37" s="26"/>
      <c r="L37" s="25"/>
      <c r="M37" s="25"/>
      <c r="N37" s="25"/>
      <c r="O37" s="25"/>
      <c r="P37" s="26"/>
      <c r="Q37" s="25"/>
      <c r="R37" s="25"/>
      <c r="S37" s="25"/>
      <c r="T37" s="25"/>
      <c r="U37" s="26"/>
      <c r="V37" s="25"/>
      <c r="W37" s="25"/>
      <c r="X37" s="25"/>
      <c r="Y37" s="25"/>
      <c r="Z37" s="26"/>
      <c r="AA37" s="25"/>
      <c r="AB37" s="25"/>
      <c r="AC37" s="25"/>
      <c r="AD37" s="25"/>
      <c r="AE37" s="26"/>
      <c r="AF37" s="25"/>
      <c r="AG37" s="25"/>
      <c r="AH37" s="25"/>
      <c r="AI37" s="25"/>
      <c r="AJ37" s="26"/>
      <c r="AK37" s="273"/>
      <c r="AL37" s="25"/>
      <c r="AM37" s="25"/>
      <c r="AN37" s="25"/>
      <c r="AO37" s="26"/>
      <c r="AP37" s="273"/>
      <c r="AQ37" s="25"/>
      <c r="AR37" s="25"/>
      <c r="AS37" s="25"/>
      <c r="AT37" s="26"/>
      <c r="AU37" s="25"/>
      <c r="AV37" s="25"/>
      <c r="AW37" s="25"/>
      <c r="AX37" s="25"/>
      <c r="AY37" s="26"/>
      <c r="AZ37" s="25"/>
      <c r="BA37" s="25"/>
      <c r="BB37" s="25"/>
      <c r="BC37" s="25"/>
      <c r="BD37" s="26"/>
      <c r="BE37" s="25"/>
      <c r="BF37" s="25"/>
      <c r="BG37" s="25"/>
      <c r="BH37" s="25"/>
      <c r="BI37" s="26"/>
    </row>
    <row r="38" spans="1:66" ht="15" hidden="1" customHeight="1" outlineLevel="1">
      <c r="A38" s="1" t="s">
        <v>2</v>
      </c>
      <c r="B38" s="113"/>
      <c r="C38" s="114"/>
      <c r="D38" s="114"/>
      <c r="E38" s="114"/>
      <c r="F38" s="26"/>
      <c r="G38" s="25"/>
      <c r="H38" s="25"/>
      <c r="I38" s="25"/>
      <c r="J38" s="25"/>
      <c r="K38" s="26"/>
      <c r="L38" s="25"/>
      <c r="M38" s="25"/>
      <c r="N38" s="25"/>
      <c r="O38" s="25"/>
      <c r="P38" s="26"/>
      <c r="Q38" s="25"/>
      <c r="R38" s="25"/>
      <c r="S38" s="25"/>
      <c r="T38" s="25"/>
      <c r="U38" s="26"/>
      <c r="V38" s="25"/>
      <c r="W38" s="25"/>
      <c r="X38" s="25"/>
      <c r="Y38" s="25"/>
      <c r="Z38" s="26"/>
      <c r="AA38" s="25"/>
      <c r="AB38" s="25"/>
      <c r="AC38" s="25"/>
      <c r="AD38" s="25"/>
      <c r="AE38" s="26"/>
      <c r="AF38" s="25"/>
      <c r="AG38" s="25"/>
      <c r="AH38" s="25"/>
      <c r="AI38" s="25"/>
      <c r="AJ38" s="26"/>
      <c r="AK38" s="273"/>
      <c r="AL38" s="25"/>
      <c r="AM38" s="25"/>
      <c r="AN38" s="25"/>
      <c r="AO38" s="26"/>
      <c r="AP38" s="273"/>
      <c r="AQ38" s="25"/>
      <c r="AR38" s="25"/>
      <c r="AS38" s="25"/>
      <c r="AT38" s="26"/>
      <c r="AU38" s="25"/>
      <c r="AV38" s="25"/>
      <c r="AW38" s="25"/>
      <c r="AX38" s="25"/>
      <c r="AY38" s="26"/>
      <c r="AZ38" s="25"/>
      <c r="BA38" s="25"/>
      <c r="BB38" s="25"/>
      <c r="BC38" s="25"/>
      <c r="BD38" s="26"/>
      <c r="BE38" s="25"/>
      <c r="BF38" s="25"/>
      <c r="BG38" s="25"/>
      <c r="BH38" s="25"/>
      <c r="BI38" s="26"/>
    </row>
    <row r="39" spans="1:66" ht="15" hidden="1" customHeight="1" outlineLevel="1">
      <c r="A39" s="1"/>
      <c r="B39" s="25"/>
      <c r="C39" s="25"/>
      <c r="D39" s="25"/>
      <c r="E39" s="25"/>
      <c r="F39" s="26"/>
      <c r="G39" s="25"/>
      <c r="H39" s="25"/>
      <c r="I39" s="25"/>
      <c r="J39" s="25"/>
      <c r="K39" s="26"/>
      <c r="L39" s="25"/>
      <c r="M39" s="25"/>
      <c r="N39" s="25"/>
      <c r="O39" s="25"/>
      <c r="P39" s="26"/>
      <c r="Q39" s="25"/>
      <c r="R39" s="25"/>
      <c r="S39" s="25"/>
      <c r="T39" s="25"/>
      <c r="U39" s="26"/>
      <c r="V39" s="25"/>
      <c r="W39" s="25"/>
      <c r="X39" s="25"/>
      <c r="Y39" s="25"/>
      <c r="Z39" s="26"/>
      <c r="AA39" s="25"/>
      <c r="AB39" s="25"/>
      <c r="AC39" s="25"/>
      <c r="AD39" s="25"/>
      <c r="AE39" s="26"/>
      <c r="AF39" s="25"/>
      <c r="AG39" s="25"/>
      <c r="AH39" s="25"/>
      <c r="AI39" s="25"/>
      <c r="AJ39" s="26"/>
      <c r="AK39" s="273"/>
      <c r="AL39" s="25"/>
      <c r="AM39" s="25"/>
      <c r="AN39" s="25"/>
      <c r="AO39" s="26"/>
      <c r="AP39" s="273"/>
      <c r="AQ39" s="25"/>
      <c r="AR39" s="25"/>
      <c r="AS39" s="25"/>
      <c r="AT39" s="26"/>
      <c r="AU39" s="25"/>
      <c r="AV39" s="25"/>
      <c r="AW39" s="25"/>
      <c r="AX39" s="25"/>
      <c r="AY39" s="26"/>
      <c r="AZ39" s="25"/>
      <c r="BA39" s="25"/>
      <c r="BB39" s="25"/>
      <c r="BC39" s="25"/>
      <c r="BD39" s="26"/>
      <c r="BE39" s="25"/>
      <c r="BF39" s="25"/>
      <c r="BG39" s="25"/>
      <c r="BH39" s="25"/>
      <c r="BI39" s="26"/>
    </row>
    <row r="40" spans="1:66" ht="15" hidden="1" customHeight="1" outlineLevel="1">
      <c r="A40" s="13" t="s">
        <v>67</v>
      </c>
      <c r="B40" s="25"/>
      <c r="C40" s="25"/>
      <c r="D40" s="25"/>
      <c r="E40" s="25"/>
      <c r="F40" s="26"/>
      <c r="G40" s="25"/>
      <c r="H40" s="25"/>
      <c r="I40" s="25"/>
      <c r="J40" s="25"/>
      <c r="K40" s="26"/>
      <c r="L40" s="25"/>
      <c r="M40" s="25"/>
      <c r="N40" s="25"/>
      <c r="O40" s="25"/>
      <c r="P40" s="26"/>
      <c r="Q40" s="25"/>
      <c r="R40" s="25"/>
      <c r="S40" s="25"/>
      <c r="T40" s="25"/>
      <c r="U40" s="26"/>
      <c r="V40" s="25"/>
      <c r="W40" s="25"/>
      <c r="X40" s="25"/>
      <c r="Y40" s="25"/>
      <c r="Z40" s="26"/>
      <c r="AA40" s="25"/>
      <c r="AB40" s="25"/>
      <c r="AC40" s="25"/>
      <c r="AD40" s="25"/>
      <c r="AE40" s="26"/>
      <c r="AF40" s="25"/>
      <c r="AG40" s="25"/>
      <c r="AH40" s="25"/>
      <c r="AI40" s="25"/>
      <c r="AJ40" s="26"/>
      <c r="AK40" s="273"/>
      <c r="AL40" s="25"/>
      <c r="AM40" s="25"/>
      <c r="AN40" s="25"/>
      <c r="AO40" s="26"/>
      <c r="AP40" s="273"/>
      <c r="AQ40" s="25"/>
      <c r="AR40" s="25"/>
      <c r="AS40" s="25"/>
      <c r="AT40" s="26"/>
      <c r="AU40" s="25"/>
      <c r="AV40" s="25"/>
      <c r="AW40" s="25"/>
      <c r="AX40" s="25"/>
      <c r="AY40" s="26"/>
      <c r="AZ40" s="25"/>
      <c r="BA40" s="25"/>
      <c r="BB40" s="25"/>
      <c r="BC40" s="25"/>
      <c r="BD40" s="26"/>
      <c r="BE40" s="25"/>
      <c r="BF40" s="25"/>
      <c r="BG40" s="25"/>
      <c r="BH40" s="25"/>
      <c r="BI40" s="26"/>
    </row>
    <row r="41" spans="1:66" ht="15" hidden="1" customHeight="1" outlineLevel="1">
      <c r="A41" s="1" t="s">
        <v>1</v>
      </c>
      <c r="B41" s="31" t="str">
        <f>IFERROR(B3/$F$3,"NM")</f>
        <v>NM</v>
      </c>
      <c r="C41" s="32" t="str">
        <f>IFERROR(C3/$F$3,"NM")</f>
        <v>NM</v>
      </c>
      <c r="D41" s="32" t="str">
        <f>IFERROR(D3/$F$3,"NM")</f>
        <v>NM</v>
      </c>
      <c r="E41" s="32" t="str">
        <f>IFERROR(E3/$F$3,"NM")</f>
        <v>NM</v>
      </c>
      <c r="F41" s="26"/>
      <c r="G41" s="25"/>
      <c r="H41" s="25"/>
      <c r="I41" s="25"/>
      <c r="J41" s="25"/>
      <c r="K41" s="26"/>
      <c r="L41" s="25"/>
      <c r="M41" s="25"/>
      <c r="N41" s="25"/>
      <c r="O41" s="25"/>
      <c r="P41" s="26"/>
      <c r="Q41" s="25"/>
      <c r="R41" s="25"/>
      <c r="S41" s="25"/>
      <c r="T41" s="25"/>
      <c r="U41" s="26"/>
      <c r="V41" s="25"/>
      <c r="W41" s="25"/>
      <c r="X41" s="25"/>
      <c r="Y41" s="25"/>
      <c r="Z41" s="26"/>
      <c r="AA41" s="25"/>
      <c r="AB41" s="25"/>
      <c r="AC41" s="25"/>
      <c r="AD41" s="25"/>
      <c r="AE41" s="26"/>
      <c r="AF41" s="25"/>
      <c r="AG41" s="25"/>
      <c r="AH41" s="25"/>
      <c r="AI41" s="25"/>
      <c r="AJ41" s="26"/>
      <c r="AK41" s="273"/>
      <c r="AL41" s="25"/>
      <c r="AM41" s="25"/>
      <c r="AN41" s="25"/>
      <c r="AO41" s="26"/>
      <c r="AP41" s="273"/>
      <c r="AQ41" s="25"/>
      <c r="AR41" s="25"/>
      <c r="AS41" s="25"/>
      <c r="AT41" s="26"/>
      <c r="AU41" s="25"/>
      <c r="AV41" s="25"/>
      <c r="AW41" s="25"/>
      <c r="AX41" s="25"/>
      <c r="AY41" s="26"/>
      <c r="AZ41" s="25"/>
      <c r="BA41" s="25"/>
      <c r="BB41" s="25"/>
      <c r="BC41" s="25"/>
      <c r="BD41" s="26"/>
      <c r="BE41" s="25"/>
      <c r="BF41" s="25"/>
      <c r="BG41" s="25"/>
      <c r="BH41" s="25"/>
      <c r="BI41" s="26"/>
    </row>
    <row r="42" spans="1:66" ht="15" hidden="1" customHeight="1" outlineLevel="1">
      <c r="A42" s="1" t="s">
        <v>2</v>
      </c>
      <c r="B42" s="119" t="str">
        <f>IFERROR(B6/$F$6,"NM")</f>
        <v>NM</v>
      </c>
      <c r="C42" s="120" t="str">
        <f>IFERROR(C6/$F$6,"NM")</f>
        <v>NM</v>
      </c>
      <c r="D42" s="120" t="str">
        <f>IFERROR(D6/$F$6,"NM")</f>
        <v>NM</v>
      </c>
      <c r="E42" s="120" t="str">
        <f>IFERROR(E6/$F$6,"NM")</f>
        <v>NM</v>
      </c>
      <c r="F42" s="26"/>
      <c r="G42" s="25"/>
      <c r="H42" s="25"/>
      <c r="I42" s="25"/>
      <c r="J42" s="25"/>
      <c r="K42" s="26"/>
      <c r="L42" s="25"/>
      <c r="M42" s="25"/>
      <c r="N42" s="25"/>
      <c r="O42" s="25"/>
      <c r="P42" s="26"/>
      <c r="Q42" s="25"/>
      <c r="R42" s="25"/>
      <c r="S42" s="25"/>
      <c r="T42" s="25"/>
      <c r="U42" s="26"/>
      <c r="V42" s="25"/>
      <c r="W42" s="25"/>
      <c r="X42" s="25"/>
      <c r="Y42" s="25"/>
      <c r="Z42" s="26"/>
      <c r="AA42" s="25"/>
      <c r="AB42" s="25"/>
      <c r="AC42" s="25"/>
      <c r="AD42" s="25"/>
      <c r="AE42" s="26"/>
      <c r="AF42" s="25"/>
      <c r="AG42" s="25"/>
      <c r="AH42" s="25"/>
      <c r="AI42" s="25"/>
      <c r="AJ42" s="26"/>
      <c r="AK42" s="273"/>
      <c r="AL42" s="25"/>
      <c r="AM42" s="25"/>
      <c r="AN42" s="25"/>
      <c r="AO42" s="26"/>
      <c r="AP42" s="273"/>
      <c r="AQ42" s="25"/>
      <c r="AR42" s="25"/>
      <c r="AS42" s="25"/>
      <c r="AT42" s="26"/>
      <c r="AU42" s="25"/>
      <c r="AV42" s="25"/>
      <c r="AW42" s="25"/>
      <c r="AX42" s="25"/>
      <c r="AY42" s="26"/>
      <c r="AZ42" s="25"/>
      <c r="BA42" s="25"/>
      <c r="BB42" s="25"/>
      <c r="BC42" s="25"/>
      <c r="BD42" s="26"/>
      <c r="BE42" s="25"/>
      <c r="BF42" s="25"/>
      <c r="BG42" s="25"/>
      <c r="BH42" s="25"/>
      <c r="BI42" s="26"/>
    </row>
    <row r="43" spans="1:66" ht="15" hidden="1" customHeight="1" outlineLevel="1">
      <c r="A43" s="1" t="s">
        <v>0</v>
      </c>
      <c r="B43" s="119" t="e">
        <f>B12/$F$12</f>
        <v>#DIV/0!</v>
      </c>
      <c r="C43" s="120" t="e">
        <f>C12/$F$12</f>
        <v>#DIV/0!</v>
      </c>
      <c r="D43" s="120" t="e">
        <f>D12/$F$12</f>
        <v>#DIV/0!</v>
      </c>
      <c r="E43" s="120" t="e">
        <f>E12/$F$12</f>
        <v>#DIV/0!</v>
      </c>
      <c r="F43" s="26"/>
      <c r="G43" s="25"/>
      <c r="H43" s="25"/>
      <c r="I43" s="25"/>
      <c r="J43" s="25"/>
      <c r="K43" s="26"/>
      <c r="L43" s="25"/>
      <c r="M43" s="25"/>
      <c r="N43" s="25"/>
      <c r="O43" s="25"/>
      <c r="P43" s="26"/>
      <c r="Q43" s="25"/>
      <c r="R43" s="25"/>
      <c r="S43" s="25"/>
      <c r="T43" s="25"/>
      <c r="U43" s="26"/>
      <c r="V43" s="25"/>
      <c r="W43" s="25"/>
      <c r="X43" s="25"/>
      <c r="Y43" s="25"/>
      <c r="Z43" s="26"/>
      <c r="AA43" s="25"/>
      <c r="AB43" s="25"/>
      <c r="AC43" s="25"/>
      <c r="AD43" s="25"/>
      <c r="AE43" s="26"/>
      <c r="AF43" s="25"/>
      <c r="AG43" s="25"/>
      <c r="AH43" s="25"/>
      <c r="AI43" s="25"/>
      <c r="AJ43" s="26"/>
      <c r="AK43" s="273"/>
      <c r="AL43" s="25"/>
      <c r="AM43" s="25"/>
      <c r="AN43" s="25"/>
      <c r="AO43" s="26"/>
      <c r="AP43" s="273"/>
      <c r="AQ43" s="25"/>
      <c r="AR43" s="25"/>
      <c r="AS43" s="25"/>
      <c r="AT43" s="26"/>
      <c r="AU43" s="25"/>
      <c r="AV43" s="25"/>
      <c r="AW43" s="25"/>
      <c r="AX43" s="25"/>
      <c r="AY43" s="26"/>
      <c r="AZ43" s="25"/>
      <c r="BA43" s="25"/>
      <c r="BB43" s="25"/>
      <c r="BC43" s="25"/>
      <c r="BD43" s="26"/>
      <c r="BE43" s="25"/>
      <c r="BF43" s="25"/>
      <c r="BG43" s="25"/>
      <c r="BH43" s="25"/>
      <c r="BI43" s="26"/>
    </row>
    <row r="44" spans="1:66" ht="15" hidden="1" customHeight="1" outlineLevel="1">
      <c r="A44" s="1" t="s">
        <v>9</v>
      </c>
      <c r="B44" s="119" t="e">
        <f>B29/$F$29</f>
        <v>#DIV/0!</v>
      </c>
      <c r="C44" s="120" t="e">
        <f>C29/$F$29</f>
        <v>#DIV/0!</v>
      </c>
      <c r="D44" s="120" t="e">
        <f>D29/$F$29</f>
        <v>#DIV/0!</v>
      </c>
      <c r="E44" s="120" t="e">
        <f>E29/$F$29</f>
        <v>#DIV/0!</v>
      </c>
      <c r="F44" s="26"/>
      <c r="G44" s="25"/>
      <c r="H44" s="25"/>
      <c r="I44" s="25"/>
      <c r="J44" s="25"/>
      <c r="K44" s="26"/>
      <c r="L44" s="25"/>
      <c r="M44" s="25"/>
      <c r="N44" s="25"/>
      <c r="O44" s="25"/>
      <c r="P44" s="26"/>
      <c r="Q44" s="25"/>
      <c r="R44" s="25"/>
      <c r="S44" s="25"/>
      <c r="T44" s="25"/>
      <c r="U44" s="26"/>
      <c r="V44" s="25"/>
      <c r="W44" s="25"/>
      <c r="X44" s="25"/>
      <c r="Y44" s="25"/>
      <c r="Z44" s="26"/>
      <c r="AA44" s="25"/>
      <c r="AB44" s="25"/>
      <c r="AC44" s="25"/>
      <c r="AD44" s="25"/>
      <c r="AE44" s="26"/>
      <c r="AF44" s="25"/>
      <c r="AG44" s="25"/>
      <c r="AH44" s="25"/>
      <c r="AI44" s="25"/>
      <c r="AJ44" s="26"/>
      <c r="AK44" s="273"/>
      <c r="AL44" s="25"/>
      <c r="AM44" s="25"/>
      <c r="AN44" s="25"/>
      <c r="AO44" s="26"/>
      <c r="AP44" s="273"/>
      <c r="AQ44" s="25"/>
      <c r="AR44" s="25"/>
      <c r="AS44" s="25"/>
      <c r="AT44" s="26"/>
      <c r="AU44" s="25"/>
      <c r="AV44" s="25"/>
      <c r="AW44" s="25"/>
      <c r="AX44" s="25"/>
      <c r="AY44" s="26"/>
      <c r="AZ44" s="25"/>
      <c r="BA44" s="25"/>
      <c r="BB44" s="25"/>
      <c r="BC44" s="25"/>
      <c r="BD44" s="26"/>
      <c r="BE44" s="25"/>
      <c r="BF44" s="25"/>
      <c r="BG44" s="25"/>
      <c r="BH44" s="25"/>
      <c r="BI44" s="26"/>
    </row>
    <row r="45" spans="1:66" ht="15" hidden="1" customHeight="1" outlineLevel="1">
      <c r="A45" s="1"/>
      <c r="B45" s="25"/>
      <c r="C45" s="25"/>
      <c r="D45" s="25"/>
      <c r="E45" s="25"/>
      <c r="F45" s="26"/>
      <c r="G45" s="25"/>
      <c r="H45" s="25"/>
      <c r="I45" s="25"/>
      <c r="J45" s="25"/>
      <c r="K45" s="26"/>
      <c r="L45" s="25"/>
      <c r="M45" s="25"/>
      <c r="N45" s="25"/>
      <c r="O45" s="25"/>
      <c r="P45" s="26"/>
      <c r="Q45" s="25"/>
      <c r="R45" s="25"/>
      <c r="S45" s="25"/>
      <c r="T45" s="25"/>
      <c r="U45" s="26"/>
      <c r="V45" s="25"/>
      <c r="W45" s="25"/>
      <c r="X45" s="25"/>
      <c r="Y45" s="25"/>
      <c r="Z45" s="26"/>
      <c r="AA45" s="25"/>
      <c r="AB45" s="25"/>
      <c r="AC45" s="25"/>
      <c r="AD45" s="25"/>
      <c r="AE45" s="26"/>
      <c r="AF45" s="25"/>
      <c r="AG45" s="25"/>
      <c r="AH45" s="25"/>
      <c r="AI45" s="25"/>
      <c r="AJ45" s="26"/>
      <c r="AK45" s="273"/>
      <c r="AL45" s="25"/>
      <c r="AM45" s="25"/>
      <c r="AN45" s="25"/>
      <c r="AO45" s="26"/>
      <c r="AP45" s="273"/>
      <c r="AQ45" s="25"/>
      <c r="AR45" s="25"/>
      <c r="AS45" s="25"/>
      <c r="AT45" s="26"/>
      <c r="AU45" s="25"/>
      <c r="AV45" s="25"/>
      <c r="AW45" s="25"/>
      <c r="AX45" s="25"/>
      <c r="AY45" s="26"/>
      <c r="AZ45" s="25"/>
      <c r="BA45" s="25"/>
      <c r="BB45" s="25"/>
      <c r="BC45" s="25"/>
      <c r="BD45" s="26"/>
      <c r="BE45" s="25"/>
      <c r="BF45" s="25"/>
      <c r="BG45" s="25"/>
      <c r="BH45" s="25"/>
      <c r="BI45" s="26"/>
    </row>
    <row r="46" spans="1:66" hidden="1" outlineLevel="2">
      <c r="A46" s="13" t="s">
        <v>392</v>
      </c>
      <c r="B46" s="25"/>
      <c r="C46" s="25"/>
      <c r="D46" s="25"/>
      <c r="E46" s="25"/>
      <c r="F46" s="26"/>
      <c r="G46" s="25"/>
      <c r="H46" s="25"/>
      <c r="I46" s="25"/>
      <c r="J46" s="25"/>
      <c r="K46" s="26"/>
      <c r="L46" s="25"/>
      <c r="M46" s="25"/>
      <c r="N46" s="25"/>
      <c r="O46" s="25"/>
      <c r="P46" s="26"/>
      <c r="Q46" s="25"/>
      <c r="R46" s="25"/>
      <c r="S46" s="25"/>
      <c r="T46" s="25"/>
      <c r="U46" s="26"/>
      <c r="V46" s="25"/>
      <c r="W46" s="25"/>
      <c r="X46" s="25"/>
      <c r="Y46" s="25"/>
      <c r="Z46" s="26"/>
      <c r="AA46" s="25"/>
      <c r="AB46" s="25"/>
      <c r="AC46" s="25"/>
      <c r="AD46" s="25"/>
      <c r="AE46" s="26"/>
      <c r="AF46" s="25"/>
      <c r="AG46" s="25"/>
      <c r="AH46" s="25"/>
      <c r="AI46" s="25"/>
      <c r="AJ46" s="26"/>
      <c r="AK46" s="273"/>
      <c r="AL46" s="25"/>
      <c r="AM46" s="25"/>
      <c r="AN46" s="25"/>
      <c r="AO46" s="26"/>
      <c r="AP46" s="273"/>
      <c r="AQ46" s="25"/>
      <c r="AR46" s="25"/>
      <c r="AS46" s="25"/>
      <c r="AT46" s="26"/>
      <c r="AU46" s="25"/>
      <c r="AV46" s="25"/>
      <c r="AW46" s="25"/>
      <c r="AX46" s="25"/>
      <c r="AY46" s="26"/>
      <c r="AZ46" s="25"/>
      <c r="BA46" s="25"/>
      <c r="BB46" s="25"/>
      <c r="BC46" s="25"/>
      <c r="BD46" s="26"/>
      <c r="BE46" s="25"/>
      <c r="BF46" s="25"/>
      <c r="BG46" s="25"/>
      <c r="BH46" s="25"/>
      <c r="BI46" s="26"/>
    </row>
    <row r="47" spans="1:66" hidden="1" outlineLevel="2">
      <c r="A47" s="1" t="s">
        <v>385</v>
      </c>
      <c r="B47" s="25"/>
      <c r="C47" s="25"/>
      <c r="D47" s="25"/>
      <c r="E47" s="25"/>
      <c r="F47" s="26"/>
      <c r="G47" s="25"/>
      <c r="H47" s="25"/>
      <c r="I47" s="25"/>
      <c r="J47" s="25"/>
      <c r="K47" s="26"/>
      <c r="L47" s="25"/>
      <c r="M47" s="25"/>
      <c r="N47" s="25"/>
      <c r="O47" s="25"/>
      <c r="P47" s="26"/>
      <c r="Q47" s="25"/>
      <c r="R47" s="25"/>
      <c r="S47" s="25"/>
      <c r="T47" s="25"/>
      <c r="U47" s="26"/>
      <c r="V47" s="25"/>
      <c r="W47" s="25"/>
      <c r="X47" s="25"/>
      <c r="Y47" s="25"/>
      <c r="Z47" s="26"/>
      <c r="AA47" s="25"/>
      <c r="AB47" s="25"/>
      <c r="AC47" s="25"/>
      <c r="AD47" s="25"/>
      <c r="AE47" s="26"/>
      <c r="AF47" s="25"/>
      <c r="AG47" s="25"/>
      <c r="AH47" s="25"/>
      <c r="AI47" s="25"/>
      <c r="AJ47" s="26"/>
      <c r="AK47" s="273"/>
      <c r="AL47" s="25"/>
      <c r="AM47" s="25"/>
      <c r="AN47" s="25"/>
      <c r="AO47" s="26"/>
      <c r="AP47" s="273"/>
      <c r="AQ47" s="25"/>
      <c r="AR47" s="25"/>
      <c r="AS47" s="25"/>
      <c r="AT47" s="26"/>
      <c r="AU47" s="25"/>
      <c r="AV47" s="25"/>
      <c r="AW47" s="25"/>
      <c r="AX47" s="25"/>
      <c r="AY47" s="26"/>
      <c r="AZ47" s="25"/>
      <c r="BA47" s="25"/>
      <c r="BB47" s="25"/>
      <c r="BC47" s="25"/>
      <c r="BD47" s="26"/>
      <c r="BE47" s="25"/>
      <c r="BF47" s="25"/>
      <c r="BG47" s="25"/>
      <c r="BH47" s="25"/>
      <c r="BI47" s="26"/>
    </row>
    <row r="48" spans="1:66" hidden="1" outlineLevel="2">
      <c r="A48" s="1" t="s">
        <v>386</v>
      </c>
      <c r="B48" s="25"/>
      <c r="C48" s="25"/>
      <c r="D48" s="25"/>
      <c r="E48" s="25"/>
      <c r="F48" s="26"/>
      <c r="G48" s="25"/>
      <c r="H48" s="25"/>
      <c r="I48" s="25"/>
      <c r="J48" s="25"/>
      <c r="K48" s="26"/>
      <c r="L48" s="25"/>
      <c r="M48" s="25"/>
      <c r="N48" s="25"/>
      <c r="O48" s="25"/>
      <c r="P48" s="26"/>
      <c r="Q48" s="25"/>
      <c r="R48" s="25"/>
      <c r="S48" s="25"/>
      <c r="T48" s="25"/>
      <c r="U48" s="26"/>
      <c r="V48" s="25"/>
      <c r="W48" s="25"/>
      <c r="X48" s="25"/>
      <c r="Y48" s="25"/>
      <c r="Z48" s="26"/>
      <c r="AA48" s="25"/>
      <c r="AB48" s="25"/>
      <c r="AC48" s="25"/>
      <c r="AD48" s="25"/>
      <c r="AE48" s="26"/>
      <c r="AF48" s="25"/>
      <c r="AG48" s="25"/>
      <c r="AH48" s="25"/>
      <c r="AI48" s="25"/>
      <c r="AJ48" s="26"/>
      <c r="AK48" s="273"/>
      <c r="AL48" s="25"/>
      <c r="AM48" s="25"/>
      <c r="AN48" s="25"/>
      <c r="AO48" s="26"/>
      <c r="AP48" s="273"/>
      <c r="AQ48" s="25"/>
      <c r="AR48" s="25"/>
      <c r="AS48" s="25"/>
      <c r="AT48" s="26"/>
      <c r="AU48" s="25"/>
      <c r="AV48" s="25"/>
      <c r="AW48" s="25"/>
      <c r="AX48" s="25"/>
      <c r="AY48" s="26"/>
      <c r="AZ48" s="25"/>
      <c r="BA48" s="25"/>
      <c r="BB48" s="25"/>
      <c r="BC48" s="25"/>
      <c r="BD48" s="26"/>
      <c r="BE48" s="25"/>
      <c r="BF48" s="25"/>
      <c r="BG48" s="25"/>
      <c r="BH48" s="25"/>
      <c r="BI48" s="26"/>
    </row>
    <row r="49" spans="1:70" hidden="1" outlineLevel="2">
      <c r="A49" s="1" t="s">
        <v>390</v>
      </c>
      <c r="B49" s="25"/>
      <c r="C49" s="25"/>
      <c r="D49" s="25"/>
      <c r="E49" s="25"/>
      <c r="F49" s="26"/>
      <c r="G49" s="25"/>
      <c r="H49" s="25"/>
      <c r="I49" s="25"/>
      <c r="J49" s="25"/>
      <c r="K49" s="26"/>
      <c r="L49" s="25"/>
      <c r="M49" s="25"/>
      <c r="N49" s="25"/>
      <c r="O49" s="25"/>
      <c r="P49" s="26"/>
      <c r="Q49" s="25"/>
      <c r="R49" s="25"/>
      <c r="S49" s="25"/>
      <c r="T49" s="25"/>
      <c r="U49" s="26"/>
      <c r="V49" s="25"/>
      <c r="W49" s="25"/>
      <c r="X49" s="25"/>
      <c r="Y49" s="25"/>
      <c r="Z49" s="26"/>
      <c r="AA49" s="25"/>
      <c r="AB49" s="25"/>
      <c r="AC49" s="25"/>
      <c r="AD49" s="25"/>
      <c r="AE49" s="26"/>
      <c r="AF49" s="25"/>
      <c r="AG49" s="25"/>
      <c r="AH49" s="25"/>
      <c r="AI49" s="25"/>
      <c r="AJ49" s="26"/>
      <c r="AK49" s="273"/>
      <c r="AL49" s="25"/>
      <c r="AM49" s="25"/>
      <c r="AN49" s="25"/>
      <c r="AO49" s="26"/>
      <c r="AP49" s="273"/>
      <c r="AQ49" s="25"/>
      <c r="AR49" s="25"/>
      <c r="AS49" s="25"/>
      <c r="AT49" s="26"/>
      <c r="AU49" s="25"/>
      <c r="AV49" s="25"/>
      <c r="AW49" s="25"/>
      <c r="AX49" s="25"/>
      <c r="AY49" s="26"/>
      <c r="AZ49" s="25"/>
      <c r="BA49" s="25"/>
      <c r="BB49" s="25"/>
      <c r="BC49" s="25"/>
      <c r="BD49" s="26"/>
      <c r="BE49" s="25"/>
      <c r="BF49" s="25"/>
      <c r="BG49" s="25"/>
      <c r="BH49" s="25"/>
      <c r="BI49" s="26"/>
    </row>
    <row r="50" spans="1:70" hidden="1" outlineLevel="2">
      <c r="A50" s="1" t="s">
        <v>391</v>
      </c>
      <c r="B50" s="25"/>
      <c r="C50" s="25"/>
      <c r="D50" s="25"/>
      <c r="E50" s="25"/>
      <c r="F50" s="26"/>
      <c r="G50" s="25"/>
      <c r="H50" s="25"/>
      <c r="I50" s="25"/>
      <c r="J50" s="25"/>
      <c r="K50" s="26"/>
      <c r="L50" s="25"/>
      <c r="M50" s="25"/>
      <c r="N50" s="25"/>
      <c r="O50" s="25"/>
      <c r="P50" s="26"/>
      <c r="Q50" s="25"/>
      <c r="R50" s="25"/>
      <c r="S50" s="25"/>
      <c r="T50" s="25"/>
      <c r="U50" s="26"/>
      <c r="V50" s="25"/>
      <c r="W50" s="25"/>
      <c r="X50" s="25"/>
      <c r="Y50" s="25"/>
      <c r="Z50" s="26"/>
      <c r="AA50" s="25"/>
      <c r="AB50" s="25"/>
      <c r="AC50" s="25"/>
      <c r="AD50" s="25"/>
      <c r="AE50" s="26"/>
      <c r="AF50" s="25"/>
      <c r="AG50" s="25"/>
      <c r="AH50" s="25"/>
      <c r="AI50" s="25"/>
      <c r="AJ50" s="26"/>
      <c r="AK50" s="273"/>
      <c r="AL50" s="25"/>
      <c r="AM50" s="25"/>
      <c r="AN50" s="25"/>
      <c r="AO50" s="26"/>
      <c r="AP50" s="273"/>
      <c r="AQ50" s="25"/>
      <c r="AR50" s="25"/>
      <c r="AS50" s="25"/>
      <c r="AT50" s="26"/>
      <c r="AU50" s="25"/>
      <c r="AV50" s="25"/>
      <c r="AW50" s="25"/>
      <c r="AX50" s="25"/>
      <c r="AY50" s="26"/>
      <c r="AZ50" s="25"/>
      <c r="BA50" s="25"/>
      <c r="BB50" s="25"/>
      <c r="BC50" s="25"/>
      <c r="BD50" s="26"/>
      <c r="BE50" s="25"/>
      <c r="BF50" s="25"/>
      <c r="BG50" s="25"/>
      <c r="BH50" s="25"/>
      <c r="BI50" s="26"/>
    </row>
    <row r="51" spans="1:70" hidden="1" outlineLevel="2">
      <c r="A51" s="1"/>
      <c r="B51" s="25"/>
      <c r="C51" s="25"/>
      <c r="D51" s="25"/>
      <c r="E51" s="25"/>
      <c r="F51" s="26"/>
      <c r="G51" s="25"/>
      <c r="H51" s="25"/>
      <c r="I51" s="25"/>
      <c r="J51" s="25"/>
      <c r="K51" s="26"/>
      <c r="L51" s="25"/>
      <c r="M51" s="25"/>
      <c r="N51" s="25"/>
      <c r="O51" s="25"/>
      <c r="P51" s="26"/>
      <c r="Q51" s="25"/>
      <c r="R51" s="25"/>
      <c r="S51" s="25"/>
      <c r="T51" s="25"/>
      <c r="U51" s="26"/>
      <c r="V51" s="25"/>
      <c r="W51" s="25"/>
      <c r="X51" s="25"/>
      <c r="Y51" s="25"/>
      <c r="Z51" s="26"/>
      <c r="AA51" s="25"/>
      <c r="AB51" s="25"/>
      <c r="AC51" s="25"/>
      <c r="AD51" s="25"/>
      <c r="AE51" s="26"/>
      <c r="AF51" s="25"/>
      <c r="AG51" s="25"/>
      <c r="AH51" s="25"/>
      <c r="AI51" s="25"/>
      <c r="AJ51" s="26"/>
      <c r="AK51" s="273"/>
      <c r="AL51" s="25"/>
      <c r="AM51" s="25"/>
      <c r="AN51" s="25"/>
      <c r="AO51" s="26"/>
      <c r="AP51" s="273"/>
      <c r="AQ51" s="25"/>
      <c r="AR51" s="25"/>
      <c r="AS51" s="25"/>
      <c r="AT51" s="26"/>
      <c r="AU51" s="25"/>
      <c r="AV51" s="25"/>
      <c r="AW51" s="25"/>
      <c r="AX51" s="25"/>
      <c r="AY51" s="26"/>
      <c r="AZ51" s="25"/>
      <c r="BA51" s="25"/>
      <c r="BB51" s="25"/>
      <c r="BC51" s="25"/>
      <c r="BD51" s="26"/>
      <c r="BE51" s="25"/>
      <c r="BF51" s="25"/>
      <c r="BG51" s="25"/>
      <c r="BH51" s="25"/>
      <c r="BI51" s="26"/>
    </row>
    <row r="52" spans="1:70" hidden="1" outlineLevel="2">
      <c r="A52" s="13" t="s">
        <v>393</v>
      </c>
      <c r="B52" s="25"/>
      <c r="C52" s="25"/>
      <c r="D52" s="25"/>
      <c r="E52" s="25"/>
      <c r="F52" s="26"/>
      <c r="G52" s="25"/>
      <c r="H52" s="25"/>
      <c r="I52" s="25"/>
      <c r="J52" s="25"/>
      <c r="K52" s="26"/>
      <c r="L52" s="25"/>
      <c r="M52" s="25"/>
      <c r="N52" s="25"/>
      <c r="O52" s="25"/>
      <c r="P52" s="26"/>
      <c r="Q52" s="25"/>
      <c r="R52" s="25"/>
      <c r="S52" s="25"/>
      <c r="T52" s="25"/>
      <c r="U52" s="26"/>
      <c r="V52" s="25"/>
      <c r="W52" s="25"/>
      <c r="X52" s="25"/>
      <c r="Y52" s="25"/>
      <c r="Z52" s="26"/>
      <c r="AA52" s="25"/>
      <c r="AB52" s="25"/>
      <c r="AC52" s="25"/>
      <c r="AD52" s="25"/>
      <c r="AE52" s="26"/>
      <c r="AF52" s="25"/>
      <c r="AG52" s="25"/>
      <c r="AH52" s="25"/>
      <c r="AI52" s="25"/>
      <c r="AJ52" s="26"/>
      <c r="AK52" s="273"/>
      <c r="AL52" s="25"/>
      <c r="AM52" s="25"/>
      <c r="AN52" s="25"/>
      <c r="AO52" s="26"/>
      <c r="AP52" s="273"/>
      <c r="AQ52" s="25"/>
      <c r="AR52" s="25"/>
      <c r="AS52" s="25"/>
      <c r="AT52" s="26"/>
      <c r="AU52" s="25"/>
      <c r="AV52" s="25"/>
      <c r="AW52" s="25"/>
      <c r="AX52" s="25"/>
      <c r="AY52" s="26"/>
      <c r="AZ52" s="25"/>
      <c r="BA52" s="25"/>
      <c r="BB52" s="25"/>
      <c r="BC52" s="25"/>
      <c r="BD52" s="26"/>
      <c r="BE52" s="25"/>
      <c r="BF52" s="25"/>
      <c r="BG52" s="25"/>
      <c r="BH52" s="25"/>
      <c r="BI52" s="26"/>
    </row>
    <row r="53" spans="1:70" hidden="1" outlineLevel="2">
      <c r="A53" s="1" t="s">
        <v>385</v>
      </c>
      <c r="B53" s="25"/>
      <c r="C53" s="25"/>
      <c r="D53" s="25"/>
      <c r="E53" s="25"/>
      <c r="F53" s="26"/>
      <c r="G53" s="25"/>
      <c r="H53" s="25"/>
      <c r="I53" s="25"/>
      <c r="J53" s="25"/>
      <c r="K53" s="26"/>
      <c r="L53" s="25"/>
      <c r="M53" s="25"/>
      <c r="N53" s="25"/>
      <c r="O53" s="25"/>
      <c r="P53" s="26"/>
      <c r="Q53" s="25"/>
      <c r="R53" s="25"/>
      <c r="S53" s="25"/>
      <c r="T53" s="25"/>
      <c r="U53" s="26"/>
      <c r="V53" s="25"/>
      <c r="W53" s="25"/>
      <c r="X53" s="25"/>
      <c r="Y53" s="25"/>
      <c r="Z53" s="26"/>
      <c r="AA53" s="25"/>
      <c r="AB53" s="25"/>
      <c r="AC53" s="25"/>
      <c r="AD53" s="25"/>
      <c r="AE53" s="26"/>
      <c r="AF53" s="25"/>
      <c r="AG53" s="25"/>
      <c r="AH53" s="25"/>
      <c r="AI53" s="25"/>
      <c r="AJ53" s="26"/>
      <c r="AK53" s="273"/>
      <c r="AL53" s="25"/>
      <c r="AM53" s="25"/>
      <c r="AN53" s="25"/>
      <c r="AO53" s="26"/>
      <c r="AP53" s="273"/>
      <c r="AQ53" s="25"/>
      <c r="AR53" s="25"/>
      <c r="AS53" s="25"/>
      <c r="AT53" s="26"/>
      <c r="AU53" s="25"/>
      <c r="AV53" s="25"/>
      <c r="AW53" s="25"/>
      <c r="AX53" s="25"/>
      <c r="AY53" s="26"/>
      <c r="AZ53" s="25"/>
      <c r="BA53" s="25"/>
      <c r="BB53" s="25"/>
      <c r="BC53" s="25"/>
      <c r="BD53" s="26"/>
      <c r="BE53" s="25"/>
      <c r="BF53" s="25"/>
      <c r="BG53" s="25"/>
      <c r="BH53" s="25"/>
      <c r="BI53" s="26"/>
      <c r="BJ53" s="472"/>
      <c r="BK53" s="472"/>
    </row>
    <row r="54" spans="1:70" hidden="1" outlineLevel="2">
      <c r="A54" s="1" t="s">
        <v>386</v>
      </c>
      <c r="B54" s="25"/>
      <c r="C54" s="25"/>
      <c r="D54" s="25"/>
      <c r="E54" s="25"/>
      <c r="F54" s="26"/>
      <c r="G54" s="25"/>
      <c r="H54" s="25"/>
      <c r="I54" s="25"/>
      <c r="J54" s="25"/>
      <c r="K54" s="26"/>
      <c r="L54" s="25"/>
      <c r="M54" s="25"/>
      <c r="N54" s="25"/>
      <c r="O54" s="25"/>
      <c r="P54" s="26"/>
      <c r="Q54" s="25"/>
      <c r="R54" s="25"/>
      <c r="S54" s="25"/>
      <c r="T54" s="25"/>
      <c r="U54" s="26"/>
      <c r="V54" s="25"/>
      <c r="W54" s="25"/>
      <c r="X54" s="25"/>
      <c r="Y54" s="25"/>
      <c r="Z54" s="26"/>
      <c r="AA54" s="25"/>
      <c r="AB54" s="25"/>
      <c r="AC54" s="25"/>
      <c r="AD54" s="25"/>
      <c r="AE54" s="26"/>
      <c r="AF54" s="25"/>
      <c r="AG54" s="25"/>
      <c r="AH54" s="25"/>
      <c r="AI54" s="25"/>
      <c r="AJ54" s="26"/>
      <c r="AK54" s="273"/>
      <c r="AL54" s="25"/>
      <c r="AM54" s="25"/>
      <c r="AN54" s="25"/>
      <c r="AO54" s="26"/>
      <c r="AP54" s="273"/>
      <c r="AQ54" s="25"/>
      <c r="AR54" s="25"/>
      <c r="AS54" s="25"/>
      <c r="AT54" s="26"/>
      <c r="AU54" s="25"/>
      <c r="AV54" s="25"/>
      <c r="AW54" s="25"/>
      <c r="AX54" s="25"/>
      <c r="AY54" s="26"/>
      <c r="AZ54" s="25"/>
      <c r="BA54" s="25"/>
      <c r="BB54" s="25"/>
      <c r="BC54" s="25"/>
      <c r="BD54" s="26"/>
      <c r="BE54" s="25"/>
      <c r="BF54" s="25"/>
      <c r="BG54" s="25"/>
      <c r="BH54" s="25"/>
      <c r="BI54" s="26"/>
      <c r="BJ54" s="472"/>
      <c r="BK54" s="472"/>
    </row>
    <row r="55" spans="1:70" hidden="1" outlineLevel="2">
      <c r="A55" s="1" t="s">
        <v>390</v>
      </c>
      <c r="B55" s="25"/>
      <c r="C55" s="25"/>
      <c r="D55" s="25"/>
      <c r="E55" s="25"/>
      <c r="F55" s="26"/>
      <c r="G55" s="25"/>
      <c r="H55" s="25"/>
      <c r="I55" s="25"/>
      <c r="J55" s="25"/>
      <c r="K55" s="26"/>
      <c r="L55" s="25"/>
      <c r="M55" s="25"/>
      <c r="N55" s="25"/>
      <c r="O55" s="25"/>
      <c r="P55" s="26"/>
      <c r="Q55" s="25"/>
      <c r="R55" s="25"/>
      <c r="S55" s="25"/>
      <c r="T55" s="25"/>
      <c r="U55" s="26"/>
      <c r="V55" s="25"/>
      <c r="W55" s="25"/>
      <c r="X55" s="25"/>
      <c r="Y55" s="25"/>
      <c r="Z55" s="26"/>
      <c r="AA55" s="25"/>
      <c r="AB55" s="25"/>
      <c r="AC55" s="25"/>
      <c r="AD55" s="25"/>
      <c r="AE55" s="26"/>
      <c r="AF55" s="25"/>
      <c r="AG55" s="25"/>
      <c r="AH55" s="25"/>
      <c r="AI55" s="25"/>
      <c r="AJ55" s="26"/>
      <c r="AK55" s="273"/>
      <c r="AL55" s="25"/>
      <c r="AM55" s="25"/>
      <c r="AN55" s="25"/>
      <c r="AO55" s="26"/>
      <c r="AP55" s="273"/>
      <c r="AQ55" s="25"/>
      <c r="AR55" s="25"/>
      <c r="AS55" s="25"/>
      <c r="AT55" s="26"/>
      <c r="AU55" s="25"/>
      <c r="AV55" s="25"/>
      <c r="AW55" s="25"/>
      <c r="AX55" s="25"/>
      <c r="AY55" s="26"/>
      <c r="AZ55" s="25"/>
      <c r="BA55" s="25"/>
      <c r="BB55" s="25"/>
      <c r="BC55" s="25"/>
      <c r="BD55" s="26"/>
      <c r="BE55" s="25"/>
      <c r="BF55" s="25"/>
      <c r="BG55" s="25"/>
      <c r="BH55" s="25"/>
      <c r="BI55" s="26"/>
      <c r="BJ55" s="472"/>
      <c r="BK55" s="472"/>
    </row>
    <row r="56" spans="1:70" hidden="1" outlineLevel="2">
      <c r="A56" s="1" t="s">
        <v>391</v>
      </c>
      <c r="B56" s="25"/>
      <c r="C56" s="25"/>
      <c r="D56" s="25"/>
      <c r="E56" s="25"/>
      <c r="F56" s="26"/>
      <c r="G56" s="25"/>
      <c r="H56" s="25"/>
      <c r="I56" s="25"/>
      <c r="J56" s="25"/>
      <c r="K56" s="26"/>
      <c r="L56" s="25"/>
      <c r="M56" s="25"/>
      <c r="N56" s="25"/>
      <c r="O56" s="25"/>
      <c r="P56" s="26"/>
      <c r="Q56" s="25"/>
      <c r="R56" s="25"/>
      <c r="S56" s="25"/>
      <c r="T56" s="25"/>
      <c r="U56" s="26"/>
      <c r="V56" s="25"/>
      <c r="W56" s="25"/>
      <c r="X56" s="25"/>
      <c r="Y56" s="25"/>
      <c r="Z56" s="26"/>
      <c r="AA56" s="25"/>
      <c r="AB56" s="25"/>
      <c r="AC56" s="25"/>
      <c r="AD56" s="25"/>
      <c r="AE56" s="26"/>
      <c r="AF56" s="25"/>
      <c r="AG56" s="25"/>
      <c r="AH56" s="25"/>
      <c r="AI56" s="25"/>
      <c r="AJ56" s="26"/>
      <c r="AK56" s="273"/>
      <c r="AL56" s="25"/>
      <c r="AM56" s="25"/>
      <c r="AN56" s="25"/>
      <c r="AO56" s="26"/>
      <c r="AP56" s="273"/>
      <c r="AQ56" s="25"/>
      <c r="AR56" s="25"/>
      <c r="AS56" s="25"/>
      <c r="AT56" s="26"/>
      <c r="AU56" s="25"/>
      <c r="AV56" s="25"/>
      <c r="AW56" s="25"/>
      <c r="AX56" s="25"/>
      <c r="AY56" s="26"/>
      <c r="AZ56" s="25"/>
      <c r="BA56" s="25"/>
      <c r="BB56" s="25"/>
      <c r="BC56" s="25"/>
      <c r="BD56" s="26"/>
      <c r="BE56" s="25"/>
      <c r="BF56" s="25"/>
      <c r="BG56" s="25"/>
      <c r="BH56" s="25"/>
      <c r="BI56" s="26"/>
      <c r="BJ56" s="473"/>
      <c r="BK56" s="473"/>
    </row>
    <row r="57" spans="1:70" hidden="1" outlineLevel="2">
      <c r="A57" s="145" t="s">
        <v>0</v>
      </c>
      <c r="B57" s="62"/>
      <c r="C57" s="62"/>
      <c r="D57" s="62"/>
      <c r="E57" s="62"/>
      <c r="F57" s="26"/>
      <c r="G57" s="25"/>
      <c r="H57" s="25"/>
      <c r="I57" s="25"/>
      <c r="J57" s="25"/>
      <c r="K57" s="26"/>
      <c r="L57" s="25"/>
      <c r="M57" s="25"/>
      <c r="N57" s="25"/>
      <c r="O57" s="25"/>
      <c r="P57" s="26"/>
      <c r="Q57" s="25"/>
      <c r="R57" s="25"/>
      <c r="S57" s="25"/>
      <c r="T57" s="25"/>
      <c r="U57" s="26"/>
      <c r="V57" s="25"/>
      <c r="W57" s="25"/>
      <c r="X57" s="25"/>
      <c r="Y57" s="25"/>
      <c r="Z57" s="26"/>
      <c r="AA57" s="25"/>
      <c r="AB57" s="25"/>
      <c r="AC57" s="25"/>
      <c r="AD57" s="25"/>
      <c r="AE57" s="26"/>
      <c r="AF57" s="25"/>
      <c r="AG57" s="25"/>
      <c r="AH57" s="25"/>
      <c r="AI57" s="25"/>
      <c r="AJ57" s="26"/>
      <c r="AK57" s="273"/>
      <c r="AL57" s="25"/>
      <c r="AM57" s="25"/>
      <c r="AN57" s="25"/>
      <c r="AO57" s="26"/>
      <c r="AP57" s="273"/>
      <c r="AQ57" s="25"/>
      <c r="AR57" s="25"/>
      <c r="AS57" s="25"/>
      <c r="AT57" s="26"/>
      <c r="AU57" s="25"/>
      <c r="AV57" s="25"/>
      <c r="AW57" s="25"/>
      <c r="AX57" s="25"/>
      <c r="AY57" s="26"/>
      <c r="AZ57" s="25"/>
      <c r="BA57" s="25"/>
      <c r="BB57" s="25"/>
      <c r="BC57" s="25"/>
      <c r="BD57" s="26"/>
      <c r="BE57" s="25"/>
      <c r="BF57" s="25"/>
      <c r="BG57" s="25"/>
      <c r="BH57" s="25"/>
      <c r="BI57" s="26"/>
      <c r="BJ57" s="351"/>
      <c r="BK57" s="351"/>
      <c r="BL57" s="348"/>
    </row>
    <row r="58" spans="1:70" hidden="1" outlineLevel="2">
      <c r="A58" s="1"/>
      <c r="B58" s="25"/>
      <c r="C58" s="25"/>
      <c r="D58" s="25"/>
      <c r="E58" s="25"/>
      <c r="F58" s="26"/>
      <c r="G58" s="25"/>
      <c r="H58" s="25"/>
      <c r="I58" s="25"/>
      <c r="J58" s="25"/>
      <c r="K58" s="26"/>
      <c r="L58" s="25"/>
      <c r="M58" s="25"/>
      <c r="N58" s="25"/>
      <c r="O58" s="25"/>
      <c r="P58" s="26"/>
      <c r="Q58" s="25"/>
      <c r="R58" s="25"/>
      <c r="S58" s="25"/>
      <c r="T58" s="25"/>
      <c r="U58" s="26"/>
      <c r="V58" s="25"/>
      <c r="W58" s="25"/>
      <c r="X58" s="25"/>
      <c r="Y58" s="25"/>
      <c r="Z58" s="26"/>
      <c r="AA58" s="25"/>
      <c r="AB58" s="25"/>
      <c r="AC58" s="25"/>
      <c r="AD58" s="25"/>
      <c r="AE58" s="26"/>
      <c r="AF58" s="25"/>
      <c r="AG58" s="25"/>
      <c r="AH58" s="25"/>
      <c r="AI58" s="25"/>
      <c r="AJ58" s="26"/>
      <c r="AK58" s="273"/>
      <c r="AL58" s="25"/>
      <c r="AM58" s="25"/>
      <c r="AN58" s="25"/>
      <c r="AO58" s="26"/>
      <c r="AP58" s="273"/>
      <c r="AQ58" s="25"/>
      <c r="AR58" s="25"/>
      <c r="AS58" s="25"/>
      <c r="AT58" s="26"/>
      <c r="AU58" s="25"/>
      <c r="AV58" s="25"/>
      <c r="AW58" s="25"/>
      <c r="AX58" s="25"/>
      <c r="AY58" s="26"/>
      <c r="AZ58" s="25"/>
      <c r="BA58" s="25"/>
      <c r="BB58" s="25"/>
      <c r="BC58" s="25"/>
      <c r="BD58" s="26"/>
      <c r="BE58" s="25"/>
      <c r="BF58" s="25"/>
      <c r="BG58" s="25"/>
      <c r="BH58" s="25"/>
      <c r="BI58" s="26"/>
    </row>
    <row r="59" spans="1:70" hidden="1" outlineLevel="2">
      <c r="A59" s="13" t="s">
        <v>394</v>
      </c>
      <c r="B59" s="25"/>
      <c r="C59" s="25"/>
      <c r="D59" s="25"/>
      <c r="E59" s="25"/>
      <c r="F59" s="26"/>
      <c r="G59" s="25"/>
      <c r="H59" s="25"/>
      <c r="I59" s="25"/>
      <c r="J59" s="25"/>
      <c r="K59" s="26"/>
      <c r="L59" s="25"/>
      <c r="M59" s="25"/>
      <c r="N59" s="25"/>
      <c r="O59" s="25"/>
      <c r="P59" s="26"/>
      <c r="Q59" s="25"/>
      <c r="R59" s="25"/>
      <c r="S59" s="25"/>
      <c r="T59" s="25"/>
      <c r="U59" s="26"/>
      <c r="V59" s="25"/>
      <c r="W59" s="25"/>
      <c r="X59" s="25"/>
      <c r="Y59" s="25"/>
      <c r="Z59" s="26"/>
      <c r="AA59" s="25"/>
      <c r="AB59" s="25"/>
      <c r="AC59" s="25"/>
      <c r="AD59" s="25"/>
      <c r="AE59" s="26"/>
      <c r="AF59" s="25"/>
      <c r="AG59" s="25"/>
      <c r="AH59" s="25"/>
      <c r="AI59" s="25"/>
      <c r="AJ59" s="26"/>
      <c r="AK59" s="273"/>
      <c r="AL59" s="25"/>
      <c r="AM59" s="25"/>
      <c r="AN59" s="25"/>
      <c r="AO59" s="26"/>
      <c r="AP59" s="273"/>
      <c r="AQ59" s="25"/>
      <c r="AR59" s="25"/>
      <c r="AS59" s="25"/>
      <c r="AT59" s="26"/>
      <c r="AU59" s="25"/>
      <c r="AV59" s="25"/>
      <c r="AW59" s="25"/>
      <c r="AX59" s="25"/>
      <c r="AY59" s="26"/>
      <c r="AZ59" s="25"/>
      <c r="BA59" s="25"/>
      <c r="BB59" s="25"/>
      <c r="BC59" s="25"/>
      <c r="BD59" s="26"/>
      <c r="BE59" s="25"/>
      <c r="BF59" s="25"/>
      <c r="BG59" s="25"/>
      <c r="BH59" s="25"/>
      <c r="BI59" s="26"/>
    </row>
    <row r="60" spans="1:70" hidden="1" outlineLevel="2">
      <c r="A60" s="1" t="s">
        <v>385</v>
      </c>
      <c r="B60" s="25"/>
      <c r="C60" s="25"/>
      <c r="D60" s="25"/>
      <c r="E60" s="25"/>
      <c r="F60" s="26"/>
      <c r="G60" s="25"/>
      <c r="H60" s="25"/>
      <c r="I60" s="25"/>
      <c r="J60" s="25"/>
      <c r="K60" s="26"/>
      <c r="L60" s="25"/>
      <c r="M60" s="25"/>
      <c r="N60" s="25"/>
      <c r="O60" s="25"/>
      <c r="P60" s="26"/>
      <c r="Q60" s="25"/>
      <c r="R60" s="25"/>
      <c r="S60" s="25"/>
      <c r="T60" s="25"/>
      <c r="U60" s="26"/>
      <c r="V60" s="25"/>
      <c r="W60" s="25"/>
      <c r="X60" s="25"/>
      <c r="Y60" s="25"/>
      <c r="Z60" s="26"/>
      <c r="AA60" s="25"/>
      <c r="AB60" s="25"/>
      <c r="AC60" s="25"/>
      <c r="AD60" s="25"/>
      <c r="AE60" s="26"/>
      <c r="AF60" s="25"/>
      <c r="AG60" s="25"/>
      <c r="AH60" s="25"/>
      <c r="AI60" s="25"/>
      <c r="AJ60" s="26"/>
      <c r="AK60" s="273"/>
      <c r="AL60" s="25"/>
      <c r="AM60" s="25"/>
      <c r="AN60" s="25"/>
      <c r="AO60" s="26"/>
      <c r="AP60" s="273"/>
      <c r="AQ60" s="25"/>
      <c r="AR60" s="25"/>
      <c r="AS60" s="25"/>
      <c r="AT60" s="26"/>
      <c r="AU60" s="25"/>
      <c r="AV60" s="25"/>
      <c r="AW60" s="25"/>
      <c r="AX60" s="25"/>
      <c r="AY60" s="26"/>
      <c r="AZ60" s="440">
        <v>0.1</v>
      </c>
      <c r="BA60" s="440">
        <v>0.11</v>
      </c>
      <c r="BB60" s="440">
        <v>0.06</v>
      </c>
      <c r="BC60" s="25"/>
      <c r="BD60" s="26"/>
      <c r="BE60" s="25"/>
      <c r="BF60" s="25"/>
      <c r="BG60" s="25"/>
      <c r="BH60" s="25"/>
      <c r="BI60" s="26"/>
    </row>
    <row r="61" spans="1:70" hidden="1" outlineLevel="2">
      <c r="A61" s="1" t="s">
        <v>386</v>
      </c>
      <c r="B61" s="25"/>
      <c r="C61" s="25"/>
      <c r="D61" s="25"/>
      <c r="E61" s="25"/>
      <c r="F61" s="26"/>
      <c r="G61" s="25"/>
      <c r="H61" s="25"/>
      <c r="I61" s="25"/>
      <c r="J61" s="25"/>
      <c r="K61" s="26"/>
      <c r="L61" s="25"/>
      <c r="M61" s="25"/>
      <c r="N61" s="25"/>
      <c r="O61" s="25"/>
      <c r="P61" s="26"/>
      <c r="Q61" s="25"/>
      <c r="R61" s="25"/>
      <c r="S61" s="25"/>
      <c r="T61" s="25"/>
      <c r="U61" s="26"/>
      <c r="V61" s="25"/>
      <c r="W61" s="25"/>
      <c r="X61" s="25"/>
      <c r="Y61" s="25"/>
      <c r="Z61" s="26"/>
      <c r="AA61" s="25"/>
      <c r="AB61" s="25"/>
      <c r="AC61" s="25"/>
      <c r="AD61" s="25"/>
      <c r="AE61" s="26"/>
      <c r="AF61" s="25"/>
      <c r="AG61" s="25"/>
      <c r="AH61" s="25"/>
      <c r="AI61" s="25"/>
      <c r="AJ61" s="26"/>
      <c r="AK61" s="273"/>
      <c r="AL61" s="25"/>
      <c r="AM61" s="25"/>
      <c r="AN61" s="25"/>
      <c r="AO61" s="26"/>
      <c r="AP61" s="273"/>
      <c r="AQ61" s="25"/>
      <c r="AR61" s="25"/>
      <c r="AS61" s="25"/>
      <c r="AT61" s="26"/>
      <c r="AU61" s="25"/>
      <c r="AV61" s="25"/>
      <c r="AW61" s="25"/>
      <c r="AX61" s="25"/>
      <c r="AY61" s="26"/>
      <c r="AZ61" s="440">
        <v>0.13</v>
      </c>
      <c r="BA61" s="440">
        <v>0.13</v>
      </c>
      <c r="BB61" s="440">
        <v>0.13</v>
      </c>
      <c r="BC61" s="25"/>
      <c r="BD61" s="26"/>
      <c r="BE61" s="25"/>
      <c r="BF61" s="25"/>
      <c r="BG61" s="25"/>
      <c r="BH61" s="25"/>
      <c r="BI61" s="26"/>
    </row>
    <row r="62" spans="1:70" hidden="1" outlineLevel="2">
      <c r="A62" s="1" t="s">
        <v>494</v>
      </c>
      <c r="B62" s="25"/>
      <c r="C62" s="25"/>
      <c r="D62" s="25"/>
      <c r="E62" s="25"/>
      <c r="F62" s="26"/>
      <c r="G62" s="25"/>
      <c r="H62" s="25"/>
      <c r="I62" s="25"/>
      <c r="J62" s="25"/>
      <c r="K62" s="26"/>
      <c r="L62" s="25"/>
      <c r="M62" s="25"/>
      <c r="N62" s="25"/>
      <c r="O62" s="25"/>
      <c r="P62" s="26"/>
      <c r="Q62" s="25"/>
      <c r="R62" s="25"/>
      <c r="S62" s="25"/>
      <c r="T62" s="25"/>
      <c r="U62" s="26"/>
      <c r="V62" s="25"/>
      <c r="W62" s="25"/>
      <c r="X62" s="25"/>
      <c r="Y62" s="25"/>
      <c r="Z62" s="26"/>
      <c r="AA62" s="25"/>
      <c r="AB62" s="25"/>
      <c r="AC62" s="25"/>
      <c r="AD62" s="25"/>
      <c r="AE62" s="26"/>
      <c r="AF62" s="25"/>
      <c r="AG62" s="25"/>
      <c r="AH62" s="25"/>
      <c r="AI62" s="25"/>
      <c r="AJ62" s="26"/>
      <c r="AK62" s="273"/>
      <c r="AL62" s="25"/>
      <c r="AM62" s="25"/>
      <c r="AN62" s="25"/>
      <c r="AO62" s="26"/>
      <c r="AP62" s="273"/>
      <c r="AQ62" s="25"/>
      <c r="AR62" s="25"/>
      <c r="AS62" s="25"/>
      <c r="AT62" s="26"/>
      <c r="AU62" s="25"/>
      <c r="AV62" s="25"/>
      <c r="AW62" s="25"/>
      <c r="AX62" s="25"/>
      <c r="AY62" s="26"/>
      <c r="AZ62" s="440">
        <v>0.02</v>
      </c>
      <c r="BA62" s="440">
        <v>0.01</v>
      </c>
      <c r="BB62" s="440">
        <v>0.16</v>
      </c>
      <c r="BC62" s="25"/>
      <c r="BD62" s="26"/>
      <c r="BE62" s="25"/>
      <c r="BF62" s="25"/>
      <c r="BG62" s="25"/>
      <c r="BH62" s="25"/>
      <c r="BI62" s="26"/>
    </row>
    <row r="63" spans="1:70" hidden="1" outlineLevel="2">
      <c r="A63" s="1"/>
      <c r="B63" s="25"/>
      <c r="C63" s="25"/>
      <c r="D63" s="25"/>
      <c r="E63" s="25"/>
      <c r="F63" s="26"/>
      <c r="G63" s="25"/>
      <c r="H63" s="25"/>
      <c r="I63" s="25"/>
      <c r="J63" s="25"/>
      <c r="K63" s="26"/>
      <c r="L63" s="25"/>
      <c r="M63" s="25"/>
      <c r="N63" s="25"/>
      <c r="O63" s="25"/>
      <c r="P63" s="26"/>
      <c r="Q63" s="25"/>
      <c r="R63" s="25"/>
      <c r="S63" s="25"/>
      <c r="T63" s="25"/>
      <c r="U63" s="26"/>
      <c r="V63" s="25"/>
      <c r="W63" s="25"/>
      <c r="X63" s="25"/>
      <c r="Y63" s="25"/>
      <c r="Z63" s="26"/>
      <c r="AA63" s="25"/>
      <c r="AB63" s="25"/>
      <c r="AC63" s="25"/>
      <c r="AD63" s="25"/>
      <c r="AE63" s="26"/>
      <c r="AF63" s="25"/>
      <c r="AG63" s="25"/>
      <c r="AH63" s="25"/>
      <c r="AI63" s="25"/>
      <c r="AJ63" s="26"/>
      <c r="AK63" s="273"/>
      <c r="AL63" s="25"/>
      <c r="AM63" s="25"/>
      <c r="AN63" s="25"/>
      <c r="AO63" s="26"/>
      <c r="AP63" s="273"/>
      <c r="AQ63" s="25"/>
      <c r="AR63" s="25"/>
      <c r="AS63" s="25"/>
      <c r="AT63" s="26"/>
      <c r="AU63" s="25"/>
      <c r="AV63" s="25"/>
      <c r="AW63" s="25"/>
      <c r="AX63" s="25"/>
      <c r="AY63" s="26"/>
      <c r="AZ63" s="25"/>
      <c r="BA63" s="25"/>
      <c r="BB63" s="25"/>
      <c r="BC63" s="25"/>
      <c r="BD63" s="26"/>
      <c r="BE63" s="25"/>
      <c r="BF63" s="25"/>
      <c r="BG63" s="25"/>
      <c r="BH63" s="25"/>
      <c r="BI63" s="26"/>
      <c r="BJ63" s="351"/>
      <c r="BK63" s="351"/>
    </row>
    <row r="64" spans="1:70" s="261" customFormat="1" hidden="1" outlineLevel="2">
      <c r="A64" s="349"/>
      <c r="B64" s="98"/>
      <c r="C64" s="98"/>
      <c r="D64" s="98"/>
      <c r="E64" s="98"/>
      <c r="F64" s="26"/>
      <c r="G64" s="25"/>
      <c r="H64" s="25"/>
      <c r="I64" s="25"/>
      <c r="J64" s="25"/>
      <c r="K64" s="26"/>
      <c r="L64" s="25"/>
      <c r="M64" s="25"/>
      <c r="N64" s="25"/>
      <c r="O64" s="25"/>
      <c r="P64" s="26"/>
      <c r="Q64" s="25"/>
      <c r="R64" s="25"/>
      <c r="S64" s="25"/>
      <c r="T64" s="25"/>
      <c r="U64" s="26"/>
      <c r="V64" s="25"/>
      <c r="W64" s="25"/>
      <c r="X64" s="25"/>
      <c r="Y64" s="25"/>
      <c r="Z64" s="26"/>
      <c r="AA64" s="25"/>
      <c r="AB64" s="25"/>
      <c r="AC64" s="25"/>
      <c r="AD64" s="25"/>
      <c r="AE64" s="26"/>
      <c r="AF64" s="25"/>
      <c r="AG64" s="25"/>
      <c r="AH64" s="25"/>
      <c r="AI64" s="25"/>
      <c r="AJ64" s="26"/>
      <c r="AK64" s="273"/>
      <c r="AL64" s="25"/>
      <c r="AM64" s="25"/>
      <c r="AN64" s="25"/>
      <c r="AO64" s="26"/>
      <c r="AP64" s="273"/>
      <c r="AQ64" s="25"/>
      <c r="AR64" s="25"/>
      <c r="AS64" s="25"/>
      <c r="AT64" s="26"/>
      <c r="AU64" s="25"/>
      <c r="AV64" s="25"/>
      <c r="AW64" s="25"/>
      <c r="AX64" s="25"/>
      <c r="AY64" s="26"/>
      <c r="AZ64" s="25"/>
      <c r="BA64" s="25"/>
      <c r="BB64" s="25"/>
      <c r="BC64" s="25"/>
      <c r="BD64" s="26"/>
      <c r="BE64" s="25"/>
      <c r="BF64" s="25"/>
      <c r="BG64" s="25"/>
      <c r="BH64" s="25"/>
      <c r="BI64" s="26"/>
      <c r="BJ64" s="349"/>
      <c r="BK64" s="349"/>
      <c r="BL64" s="98"/>
      <c r="BM64" s="98"/>
      <c r="BN64" s="98"/>
      <c r="BO64" s="98"/>
      <c r="BP64" s="98"/>
      <c r="BQ64" s="98"/>
      <c r="BR64" s="98"/>
    </row>
    <row r="65" spans="1:70" s="261" customFormat="1" hidden="1" outlineLevel="2">
      <c r="A65" s="349" t="s">
        <v>1</v>
      </c>
      <c r="B65" s="98"/>
      <c r="C65" s="98"/>
      <c r="D65" s="98"/>
      <c r="E65" s="98"/>
      <c r="F65" s="26"/>
      <c r="G65" s="25"/>
      <c r="H65" s="25"/>
      <c r="I65" s="25"/>
      <c r="J65" s="25"/>
      <c r="K65" s="26"/>
      <c r="L65" s="25"/>
      <c r="M65" s="25"/>
      <c r="N65" s="25"/>
      <c r="O65" s="25"/>
      <c r="P65" s="26"/>
      <c r="Q65" s="25"/>
      <c r="R65" s="25"/>
      <c r="S65" s="25"/>
      <c r="T65" s="25"/>
      <c r="U65" s="26"/>
      <c r="V65" s="25"/>
      <c r="W65" s="25"/>
      <c r="X65" s="25"/>
      <c r="Y65" s="25"/>
      <c r="Z65" s="26"/>
      <c r="AA65" s="25"/>
      <c r="AB65" s="25"/>
      <c r="AC65" s="25"/>
      <c r="AD65" s="25"/>
      <c r="AE65" s="26"/>
      <c r="AF65" s="25"/>
      <c r="AG65" s="25"/>
      <c r="AH65" s="25"/>
      <c r="AI65" s="25"/>
      <c r="AJ65" s="26"/>
      <c r="AK65" s="273"/>
      <c r="AL65" s="25"/>
      <c r="AM65" s="25"/>
      <c r="AN65" s="25"/>
      <c r="AO65" s="26"/>
      <c r="AP65" s="273"/>
      <c r="AQ65" s="25"/>
      <c r="AR65" s="25"/>
      <c r="AS65" s="25"/>
      <c r="AT65" s="26"/>
      <c r="AU65" s="25"/>
      <c r="AV65" s="25"/>
      <c r="AW65" s="25"/>
      <c r="AX65" s="25"/>
      <c r="AY65" s="26"/>
      <c r="AZ65" s="25"/>
      <c r="BA65" s="25"/>
      <c r="BB65" s="25"/>
      <c r="BC65" s="25"/>
      <c r="BD65" s="26"/>
      <c r="BE65" s="25"/>
      <c r="BF65" s="25"/>
      <c r="BG65" s="25"/>
      <c r="BH65" s="25"/>
      <c r="BI65" s="26"/>
      <c r="BJ65" s="349"/>
      <c r="BK65" s="349"/>
      <c r="BL65" s="98"/>
      <c r="BM65" s="98"/>
      <c r="BN65" s="98"/>
      <c r="BO65" s="98"/>
      <c r="BP65" s="98"/>
      <c r="BQ65" s="98"/>
      <c r="BR65" s="98"/>
    </row>
    <row r="66" spans="1:70" s="261" customFormat="1" hidden="1" outlineLevel="2">
      <c r="A66" s="349" t="s">
        <v>2</v>
      </c>
      <c r="B66" s="98"/>
      <c r="C66" s="98"/>
      <c r="D66" s="98"/>
      <c r="E66" s="98"/>
      <c r="F66" s="26"/>
      <c r="G66" s="25"/>
      <c r="H66" s="25"/>
      <c r="I66" s="25"/>
      <c r="J66" s="25"/>
      <c r="K66" s="26"/>
      <c r="L66" s="25"/>
      <c r="M66" s="25"/>
      <c r="N66" s="25"/>
      <c r="O66" s="25"/>
      <c r="P66" s="26"/>
      <c r="Q66" s="25"/>
      <c r="R66" s="25"/>
      <c r="S66" s="25"/>
      <c r="T66" s="25"/>
      <c r="U66" s="26"/>
      <c r="V66" s="25"/>
      <c r="W66" s="25"/>
      <c r="X66" s="25"/>
      <c r="Y66" s="25"/>
      <c r="Z66" s="26"/>
      <c r="AA66" s="25"/>
      <c r="AB66" s="25"/>
      <c r="AC66" s="25"/>
      <c r="AD66" s="25"/>
      <c r="AE66" s="26"/>
      <c r="AF66" s="25"/>
      <c r="AG66" s="25"/>
      <c r="AH66" s="25"/>
      <c r="AI66" s="25"/>
      <c r="AJ66" s="26"/>
      <c r="AK66" s="273"/>
      <c r="AL66" s="25"/>
      <c r="AM66" s="25"/>
      <c r="AN66" s="25"/>
      <c r="AO66" s="26"/>
      <c r="AP66" s="273"/>
      <c r="AQ66" s="25"/>
      <c r="AR66" s="25"/>
      <c r="AS66" s="25"/>
      <c r="AT66" s="26"/>
      <c r="AU66" s="25"/>
      <c r="AV66" s="25"/>
      <c r="AW66" s="25"/>
      <c r="AX66" s="25"/>
      <c r="AY66" s="26"/>
      <c r="AZ66" s="25"/>
      <c r="BA66" s="25"/>
      <c r="BB66" s="25"/>
      <c r="BC66" s="25"/>
      <c r="BD66" s="26"/>
      <c r="BE66" s="25"/>
      <c r="BF66" s="25"/>
      <c r="BG66" s="25"/>
      <c r="BH66" s="25"/>
      <c r="BI66" s="26"/>
      <c r="BJ66" s="350"/>
      <c r="BK66" s="350"/>
      <c r="BL66" s="98"/>
      <c r="BM66" s="98"/>
      <c r="BN66" s="98"/>
      <c r="BO66" s="98"/>
      <c r="BP66" s="98"/>
      <c r="BQ66" s="98"/>
      <c r="BR66" s="98"/>
    </row>
    <row r="67" spans="1:70" s="261" customFormat="1" hidden="1" outlineLevel="2">
      <c r="A67" s="349" t="s">
        <v>65</v>
      </c>
      <c r="B67" s="98"/>
      <c r="C67" s="98"/>
      <c r="D67" s="98"/>
      <c r="E67" s="98"/>
      <c r="F67" s="26"/>
      <c r="G67" s="25"/>
      <c r="H67" s="25"/>
      <c r="I67" s="25"/>
      <c r="J67" s="25"/>
      <c r="K67" s="26"/>
      <c r="L67" s="25"/>
      <c r="M67" s="25"/>
      <c r="N67" s="25"/>
      <c r="O67" s="25"/>
      <c r="P67" s="26"/>
      <c r="Q67" s="25"/>
      <c r="R67" s="25"/>
      <c r="S67" s="25"/>
      <c r="T67" s="25"/>
      <c r="U67" s="26"/>
      <c r="V67" s="25"/>
      <c r="W67" s="25"/>
      <c r="X67" s="25"/>
      <c r="Y67" s="25"/>
      <c r="Z67" s="26"/>
      <c r="AA67" s="25"/>
      <c r="AB67" s="25"/>
      <c r="AC67" s="25"/>
      <c r="AD67" s="25"/>
      <c r="AE67" s="26"/>
      <c r="AF67" s="25"/>
      <c r="AG67" s="25"/>
      <c r="AH67" s="25"/>
      <c r="AI67" s="25"/>
      <c r="AJ67" s="26"/>
      <c r="AK67" s="273"/>
      <c r="AL67" s="25"/>
      <c r="AM67" s="25"/>
      <c r="AN67" s="25"/>
      <c r="AO67" s="26"/>
      <c r="AP67" s="273"/>
      <c r="AQ67" s="25"/>
      <c r="AR67" s="25"/>
      <c r="AS67" s="25"/>
      <c r="AT67" s="26"/>
      <c r="AU67" s="25"/>
      <c r="AV67" s="25"/>
      <c r="AW67" s="25"/>
      <c r="AX67" s="25"/>
      <c r="AY67" s="26"/>
      <c r="AZ67" s="25"/>
      <c r="BA67" s="25"/>
      <c r="BB67" s="25"/>
      <c r="BC67" s="25"/>
      <c r="BD67" s="26"/>
      <c r="BE67" s="25"/>
      <c r="BF67" s="25"/>
      <c r="BG67" s="25"/>
      <c r="BH67" s="25"/>
      <c r="BI67" s="26"/>
      <c r="BJ67" s="349"/>
      <c r="BK67" s="349"/>
      <c r="BL67" s="98"/>
      <c r="BM67" s="98"/>
      <c r="BN67" s="98"/>
      <c r="BO67" s="98"/>
      <c r="BP67" s="98"/>
      <c r="BQ67" s="98"/>
      <c r="BR67" s="98"/>
    </row>
    <row r="68" spans="1:70" collapsed="1">
      <c r="B68" s="25"/>
      <c r="C68" s="25"/>
      <c r="D68" s="25"/>
      <c r="E68" s="25"/>
      <c r="F68" s="26"/>
      <c r="G68" s="25"/>
      <c r="H68" s="25"/>
      <c r="I68" s="25"/>
      <c r="J68" s="25"/>
      <c r="K68" s="26"/>
      <c r="L68" s="25"/>
      <c r="M68" s="25"/>
      <c r="N68" s="25"/>
      <c r="O68" s="25"/>
      <c r="P68" s="26"/>
      <c r="Q68" s="25"/>
      <c r="R68" s="25"/>
      <c r="S68" s="25"/>
      <c r="T68" s="25"/>
      <c r="U68" s="26"/>
      <c r="V68" s="25"/>
      <c r="W68" s="25"/>
      <c r="X68" s="25"/>
      <c r="Y68" s="25"/>
      <c r="Z68" s="26"/>
      <c r="AA68" s="25"/>
      <c r="AB68" s="25"/>
      <c r="AC68" s="25"/>
      <c r="AD68" s="25"/>
      <c r="AE68" s="26"/>
      <c r="AF68" s="25"/>
      <c r="AG68" s="25"/>
      <c r="AH68" s="25"/>
      <c r="AI68" s="25"/>
      <c r="AJ68" s="26"/>
      <c r="AK68" s="273"/>
      <c r="AL68" s="25"/>
      <c r="AM68" s="25"/>
      <c r="AN68" s="25"/>
      <c r="AO68" s="26"/>
      <c r="AP68" s="273"/>
      <c r="AQ68" s="25"/>
      <c r="AR68" s="25"/>
      <c r="AS68" s="25"/>
      <c r="AT68" s="26"/>
      <c r="AU68" s="25"/>
      <c r="AV68" s="25"/>
      <c r="AW68" s="25"/>
      <c r="AX68" s="25"/>
      <c r="AY68" s="26"/>
      <c r="AZ68" s="25"/>
      <c r="BA68" s="25"/>
      <c r="BB68" s="25"/>
      <c r="BC68" s="25"/>
      <c r="BD68" s="26"/>
      <c r="BE68" s="25"/>
      <c r="BF68" s="25"/>
      <c r="BG68" s="25"/>
      <c r="BH68" s="25"/>
      <c r="BI68" s="26"/>
    </row>
    <row r="69" spans="1:70">
      <c r="A69" s="536" t="s">
        <v>491</v>
      </c>
      <c r="B69" s="62"/>
      <c r="C69" s="62"/>
      <c r="D69" s="62"/>
      <c r="E69" s="62"/>
      <c r="F69" s="63"/>
      <c r="G69" s="62"/>
      <c r="H69" s="62"/>
      <c r="I69" s="62"/>
      <c r="J69" s="62"/>
      <c r="K69" s="63"/>
      <c r="L69" s="62"/>
      <c r="M69" s="62"/>
      <c r="N69" s="62"/>
      <c r="O69" s="62"/>
      <c r="P69" s="63"/>
      <c r="Q69" s="62"/>
      <c r="R69" s="62"/>
      <c r="S69" s="62"/>
      <c r="T69" s="62"/>
      <c r="U69" s="63"/>
      <c r="V69" s="62"/>
      <c r="W69" s="62"/>
      <c r="X69" s="62"/>
      <c r="Y69" s="62"/>
      <c r="Z69" s="63"/>
      <c r="AA69" s="62"/>
      <c r="AB69" s="62"/>
      <c r="AC69" s="62"/>
      <c r="AD69" s="62"/>
      <c r="AE69" s="63"/>
      <c r="AF69" s="62"/>
      <c r="AG69" s="62"/>
      <c r="AH69" s="62"/>
      <c r="AI69" s="62"/>
      <c r="AJ69" s="63"/>
      <c r="AK69" s="537"/>
      <c r="AL69" s="62"/>
      <c r="AM69" s="62"/>
      <c r="AN69" s="62"/>
      <c r="AO69" s="63"/>
      <c r="AP69" s="537"/>
      <c r="AQ69" s="62"/>
      <c r="AR69" s="62"/>
      <c r="AS69" s="62"/>
      <c r="AT69" s="63"/>
      <c r="AU69" s="62"/>
      <c r="AV69" s="62"/>
      <c r="AW69" s="62"/>
      <c r="AX69" s="62"/>
      <c r="AY69" s="63"/>
      <c r="AZ69" s="62"/>
      <c r="BA69" s="62"/>
      <c r="BB69" s="62"/>
      <c r="BC69" s="62"/>
      <c r="BD69" s="63"/>
      <c r="BE69" s="62"/>
      <c r="BF69" s="62"/>
      <c r="BG69" s="62"/>
      <c r="BH69" s="62"/>
      <c r="BI69" s="63"/>
    </row>
    <row r="70" spans="1:70">
      <c r="B70" s="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row>
    <row r="71" spans="1:70">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row>
    <row r="72" spans="1:70">
      <c r="B72" s="25"/>
      <c r="C72" s="25"/>
      <c r="D72" s="25"/>
      <c r="E72" s="25"/>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35"/>
      <c r="BA72" s="35"/>
      <c r="BB72" s="35"/>
      <c r="BC72" s="35"/>
      <c r="BD72" s="25"/>
      <c r="BE72" s="35"/>
      <c r="BF72" s="35"/>
      <c r="BG72" s="35"/>
      <c r="BH72" s="35"/>
      <c r="BI72" s="25"/>
    </row>
    <row r="73" spans="1:70">
      <c r="B73" s="25"/>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35"/>
      <c r="BA73" s="35"/>
      <c r="BB73" s="35"/>
      <c r="BC73" s="35"/>
      <c r="BD73" s="25"/>
      <c r="BE73" s="35"/>
      <c r="BF73" s="35"/>
      <c r="BG73" s="35"/>
      <c r="BH73" s="35"/>
      <c r="BI73" s="25"/>
    </row>
    <row r="74" spans="1:70">
      <c r="B74" s="25"/>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35"/>
      <c r="AV74" s="35"/>
      <c r="AW74" s="35"/>
      <c r="AX74" s="35"/>
      <c r="AY74" s="25"/>
      <c r="AZ74" s="35"/>
      <c r="BA74" s="35"/>
      <c r="BB74" s="35"/>
      <c r="BC74" s="35"/>
      <c r="BD74" s="25"/>
      <c r="BE74" s="35"/>
      <c r="BF74" s="35"/>
      <c r="BG74" s="35"/>
      <c r="BH74" s="35"/>
      <c r="BI74" s="25"/>
    </row>
    <row r="75" spans="1:70">
      <c r="B75" s="25"/>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row>
  </sheetData>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AL57"/>
  <sheetViews>
    <sheetView showGridLines="0" zoomScale="80" zoomScaleNormal="80" workbookViewId="0">
      <pane xSplit="1" ySplit="2" topLeftCell="N26" activePane="bottomRight" state="frozen"/>
      <selection activeCell="O15" sqref="O15"/>
      <selection pane="topRight" activeCell="O15" sqref="O15"/>
      <selection pane="bottomLeft" activeCell="O15" sqref="O15"/>
      <selection pane="bottomRight" activeCell="Y66" sqref="Y66"/>
    </sheetView>
  </sheetViews>
  <sheetFormatPr defaultRowHeight="15" outlineLevelRow="1"/>
  <cols>
    <col min="1" max="1" width="47.85546875" customWidth="1"/>
    <col min="2" max="11" width="12.140625" style="25" hidden="1" customWidth="1"/>
    <col min="12" max="22" width="12.140625" style="25" customWidth="1"/>
    <col min="23" max="32" width="12.140625" customWidth="1"/>
    <col min="34" max="34" width="15.140625" customWidth="1"/>
    <col min="35" max="35" width="19.140625" customWidth="1"/>
    <col min="36" max="36" width="13" customWidth="1"/>
    <col min="37" max="37" width="13.140625" customWidth="1"/>
    <col min="38" max="38" width="13" customWidth="1"/>
  </cols>
  <sheetData>
    <row r="1" spans="1:33">
      <c r="A1" s="14" t="s">
        <v>253</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row>
    <row r="2" spans="1:33">
      <c r="A2" s="6"/>
      <c r="B2" s="110" t="str">
        <f>ProForma_IS_Annual!B2</f>
        <v>CY2000A</v>
      </c>
      <c r="C2" s="110" t="str">
        <f>ProForma_IS_Annual!C2</f>
        <v>CY2001A</v>
      </c>
      <c r="D2" s="110" t="str">
        <f>ProForma_IS_Annual!D2</f>
        <v>CY2002A</v>
      </c>
      <c r="E2" s="110" t="str">
        <f>ProForma_IS_Annual!E2</f>
        <v>CY2003A</v>
      </c>
      <c r="F2" s="110" t="str">
        <f>ProForma_IS_Annual!F2</f>
        <v>CY2004A</v>
      </c>
      <c r="G2" s="109" t="str">
        <f>ProForma_IS_Annual!G2</f>
        <v>CY2005A</v>
      </c>
      <c r="H2" s="110" t="str">
        <f>ProForma_IS_Annual!H2</f>
        <v>CY2006A</v>
      </c>
      <c r="I2" s="110" t="str">
        <f>ProForma_IS_Annual!I2</f>
        <v>CY2007A</v>
      </c>
      <c r="J2" s="110" t="str">
        <f>ProForma_IS_Annual!J2</f>
        <v>CY2008A</v>
      </c>
      <c r="K2" s="110" t="str">
        <f>ProForma_IS_Annual!K2</f>
        <v>CY2009A</v>
      </c>
      <c r="L2" s="110" t="str">
        <f>ProForma_IS_Annual!L2</f>
        <v>CY2010A</v>
      </c>
      <c r="M2" s="110" t="str">
        <f>ProForma_IS_Annual!M2</f>
        <v>CY2011A</v>
      </c>
      <c r="N2" s="110" t="str">
        <f>ProForma_IS_Annual!N2</f>
        <v>CY2012A</v>
      </c>
      <c r="O2" s="110" t="str">
        <f>ProForma_IS_Annual!O2</f>
        <v>CY2013A</v>
      </c>
      <c r="P2" s="110" t="str">
        <f>ProForma_IS_Annual!P2</f>
        <v>CY2014A</v>
      </c>
      <c r="Q2" s="110" t="str">
        <f>ProForma_IS_Annual!Q2</f>
        <v>CY2015A</v>
      </c>
      <c r="R2" s="110" t="str">
        <f>ProForma_IS_Annual!R2</f>
        <v>CY2016A</v>
      </c>
      <c r="S2" s="110" t="str">
        <f>ProForma_IS_Annual!S2</f>
        <v>CY2017A</v>
      </c>
      <c r="T2" s="110" t="str">
        <f>ProForma_IS_Annual!T2</f>
        <v>CY2018A</v>
      </c>
      <c r="U2" s="109" t="str">
        <f>ProForma_IS_Annual!U2</f>
        <v>CY2019A</v>
      </c>
      <c r="V2" s="109" t="str">
        <f>ProForma_IS_Annual!V2</f>
        <v>CY2020A</v>
      </c>
      <c r="W2" s="109" t="str">
        <f>ProForma_IS_Annual!W2</f>
        <v>CY2021A</v>
      </c>
      <c r="X2" s="109" t="str">
        <f>ProForma_IS_Annual!X2</f>
        <v>CY2022A</v>
      </c>
      <c r="Y2" s="109" t="str">
        <f>ProForma_IS_Annual!Y2</f>
        <v>CY2023A</v>
      </c>
      <c r="Z2" s="109" t="str">
        <f>ProForma_IS_Annual!Z2</f>
        <v>CY2024A</v>
      </c>
      <c r="AA2" s="109" t="str">
        <f>ProForma_IS_Annual!AA2</f>
        <v>CY2025A</v>
      </c>
      <c r="AB2" s="109" t="str">
        <f>ProForma_IS_Annual!AB2</f>
        <v>CY2026E</v>
      </c>
      <c r="AC2" s="109" t="str">
        <f>ProForma_IS_Annual!AC2</f>
        <v>CY2027E</v>
      </c>
      <c r="AD2" s="109" t="str">
        <f>ProForma_IS_Annual!AD2</f>
        <v>CY2028E</v>
      </c>
      <c r="AE2" s="109" t="str">
        <f>ProForma_IS_Annual!AE2</f>
        <v>CY2029E</v>
      </c>
      <c r="AF2" s="109" t="str">
        <f>ProForma_IS_Annual!AF2</f>
        <v>CY2030E</v>
      </c>
      <c r="AG2" s="314"/>
    </row>
    <row r="3" spans="1:33" hidden="1" outlineLevel="1">
      <c r="A3" s="187" t="str">
        <f>'Pratt &amp; Whitney_Qtr'!A3</f>
        <v>GTF</v>
      </c>
      <c r="B3" s="110"/>
      <c r="C3" s="110"/>
      <c r="D3" s="110"/>
      <c r="E3" s="110"/>
      <c r="F3" s="110"/>
      <c r="G3" s="109"/>
      <c r="H3" s="110"/>
      <c r="I3" s="110"/>
      <c r="J3" s="110"/>
      <c r="K3" s="110"/>
      <c r="L3" s="110"/>
      <c r="M3" s="110"/>
      <c r="N3" s="110"/>
      <c r="O3" s="110"/>
      <c r="P3" s="110"/>
      <c r="Q3" s="110"/>
      <c r="R3" s="110"/>
      <c r="S3" s="110"/>
      <c r="T3" s="110"/>
      <c r="U3" s="214">
        <f>'Pratt &amp; Whitney_Qtr'!Z3</f>
        <v>5104.3457438329297</v>
      </c>
      <c r="V3" s="203">
        <f>'Pratt &amp; Whitney_Qtr'!AE3</f>
        <v>3032.1737294152631</v>
      </c>
      <c r="W3" s="203">
        <f>'Pratt &amp; Whitney_Qtr'!AJ3</f>
        <v>4450.0792250811874</v>
      </c>
      <c r="X3" s="203">
        <f>'Pratt &amp; Whitney_Qtr'!AO3</f>
        <v>5563.3699112172471</v>
      </c>
      <c r="Y3" s="203">
        <f>'Pratt &amp; Whitney_Qtr'!AT3</f>
        <v>6541.2064929407361</v>
      </c>
      <c r="Z3" s="203">
        <f>'Pratt &amp; Whitney_Qtr'!AY3</f>
        <v>7393.6365062940185</v>
      </c>
      <c r="AA3" s="203">
        <f>'Pratt &amp; Whitney_Qtr'!BD3</f>
        <v>8503.1152031271613</v>
      </c>
      <c r="AB3" s="203">
        <f>'Pratt &amp; Whitney_Qtr'!BI3</f>
        <v>8838.5725782076497</v>
      </c>
      <c r="AC3" s="203">
        <v>9150.1322615894696</v>
      </c>
      <c r="AD3" s="484">
        <v>8956.1197011160948</v>
      </c>
      <c r="AE3" s="484">
        <f>AD3*1.01</f>
        <v>9045.6808981272552</v>
      </c>
      <c r="AF3" s="484">
        <f>AE3*1.01</f>
        <v>9136.137707108528</v>
      </c>
      <c r="AG3" s="314"/>
    </row>
    <row r="4" spans="1:33" hidden="1" outlineLevel="1">
      <c r="A4" s="3" t="str">
        <f>'Pratt &amp; Whitney_Qtr'!A4</f>
        <v>YoY</v>
      </c>
      <c r="B4" s="110"/>
      <c r="C4" s="110"/>
      <c r="D4" s="110"/>
      <c r="E4" s="110"/>
      <c r="F4" s="110"/>
      <c r="G4" s="109"/>
      <c r="H4" s="110"/>
      <c r="I4" s="110"/>
      <c r="J4" s="110"/>
      <c r="K4" s="110"/>
      <c r="L4" s="110"/>
      <c r="M4" s="110"/>
      <c r="N4" s="110"/>
      <c r="O4" s="110"/>
      <c r="P4" s="110"/>
      <c r="Q4" s="110"/>
      <c r="R4" s="110"/>
      <c r="S4" s="110"/>
      <c r="T4" s="110"/>
      <c r="U4" s="211">
        <f>'Pratt &amp; Whitney_Qtr'!Z4</f>
        <v>0</v>
      </c>
      <c r="V4" s="200">
        <f>'Pratt &amp; Whitney_Qtr'!AE4</f>
        <v>-0.40596231493943469</v>
      </c>
      <c r="W4" s="200">
        <f>'Pratt &amp; Whitney_Qtr'!AJ4</f>
        <v>0.46762013729977103</v>
      </c>
      <c r="X4" s="200">
        <f>'Pratt &amp; Whitney_Qtr'!AO4</f>
        <v>0.25017322834645683</v>
      </c>
      <c r="Y4" s="200">
        <f>'Pratt &amp; Whitney_Qtr'!AT4</f>
        <v>0.17576335877862581</v>
      </c>
      <c r="Z4" s="200">
        <f>'Pratt &amp; Whitney_Qtr'!AY4</f>
        <v>0.13031693989071047</v>
      </c>
      <c r="AA4" s="200">
        <f>'Pratt &amp; Whitney_Qtr'!BD4</f>
        <v>0.15005859374999986</v>
      </c>
      <c r="AB4" s="200">
        <f>'Pratt &amp; Whitney_Qtr'!BI4</f>
        <v>3.9451114922812947E-2</v>
      </c>
      <c r="AC4" s="209">
        <f>AC3/AB3-1</f>
        <v>3.5250000000000004E-2</v>
      </c>
      <c r="AD4" s="209">
        <f>AD3/AC3-1</f>
        <v>-2.1203252032520159E-2</v>
      </c>
      <c r="AE4" s="209">
        <f>AE3/AD3-1</f>
        <v>1.0000000000000009E-2</v>
      </c>
      <c r="AF4" s="209">
        <f>AF3/AE3-1</f>
        <v>1.0000000000000009E-2</v>
      </c>
      <c r="AG4" s="314"/>
    </row>
    <row r="5" spans="1:33" hidden="1" outlineLevel="1">
      <c r="A5" s="187"/>
      <c r="B5" s="110"/>
      <c r="C5" s="110"/>
      <c r="D5" s="110"/>
      <c r="E5" s="110"/>
      <c r="F5" s="110"/>
      <c r="G5" s="109"/>
      <c r="H5" s="110"/>
      <c r="I5" s="110"/>
      <c r="J5" s="110"/>
      <c r="K5" s="110"/>
      <c r="L5" s="110"/>
      <c r="M5" s="110"/>
      <c r="N5" s="110"/>
      <c r="O5" s="110"/>
      <c r="P5" s="110"/>
      <c r="Q5" s="110"/>
      <c r="R5" s="110"/>
      <c r="S5" s="110"/>
      <c r="T5" s="110"/>
      <c r="U5" s="110"/>
      <c r="V5" s="110"/>
      <c r="W5" s="110"/>
      <c r="X5" s="110"/>
      <c r="Y5" s="110"/>
      <c r="Z5" s="110"/>
      <c r="AA5" s="110"/>
      <c r="AB5" s="110"/>
      <c r="AC5" s="110"/>
      <c r="AD5" s="110"/>
      <c r="AE5" s="110"/>
      <c r="AF5" s="110"/>
      <c r="AG5" s="314"/>
    </row>
    <row r="6" spans="1:33" hidden="1" outlineLevel="1">
      <c r="A6" s="187" t="str">
        <f>'Pratt &amp; Whitney_Qtr'!A6</f>
        <v>Pratt Canada (PW800)</v>
      </c>
      <c r="B6" s="110"/>
      <c r="C6" s="110"/>
      <c r="D6" s="110"/>
      <c r="E6" s="110"/>
      <c r="F6" s="110"/>
      <c r="G6" s="109"/>
      <c r="H6" s="110"/>
      <c r="I6" s="110"/>
      <c r="J6" s="110"/>
      <c r="K6" s="110"/>
      <c r="L6" s="110"/>
      <c r="M6" s="110"/>
      <c r="N6" s="110"/>
      <c r="O6" s="110"/>
      <c r="P6" s="110"/>
      <c r="Q6" s="110"/>
      <c r="R6" s="110"/>
      <c r="S6" s="110"/>
      <c r="T6" s="110"/>
      <c r="U6" s="214">
        <f>'Pratt &amp; Whitney_Qtr'!Z6</f>
        <v>0</v>
      </c>
      <c r="V6" s="203">
        <f>'Pratt &amp; Whitney_Qtr'!AE6</f>
        <v>0</v>
      </c>
      <c r="W6" s="203">
        <f>'Pratt &amp; Whitney_Qtr'!AJ6</f>
        <v>0</v>
      </c>
      <c r="X6" s="203">
        <f>'Pratt &amp; Whitney_Qtr'!AO6</f>
        <v>0</v>
      </c>
      <c r="Y6" s="203">
        <f>'Pratt &amp; Whitney_Qtr'!AT6</f>
        <v>0</v>
      </c>
      <c r="Z6" s="203">
        <f>'Pratt &amp; Whitney_Qtr'!AY6</f>
        <v>0</v>
      </c>
      <c r="AA6" s="203">
        <f>'Pratt &amp; Whitney_Qtr'!BD6</f>
        <v>0</v>
      </c>
      <c r="AB6" s="203">
        <f>'Pratt &amp; Whitney_Qtr'!BI6</f>
        <v>0</v>
      </c>
      <c r="AC6" s="204">
        <f>AB6*(1+AC7)</f>
        <v>0</v>
      </c>
      <c r="AD6" s="204">
        <f>AC6*(1+AD7)</f>
        <v>0</v>
      </c>
      <c r="AE6" s="204">
        <f>AD6*(1+AE7)</f>
        <v>0</v>
      </c>
      <c r="AF6" s="204">
        <f>AE6*(1+AF7)</f>
        <v>0</v>
      </c>
      <c r="AG6" s="314"/>
    </row>
    <row r="7" spans="1:33" hidden="1" outlineLevel="1">
      <c r="A7" s="3" t="str">
        <f>'Pratt &amp; Whitney_Qtr'!A7</f>
        <v>YoY</v>
      </c>
      <c r="B7" s="110"/>
      <c r="C7" s="110"/>
      <c r="D7" s="110"/>
      <c r="E7" s="110"/>
      <c r="F7" s="110"/>
      <c r="G7" s="109"/>
      <c r="H7" s="110"/>
      <c r="I7" s="110"/>
      <c r="J7" s="110"/>
      <c r="K7" s="110"/>
      <c r="L7" s="110"/>
      <c r="M7" s="110"/>
      <c r="N7" s="110"/>
      <c r="O7" s="110"/>
      <c r="P7" s="110"/>
      <c r="Q7" s="110"/>
      <c r="R7" s="110"/>
      <c r="S7" s="110"/>
      <c r="T7" s="110"/>
      <c r="U7" s="211">
        <f>'Pratt &amp; Whitney_Qtr'!Z7</f>
        <v>0</v>
      </c>
      <c r="V7" s="200" t="str">
        <f>'Pratt &amp; Whitney_Qtr'!AE7</f>
        <v>NM</v>
      </c>
      <c r="W7" s="200" t="str">
        <f>'Pratt &amp; Whitney_Qtr'!AJ7</f>
        <v>NM</v>
      </c>
      <c r="X7" s="200" t="str">
        <f>'Pratt &amp; Whitney_Qtr'!AO7</f>
        <v>NM</v>
      </c>
      <c r="Y7" s="200" t="str">
        <f>'Pratt &amp; Whitney_Qtr'!AT7</f>
        <v>NM</v>
      </c>
      <c r="Z7" s="200" t="str">
        <f>'Pratt &amp; Whitney_Qtr'!AY7</f>
        <v>NM</v>
      </c>
      <c r="AA7" s="200" t="str">
        <f>'Pratt &amp; Whitney_Qtr'!BD7</f>
        <v>NM</v>
      </c>
      <c r="AB7" s="200" t="str">
        <f>'Pratt &amp; Whitney_Qtr'!BI7</f>
        <v>NM</v>
      </c>
      <c r="AC7" s="205">
        <v>0</v>
      </c>
      <c r="AD7" s="205">
        <v>0</v>
      </c>
      <c r="AE7" s="205">
        <v>0</v>
      </c>
      <c r="AF7" s="205">
        <v>0</v>
      </c>
      <c r="AG7" s="314"/>
    </row>
    <row r="8" spans="1:33" hidden="1" outlineLevel="1">
      <c r="A8" s="187"/>
      <c r="B8" s="110"/>
      <c r="C8" s="110"/>
      <c r="D8" s="110"/>
      <c r="E8" s="110"/>
      <c r="F8" s="110"/>
      <c r="G8" s="109"/>
      <c r="H8" s="110"/>
      <c r="I8" s="110"/>
      <c r="J8" s="110"/>
      <c r="K8" s="110"/>
      <c r="L8" s="110"/>
      <c r="M8" s="110"/>
      <c r="N8" s="110"/>
      <c r="O8" s="110"/>
      <c r="P8" s="110"/>
      <c r="Q8" s="110"/>
      <c r="R8" s="110"/>
      <c r="S8" s="110"/>
      <c r="T8" s="110"/>
      <c r="U8" s="110"/>
      <c r="V8" s="110"/>
      <c r="W8" s="110"/>
      <c r="X8" s="110"/>
      <c r="Y8" s="110"/>
      <c r="Z8" s="110"/>
      <c r="AA8" s="110"/>
      <c r="AB8" s="110"/>
      <c r="AC8" s="110"/>
      <c r="AD8" s="110"/>
      <c r="AE8" s="110"/>
      <c r="AF8" s="110"/>
      <c r="AG8" s="314"/>
    </row>
    <row r="9" spans="1:33" hidden="1" outlineLevel="1">
      <c r="A9" s="187" t="str">
        <f>'Pratt &amp; Whitney_Qtr'!A9</f>
        <v>Other (F135)</v>
      </c>
      <c r="B9" s="110"/>
      <c r="C9" s="110"/>
      <c r="D9" s="110"/>
      <c r="E9" s="110"/>
      <c r="F9" s="110"/>
      <c r="G9" s="109"/>
      <c r="H9" s="110"/>
      <c r="I9" s="110"/>
      <c r="J9" s="110"/>
      <c r="K9" s="110"/>
      <c r="L9" s="110"/>
      <c r="M9" s="110"/>
      <c r="N9" s="110"/>
      <c r="O9" s="110"/>
      <c r="P9" s="110"/>
      <c r="Q9" s="110"/>
      <c r="R9" s="110"/>
      <c r="S9" s="110"/>
      <c r="T9" s="110"/>
      <c r="U9" s="214">
        <f>'Pratt &amp; Whitney_Qtr'!Z9</f>
        <v>8201.1148692830975</v>
      </c>
      <c r="V9" s="203">
        <f>'Pratt &amp; Whitney_Qtr'!AE9</f>
        <v>7153.8262705847374</v>
      </c>
      <c r="W9" s="203">
        <f>'Pratt &amp; Whitney_Qtr'!AJ9</f>
        <v>6775.9207749188126</v>
      </c>
      <c r="X9" s="203">
        <f>'Pratt &amp; Whitney_Qtr'!AO9</f>
        <v>6847.6300887827529</v>
      </c>
      <c r="Y9" s="199">
        <f>'Pratt &amp; Whitney_Qtr'!AT9</f>
        <v>2037.7935070592639</v>
      </c>
      <c r="Z9" s="199">
        <f>'Pratt &amp; Whitney_Qtr'!AY9</f>
        <v>8922.3634937059815</v>
      </c>
      <c r="AA9" s="199">
        <f>'Pratt &amp; Whitney_Qtr'!BD9</f>
        <v>9963.8847968728387</v>
      </c>
      <c r="AB9" s="199">
        <f>'Pratt &amp; Whitney_Qtr'!BI9</f>
        <v>9831.5644217923491</v>
      </c>
      <c r="AC9" s="327">
        <f>AC12-AC3-AC6</f>
        <v>10453.511588410531</v>
      </c>
      <c r="AD9" s="327">
        <f>AD12-AD3-AD6</f>
        <v>11308.63922028285</v>
      </c>
      <c r="AE9" s="327">
        <f>AE12-AE3-AE6</f>
        <v>11308.523747097639</v>
      </c>
      <c r="AF9" s="327">
        <f>AF12-AF3-AF6</f>
        <v>11307.907462469762</v>
      </c>
      <c r="AG9" s="314"/>
    </row>
    <row r="10" spans="1:33" hidden="1" outlineLevel="1">
      <c r="A10" s="3" t="str">
        <f>'Pratt &amp; Whitney_Qtr'!A10</f>
        <v>YoY</v>
      </c>
      <c r="B10" s="110"/>
      <c r="C10" s="110"/>
      <c r="D10" s="110"/>
      <c r="E10" s="110"/>
      <c r="F10" s="110"/>
      <c r="G10" s="109"/>
      <c r="H10" s="110"/>
      <c r="I10" s="110"/>
      <c r="J10" s="110"/>
      <c r="K10" s="110"/>
      <c r="L10" s="110"/>
      <c r="M10" s="110"/>
      <c r="N10" s="110"/>
      <c r="O10" s="110"/>
      <c r="P10" s="110"/>
      <c r="Q10" s="110"/>
      <c r="R10" s="110"/>
      <c r="S10" s="110"/>
      <c r="T10" s="110"/>
      <c r="U10" s="211">
        <f>'Pratt &amp; Whitney_Qtr'!Z10</f>
        <v>0</v>
      </c>
      <c r="V10" s="200">
        <f>'Pratt &amp; Whitney_Qtr'!AE10</f>
        <v>-0.12770075963951344</v>
      </c>
      <c r="W10" s="200">
        <f>'Pratt &amp; Whitney_Qtr'!AJ10</f>
        <v>-5.2825646216739242E-2</v>
      </c>
      <c r="X10" s="200">
        <f>'Pratt &amp; Whitney_Qtr'!AO10</f>
        <v>1.0582962263870233E-2</v>
      </c>
      <c r="Y10" s="200">
        <f>'Pratt &amp; Whitney_Qtr'!AT10</f>
        <v>-0.70240893847385011</v>
      </c>
      <c r="Z10" s="200">
        <f>'Pratt &amp; Whitney_Qtr'!AY10</f>
        <v>3.3784433814306478</v>
      </c>
      <c r="AA10" s="200">
        <f>'Pratt &amp; Whitney_Qtr'!BD10</f>
        <v>0.11673154808157804</v>
      </c>
      <c r="AB10" s="200">
        <f>'Pratt &amp; Whitney_Qtr'!BI10</f>
        <v>-1.3279998492356948E-2</v>
      </c>
      <c r="AC10" s="209">
        <f>AC9/AB9-1</f>
        <v>6.3260244243489083E-2</v>
      </c>
      <c r="AD10" s="209">
        <f>AD9/AC9-1</f>
        <v>8.1802906577381318E-2</v>
      </c>
      <c r="AE10" s="209">
        <f>AE9/AD9-1</f>
        <v>-1.0211059258469213E-5</v>
      </c>
      <c r="AF10" s="209">
        <f>AF9/AE9-1</f>
        <v>-5.4497354531779507E-5</v>
      </c>
      <c r="AG10" s="314"/>
    </row>
    <row r="11" spans="1:33" hidden="1" outlineLevel="1">
      <c r="A11" s="6"/>
      <c r="B11" s="110"/>
      <c r="C11" s="110"/>
      <c r="D11" s="110"/>
      <c r="E11" s="110"/>
      <c r="F11" s="110"/>
      <c r="G11" s="109"/>
      <c r="H11" s="110"/>
      <c r="I11" s="110"/>
      <c r="J11" s="110"/>
      <c r="K11" s="110"/>
      <c r="L11" s="110"/>
      <c r="M11" s="110"/>
      <c r="N11" s="110"/>
      <c r="O11" s="110"/>
      <c r="P11" s="110"/>
      <c r="Q11" s="110"/>
      <c r="R11" s="110"/>
      <c r="S11" s="110"/>
      <c r="T11" s="110"/>
      <c r="U11" s="109"/>
      <c r="V11" s="110"/>
      <c r="W11" s="110"/>
      <c r="X11" s="110"/>
      <c r="Y11" s="110"/>
      <c r="Z11" s="110"/>
      <c r="AA11" s="110"/>
      <c r="AB11" s="110"/>
      <c r="AC11" s="110"/>
      <c r="AD11" s="110"/>
      <c r="AE11" s="110"/>
      <c r="AF11" s="110"/>
      <c r="AG11" s="314"/>
    </row>
    <row r="12" spans="1:33" s="4" customFormat="1" hidden="1" outlineLevel="1">
      <c r="A12" s="299" t="str">
        <f>'Pratt &amp; Whitney_Qtr'!A12</f>
        <v>Products</v>
      </c>
      <c r="B12" s="201"/>
      <c r="C12" s="201"/>
      <c r="D12" s="201"/>
      <c r="E12" s="201"/>
      <c r="F12" s="201"/>
      <c r="G12" s="91"/>
      <c r="H12" s="201"/>
      <c r="I12" s="201"/>
      <c r="J12" s="201"/>
      <c r="K12" s="201"/>
      <c r="L12" s="201"/>
      <c r="M12" s="201"/>
      <c r="N12" s="201"/>
      <c r="O12" s="201"/>
      <c r="P12" s="201"/>
      <c r="Q12" s="201"/>
      <c r="R12" s="201"/>
      <c r="S12" s="300"/>
      <c r="T12" s="300"/>
      <c r="U12" s="301">
        <f>'Pratt &amp; Whitney_Qtr'!Z12</f>
        <v>13305.460613116025</v>
      </c>
      <c r="V12" s="300">
        <f>'Pratt &amp; Whitney_Qtr'!AE12</f>
        <v>10186</v>
      </c>
      <c r="W12" s="300">
        <f>'Pratt &amp; Whitney_Qtr'!AJ12</f>
        <v>11226</v>
      </c>
      <c r="X12" s="300">
        <f>'Pratt &amp; Whitney_Qtr'!AO12</f>
        <v>12411</v>
      </c>
      <c r="Y12" s="300">
        <f>'Pratt &amp; Whitney_Qtr'!AT12</f>
        <v>8579</v>
      </c>
      <c r="Z12" s="300">
        <f>'Pratt &amp; Whitney_Qtr'!AY12</f>
        <v>16316</v>
      </c>
      <c r="AA12" s="300">
        <f>'Pratt &amp; Whitney_Qtr'!BD12</f>
        <v>18467</v>
      </c>
      <c r="AB12" s="300">
        <f>'Pratt &amp; Whitney_Qtr'!BI12</f>
        <v>18670.136999999999</v>
      </c>
      <c r="AC12" s="302">
        <f>AB12*(1+AC13)</f>
        <v>19603.64385</v>
      </c>
      <c r="AD12" s="302">
        <f>AC12*(1+AD13)</f>
        <v>20264.758921398945</v>
      </c>
      <c r="AE12" s="302">
        <f>AD12*(1+AE13)</f>
        <v>20354.204645224894</v>
      </c>
      <c r="AF12" s="302">
        <f>AE12*(1+AF13)</f>
        <v>20444.04516957829</v>
      </c>
    </row>
    <row r="13" spans="1:33" s="4" customFormat="1" hidden="1" outlineLevel="1">
      <c r="A13" s="11" t="str">
        <f>'Pratt &amp; Whitney_Qtr'!A13</f>
        <v>YoY</v>
      </c>
      <c r="B13" s="343"/>
      <c r="C13" s="343"/>
      <c r="D13" s="343"/>
      <c r="E13" s="343"/>
      <c r="F13" s="343"/>
      <c r="G13" s="344"/>
      <c r="H13" s="343"/>
      <c r="I13" s="343"/>
      <c r="J13" s="343"/>
      <c r="K13" s="343"/>
      <c r="L13" s="343"/>
      <c r="M13" s="343"/>
      <c r="N13" s="343"/>
      <c r="O13" s="343"/>
      <c r="P13" s="343"/>
      <c r="Q13" s="343"/>
      <c r="R13" s="343"/>
      <c r="S13" s="343"/>
      <c r="T13" s="343"/>
      <c r="U13" s="345">
        <f>'Pratt &amp; Whitney_Qtr'!Z13</f>
        <v>0</v>
      </c>
      <c r="V13" s="343">
        <f>'Pratt &amp; Whitney_Qtr'!AE13</f>
        <v>-0.23444965220076464</v>
      </c>
      <c r="W13" s="343">
        <f>'Pratt &amp; Whitney_Qtr'!AJ13</f>
        <v>0.10210092283526406</v>
      </c>
      <c r="X13" s="343">
        <f>'Pratt &amp; Whitney_Qtr'!AO13</f>
        <v>0.10555852485301975</v>
      </c>
      <c r="Y13" s="438">
        <f>'Pratt &amp; Whitney_Qtr'!AT13</f>
        <v>-0.30875835951978081</v>
      </c>
      <c r="Z13" s="438">
        <f>'Pratt &amp; Whitney_Qtr'!AY13</f>
        <v>0.90185336286280449</v>
      </c>
      <c r="AA13" s="438">
        <f>'Pratt &amp; Whitney_Qtr'!BD13</f>
        <v>0.13183378278989943</v>
      </c>
      <c r="AB13" s="438">
        <f>'Pratt &amp; Whitney_Qtr'!BI13</f>
        <v>1.0999999999999999E-2</v>
      </c>
      <c r="AC13" s="354">
        <v>0.05</v>
      </c>
      <c r="AD13" s="354">
        <v>3.372409111579254E-2</v>
      </c>
      <c r="AE13" s="354">
        <v>4.4138558061747549E-3</v>
      </c>
      <c r="AF13" s="354">
        <v>4.4138558061747549E-3</v>
      </c>
    </row>
    <row r="14" spans="1:33" s="4" customFormat="1" hidden="1" outlineLevel="1">
      <c r="A14" s="11"/>
      <c r="B14" s="343"/>
      <c r="C14" s="343"/>
      <c r="D14" s="343"/>
      <c r="E14" s="343"/>
      <c r="F14" s="343"/>
      <c r="G14" s="344"/>
      <c r="H14" s="343"/>
      <c r="I14" s="343"/>
      <c r="J14" s="343"/>
      <c r="K14" s="343"/>
      <c r="L14" s="343"/>
      <c r="M14" s="343"/>
      <c r="N14" s="343"/>
      <c r="O14" s="343"/>
      <c r="P14" s="343"/>
      <c r="Q14" s="343"/>
      <c r="R14" s="343"/>
      <c r="S14" s="343"/>
      <c r="T14" s="343"/>
      <c r="U14" s="345"/>
      <c r="V14" s="343"/>
      <c r="W14" s="343"/>
      <c r="X14" s="343"/>
      <c r="Y14" s="343"/>
      <c r="Z14" s="343"/>
      <c r="AA14" s="343"/>
      <c r="AB14" s="343"/>
      <c r="AC14" s="343"/>
      <c r="AD14" s="343"/>
      <c r="AE14" s="343"/>
      <c r="AF14" s="343"/>
    </row>
    <row r="15" spans="1:33" s="4" customFormat="1" hidden="1" outlineLevel="1">
      <c r="A15" s="187" t="str">
        <f>'Pratt &amp; Whitney_Qtr'!A15</f>
        <v>GTF (Aftermarket)</v>
      </c>
      <c r="B15" s="343"/>
      <c r="C15" s="343"/>
      <c r="D15" s="343"/>
      <c r="E15" s="343"/>
      <c r="F15" s="343"/>
      <c r="G15" s="344"/>
      <c r="H15" s="343"/>
      <c r="I15" s="343"/>
      <c r="J15" s="343"/>
      <c r="K15" s="343"/>
      <c r="L15" s="343"/>
      <c r="M15" s="343"/>
      <c r="N15" s="343"/>
      <c r="O15" s="343"/>
      <c r="P15" s="343"/>
      <c r="Q15" s="343"/>
      <c r="R15" s="343"/>
      <c r="S15" s="343"/>
      <c r="T15" s="343"/>
      <c r="U15" s="214">
        <f>'Pratt &amp; Whitney_Qtr'!Z15</f>
        <v>0</v>
      </c>
      <c r="V15" s="203">
        <f>'Pratt &amp; Whitney_Qtr'!AE15</f>
        <v>0</v>
      </c>
      <c r="W15" s="203">
        <f>'Pratt &amp; Whitney_Qtr'!AJ15</f>
        <v>0</v>
      </c>
      <c r="X15" s="203">
        <f>'Pratt &amp; Whitney_Qtr'!AO15</f>
        <v>0</v>
      </c>
      <c r="Y15" s="203">
        <f>'Pratt &amp; Whitney_Qtr'!AT15</f>
        <v>0</v>
      </c>
      <c r="Z15" s="203">
        <f>'Pratt &amp; Whitney_Qtr'!AY15</f>
        <v>258.77727772029067</v>
      </c>
      <c r="AA15" s="203">
        <f>'Pratt &amp; Whitney_Qtr'!BD15</f>
        <v>506.39478533889383</v>
      </c>
      <c r="AB15" s="203">
        <f>'Pratt &amp; Whitney_Qtr'!BI15</f>
        <v>1220.9014921364169</v>
      </c>
      <c r="AC15" s="203">
        <v>1768.7280052971648</v>
      </c>
      <c r="AD15" s="484">
        <v>1050.6910897685191</v>
      </c>
      <c r="AE15" s="484">
        <f>AD15*1.01</f>
        <v>1061.1980006662043</v>
      </c>
      <c r="AF15" s="484">
        <f>AE15*1.01</f>
        <v>1071.8099806728662</v>
      </c>
    </row>
    <row r="16" spans="1:33" s="4" customFormat="1" hidden="1" outlineLevel="1">
      <c r="A16" s="3" t="str">
        <f>'Pratt &amp; Whitney_Qtr'!A16</f>
        <v>YoY</v>
      </c>
      <c r="B16" s="343"/>
      <c r="C16" s="343"/>
      <c r="D16" s="343"/>
      <c r="E16" s="343"/>
      <c r="F16" s="343"/>
      <c r="G16" s="344"/>
      <c r="H16" s="343"/>
      <c r="I16" s="343"/>
      <c r="J16" s="343"/>
      <c r="K16" s="343"/>
      <c r="L16" s="343"/>
      <c r="M16" s="343"/>
      <c r="N16" s="343"/>
      <c r="O16" s="343"/>
      <c r="P16" s="343"/>
      <c r="Q16" s="343"/>
      <c r="R16" s="343"/>
      <c r="S16" s="343"/>
      <c r="T16" s="343"/>
      <c r="U16" s="211">
        <f>'Pratt &amp; Whitney_Qtr'!Z16</f>
        <v>0</v>
      </c>
      <c r="V16" s="200" t="str">
        <f>'Pratt &amp; Whitney_Qtr'!AE16</f>
        <v>NM</v>
      </c>
      <c r="W16" s="200" t="str">
        <f>'Pratt &amp; Whitney_Qtr'!AJ16</f>
        <v>NM</v>
      </c>
      <c r="X16" s="200" t="str">
        <f>'Pratt &amp; Whitney_Qtr'!AO16</f>
        <v>NM</v>
      </c>
      <c r="Y16" s="200" t="str">
        <f>'Pratt &amp; Whitney_Qtr'!AT16</f>
        <v>NM</v>
      </c>
      <c r="Z16" s="200" t="str">
        <f>'Pratt &amp; Whitney_Qtr'!AY16</f>
        <v>NM</v>
      </c>
      <c r="AA16" s="200">
        <f>'Pratt &amp; Whitney_Qtr'!BD16</f>
        <v>0.95687500000000014</v>
      </c>
      <c r="AB16" s="200">
        <f>'Pratt &amp; Whitney_Qtr'!BI16</f>
        <v>1.410967741935484</v>
      </c>
      <c r="AC16" s="209">
        <f>IFERROR(AC15/AB15-1,"NM")</f>
        <v>0.4487065637065637</v>
      </c>
      <c r="AD16" s="209">
        <f>IFERROR(AD15/AC15-1,"NM")</f>
        <v>-0.40596231493943469</v>
      </c>
      <c r="AE16" s="209">
        <f>IFERROR(AE15/AD15-1,"NM")</f>
        <v>1.0000000000000009E-2</v>
      </c>
      <c r="AF16" s="209">
        <f>IFERROR(AF15/AE15-1,"NM")</f>
        <v>1.0000000000000009E-2</v>
      </c>
    </row>
    <row r="17" spans="1:36" s="4" customFormat="1" hidden="1" outlineLevel="1">
      <c r="A17" s="187"/>
      <c r="B17" s="343"/>
      <c r="C17" s="343"/>
      <c r="D17" s="343"/>
      <c r="E17" s="343"/>
      <c r="F17" s="343"/>
      <c r="G17" s="344"/>
      <c r="H17" s="343"/>
      <c r="I17" s="343"/>
      <c r="J17" s="343"/>
      <c r="K17" s="343"/>
      <c r="L17" s="343"/>
      <c r="M17" s="343"/>
      <c r="N17" s="343"/>
      <c r="O17" s="343"/>
      <c r="P17" s="343"/>
      <c r="Q17" s="343"/>
      <c r="R17" s="343"/>
      <c r="S17" s="343"/>
      <c r="T17" s="343"/>
      <c r="U17" s="345"/>
      <c r="V17" s="343"/>
      <c r="W17" s="343"/>
      <c r="X17" s="343"/>
      <c r="Y17" s="343"/>
      <c r="Z17" s="343"/>
      <c r="AA17" s="343"/>
      <c r="AB17" s="343"/>
      <c r="AC17" s="343"/>
      <c r="AD17" s="343"/>
      <c r="AE17" s="343"/>
      <c r="AF17" s="343"/>
    </row>
    <row r="18" spans="1:36" s="4" customFormat="1" hidden="1" outlineLevel="1">
      <c r="A18" s="187" t="str">
        <f>'Pratt &amp; Whitney_Qtr'!A18</f>
        <v>Other (Depot and Sustainment)</v>
      </c>
      <c r="B18" s="343"/>
      <c r="C18" s="343"/>
      <c r="D18" s="343"/>
      <c r="E18" s="343"/>
      <c r="F18" s="343"/>
      <c r="G18" s="344"/>
      <c r="H18" s="343"/>
      <c r="I18" s="343"/>
      <c r="J18" s="343"/>
      <c r="K18" s="343"/>
      <c r="L18" s="343"/>
      <c r="M18" s="343"/>
      <c r="N18" s="343"/>
      <c r="O18" s="343"/>
      <c r="P18" s="343"/>
      <c r="Q18" s="343"/>
      <c r="R18" s="343"/>
      <c r="S18" s="343"/>
      <c r="T18" s="343"/>
      <c r="U18" s="214">
        <f>'Pratt &amp; Whitney_Qtr'!Z18</f>
        <v>7596.4187039192857</v>
      </c>
      <c r="V18" s="203">
        <f>'Pratt &amp; Whitney_Qtr'!AE18</f>
        <v>6604</v>
      </c>
      <c r="W18" s="203">
        <f>'Pratt &amp; Whitney_Qtr'!AJ18</f>
        <v>6915</v>
      </c>
      <c r="X18" s="203">
        <f>'Pratt &amp; Whitney_Qtr'!AO18</f>
        <v>8116</v>
      </c>
      <c r="Y18" s="199">
        <f>'Pratt &amp; Whitney_Qtr'!AT18</f>
        <v>9717</v>
      </c>
      <c r="Z18" s="199">
        <f>'Pratt &amp; Whitney_Qtr'!AY18</f>
        <v>11489.22272227971</v>
      </c>
      <c r="AA18" s="199">
        <f>'Pratt &amp; Whitney_Qtr'!BD18</f>
        <v>13942.605214661105</v>
      </c>
      <c r="AB18" s="199">
        <f>'Pratt &amp; Whitney_Qtr'!BI18</f>
        <v>15756.673507863583</v>
      </c>
      <c r="AC18" s="327">
        <f>AC21-AC15</f>
        <v>17346.538177459737</v>
      </c>
      <c r="AD18" s="327">
        <f>AD21-AD15</f>
        <v>19307.252970606274</v>
      </c>
      <c r="AE18" s="327">
        <f>AE21-AE15</f>
        <v>21211.793465805178</v>
      </c>
      <c r="AF18" s="327">
        <f>AF21-AF15</f>
        <v>23296.375106892112</v>
      </c>
    </row>
    <row r="19" spans="1:36" s="4" customFormat="1" hidden="1" outlineLevel="1">
      <c r="A19" s="3" t="str">
        <f>'Pratt &amp; Whitney_Qtr'!A19</f>
        <v>YoY</v>
      </c>
      <c r="B19" s="343"/>
      <c r="C19" s="343"/>
      <c r="D19" s="343"/>
      <c r="E19" s="343"/>
      <c r="F19" s="343"/>
      <c r="G19" s="344"/>
      <c r="H19" s="343"/>
      <c r="I19" s="343"/>
      <c r="J19" s="343"/>
      <c r="K19" s="343"/>
      <c r="L19" s="343"/>
      <c r="M19" s="343"/>
      <c r="N19" s="343"/>
      <c r="O19" s="343"/>
      <c r="P19" s="343"/>
      <c r="Q19" s="343"/>
      <c r="R19" s="343"/>
      <c r="S19" s="343"/>
      <c r="T19" s="343"/>
      <c r="U19" s="211">
        <f>'Pratt &amp; Whitney_Qtr'!Z19</f>
        <v>0</v>
      </c>
      <c r="V19" s="200">
        <f>'Pratt &amp; Whitney_Qtr'!AE19</f>
        <v>-0.1306429704048907</v>
      </c>
      <c r="W19" s="200">
        <f>'Pratt &amp; Whitney_Qtr'!AJ19</f>
        <v>4.7092671108419193E-2</v>
      </c>
      <c r="X19" s="200">
        <f>'Pratt &amp; Whitney_Qtr'!AO19</f>
        <v>0.17368040491684744</v>
      </c>
      <c r="Y19" s="200">
        <f>'Pratt &amp; Whitney_Qtr'!AT19</f>
        <v>0.19726466239526852</v>
      </c>
      <c r="Z19" s="200">
        <f>'Pratt &amp; Whitney_Qtr'!AY19</f>
        <v>0.18238373183901513</v>
      </c>
      <c r="AA19" s="200">
        <f>'Pratt &amp; Whitney_Qtr'!BD19</f>
        <v>0.2135377258919211</v>
      </c>
      <c r="AB19" s="200">
        <f>'Pratt &amp; Whitney_Qtr'!BI19</f>
        <v>0.13010970799739252</v>
      </c>
      <c r="AC19" s="209">
        <f>AC18/AB18-1</f>
        <v>0.10090103528531635</v>
      </c>
      <c r="AD19" s="209">
        <f>AD18/AC18-1</f>
        <v>0.11303205129968297</v>
      </c>
      <c r="AE19" s="209">
        <f>AE18/AD18-1</f>
        <v>9.8643784182991245E-2</v>
      </c>
      <c r="AF19" s="209">
        <f>AF18/AE18-1</f>
        <v>9.8274652939998486E-2</v>
      </c>
    </row>
    <row r="20" spans="1:36" hidden="1" outlineLevel="1">
      <c r="A20" s="6"/>
      <c r="B20" s="38"/>
      <c r="C20" s="38"/>
      <c r="D20" s="38"/>
      <c r="E20" s="38"/>
      <c r="F20" s="38"/>
      <c r="G20" s="37"/>
      <c r="H20" s="38"/>
      <c r="I20" s="38"/>
      <c r="J20" s="38"/>
      <c r="K20" s="38"/>
      <c r="L20" s="38"/>
      <c r="M20" s="38"/>
      <c r="N20" s="38"/>
      <c r="O20" s="38"/>
      <c r="P20" s="38"/>
      <c r="Q20" s="38"/>
      <c r="R20" s="38"/>
      <c r="S20" s="38"/>
      <c r="T20" s="38"/>
      <c r="U20" s="179"/>
      <c r="V20" s="38"/>
      <c r="W20" s="38"/>
      <c r="X20" s="38"/>
      <c r="Y20" s="292"/>
      <c r="Z20" s="292"/>
      <c r="AA20" s="292"/>
      <c r="AB20" s="292"/>
      <c r="AC20" s="206"/>
      <c r="AD20" s="206"/>
      <c r="AE20" s="206"/>
      <c r="AF20" s="206"/>
    </row>
    <row r="21" spans="1:36" s="4" customFormat="1" hidden="1" outlineLevel="1">
      <c r="A21" s="299" t="str">
        <f>'Pratt &amp; Whitney_Qtr'!A21</f>
        <v>Services</v>
      </c>
      <c r="B21" s="201"/>
      <c r="C21" s="201"/>
      <c r="D21" s="201"/>
      <c r="E21" s="201"/>
      <c r="F21" s="201"/>
      <c r="G21" s="91"/>
      <c r="H21" s="201"/>
      <c r="I21" s="201"/>
      <c r="J21" s="201"/>
      <c r="K21" s="201"/>
      <c r="L21" s="201"/>
      <c r="M21" s="201"/>
      <c r="N21" s="201"/>
      <c r="O21" s="201"/>
      <c r="P21" s="201"/>
      <c r="Q21" s="201"/>
      <c r="R21" s="201"/>
      <c r="S21" s="201"/>
      <c r="T21" s="201"/>
      <c r="U21" s="212">
        <f>'Pratt &amp; Whitney_Qtr'!Z21</f>
        <v>7596.4187039192857</v>
      </c>
      <c r="V21" s="201">
        <f>'Pratt &amp; Whitney_Qtr'!AE21</f>
        <v>6604</v>
      </c>
      <c r="W21" s="201">
        <f>'Pratt &amp; Whitney_Qtr'!AJ21</f>
        <v>6915</v>
      </c>
      <c r="X21" s="201">
        <f>'Pratt &amp; Whitney_Qtr'!AO21</f>
        <v>8116</v>
      </c>
      <c r="Y21" s="300">
        <f>'Pratt &amp; Whitney_Qtr'!AT21</f>
        <v>9717</v>
      </c>
      <c r="Z21" s="300">
        <f>'Pratt &amp; Whitney_Qtr'!AY21</f>
        <v>11748</v>
      </c>
      <c r="AA21" s="300">
        <f>'Pratt &amp; Whitney_Qtr'!BD21</f>
        <v>14449</v>
      </c>
      <c r="AB21" s="300">
        <f>'Pratt &amp; Whitney_Qtr'!BI21</f>
        <v>16977.575000000001</v>
      </c>
      <c r="AC21" s="302">
        <f>AB21*(1+AC22)</f>
        <v>19115.266182756903</v>
      </c>
      <c r="AD21" s="302">
        <f>AC21*(1+AD22)</f>
        <v>20357.944060374793</v>
      </c>
      <c r="AE21" s="302">
        <f>AD21*(1+AE22)</f>
        <v>22272.991466471383</v>
      </c>
      <c r="AF21" s="302">
        <f>AE21*(1+AF22)</f>
        <v>24368.18508756498</v>
      </c>
    </row>
    <row r="22" spans="1:36" s="4" customFormat="1" hidden="1" outlineLevel="1">
      <c r="A22" s="11" t="str">
        <f>'Pratt &amp; Whitney_Qtr'!A22</f>
        <v>YoY</v>
      </c>
      <c r="B22" s="343"/>
      <c r="C22" s="343"/>
      <c r="D22" s="343"/>
      <c r="E22" s="343"/>
      <c r="F22" s="343"/>
      <c r="G22" s="344"/>
      <c r="H22" s="343"/>
      <c r="I22" s="343"/>
      <c r="J22" s="343"/>
      <c r="K22" s="343"/>
      <c r="L22" s="343"/>
      <c r="M22" s="343"/>
      <c r="N22" s="343"/>
      <c r="O22" s="343"/>
      <c r="P22" s="343"/>
      <c r="Q22" s="343"/>
      <c r="R22" s="343"/>
      <c r="S22" s="343"/>
      <c r="T22" s="343"/>
      <c r="U22" s="345">
        <f>'Pratt &amp; Whitney_Qtr'!Z22</f>
        <v>0</v>
      </c>
      <c r="V22" s="343">
        <f>'Pratt &amp; Whitney_Qtr'!AE22</f>
        <v>-0.1306429704048907</v>
      </c>
      <c r="W22" s="343">
        <f>'Pratt &amp; Whitney_Qtr'!AJ22</f>
        <v>4.7092671108419193E-2</v>
      </c>
      <c r="X22" s="343">
        <f>'Pratt &amp; Whitney_Qtr'!AO22</f>
        <v>0.17368040491684744</v>
      </c>
      <c r="Y22" s="438">
        <f>'Pratt &amp; Whitney_Qtr'!AT22</f>
        <v>0.19726466239526852</v>
      </c>
      <c r="Z22" s="438">
        <f>'Pratt &amp; Whitney_Qtr'!AY22</f>
        <v>0.2090151281259649</v>
      </c>
      <c r="AA22" s="438">
        <f>'Pratt &amp; Whitney_Qtr'!BD22</f>
        <v>0.22991147429349668</v>
      </c>
      <c r="AB22" s="438">
        <f>'Pratt &amp; Whitney_Qtr'!BI22</f>
        <v>0.17499999999999999</v>
      </c>
      <c r="AC22" s="354">
        <v>0.1259126337393239</v>
      </c>
      <c r="AD22" s="354">
        <v>6.500970824768644E-2</v>
      </c>
      <c r="AE22" s="354">
        <v>9.4068801860207801E-2</v>
      </c>
      <c r="AF22" s="354">
        <v>9.4068801860207801E-2</v>
      </c>
    </row>
    <row r="23" spans="1:36" hidden="1" outlineLevel="1">
      <c r="A23" s="1"/>
      <c r="B23" s="38"/>
      <c r="C23" s="38"/>
      <c r="D23" s="38"/>
      <c r="E23" s="38"/>
      <c r="F23" s="38"/>
      <c r="G23" s="37"/>
      <c r="H23" s="38"/>
      <c r="I23" s="38"/>
      <c r="J23" s="38"/>
      <c r="K23" s="38"/>
      <c r="L23" s="38"/>
      <c r="M23" s="38"/>
      <c r="N23" s="38"/>
      <c r="O23" s="38"/>
      <c r="P23" s="38"/>
      <c r="Q23" s="38"/>
      <c r="R23" s="38"/>
      <c r="S23" s="38"/>
      <c r="T23" s="38"/>
      <c r="U23" s="179"/>
      <c r="V23" s="38"/>
      <c r="W23" s="38"/>
      <c r="X23" s="38"/>
      <c r="Y23" s="226"/>
      <c r="Z23" s="226"/>
      <c r="AA23" s="226"/>
      <c r="AB23" s="226"/>
      <c r="AC23" s="218"/>
      <c r="AD23" s="218"/>
      <c r="AE23" s="218"/>
      <c r="AF23" s="218"/>
    </row>
    <row r="24" spans="1:36" hidden="1" outlineLevel="1">
      <c r="A24" s="121" t="str">
        <f>'Pratt &amp; Whitney_Qtr'!A24</f>
        <v>Intersegment Sales</v>
      </c>
      <c r="B24" s="38"/>
      <c r="C24" s="38"/>
      <c r="D24" s="38"/>
      <c r="E24" s="38"/>
      <c r="F24" s="38"/>
      <c r="G24" s="37"/>
      <c r="H24" s="38"/>
      <c r="I24" s="38"/>
      <c r="J24" s="38"/>
      <c r="K24" s="38"/>
      <c r="L24" s="38"/>
      <c r="M24" s="38"/>
      <c r="N24" s="38"/>
      <c r="O24" s="38"/>
      <c r="P24" s="38"/>
      <c r="Q24" s="199"/>
      <c r="R24" s="199"/>
      <c r="S24" s="199"/>
      <c r="T24" s="199"/>
      <c r="U24" s="210">
        <f>'Pratt &amp; Whitney_Qtr'!Z24</f>
        <v>0.12068296468783046</v>
      </c>
      <c r="V24" s="199">
        <f>'Pratt &amp; Whitney_Qtr'!AE24</f>
        <v>9</v>
      </c>
      <c r="W24" s="199">
        <f>'Pratt &amp; Whitney_Qtr'!AJ24</f>
        <v>9</v>
      </c>
      <c r="X24" s="199">
        <f>'Pratt &amp; Whitney_Qtr'!AO24</f>
        <v>3</v>
      </c>
      <c r="Y24" s="484">
        <f>'Pratt &amp; Whitney_Qtr'!AT24</f>
        <v>0</v>
      </c>
      <c r="Z24" s="484">
        <f>'Pratt &amp; Whitney_Qtr'!AY24</f>
        <v>2</v>
      </c>
      <c r="AA24" s="484">
        <f>'Pratt &amp; Whitney_Qtr'!BD24</f>
        <v>0</v>
      </c>
      <c r="AB24" s="484">
        <f>'Pratt &amp; Whitney_Qtr'!BI24</f>
        <v>0</v>
      </c>
      <c r="AC24" s="352">
        <v>0</v>
      </c>
      <c r="AD24" s="352">
        <v>0</v>
      </c>
      <c r="AE24" s="352">
        <v>0</v>
      </c>
      <c r="AF24" s="352">
        <v>0</v>
      </c>
    </row>
    <row r="25" spans="1:36" hidden="1" outlineLevel="1">
      <c r="A25" s="1"/>
      <c r="B25" s="38"/>
      <c r="C25" s="38"/>
      <c r="D25" s="38"/>
      <c r="E25" s="38"/>
      <c r="F25" s="38"/>
      <c r="G25" s="37"/>
      <c r="H25" s="38"/>
      <c r="I25" s="38"/>
      <c r="J25" s="38"/>
      <c r="K25" s="38"/>
      <c r="L25" s="38"/>
      <c r="M25" s="38"/>
      <c r="N25" s="38"/>
      <c r="O25" s="38"/>
      <c r="P25" s="38"/>
      <c r="Q25" s="38"/>
      <c r="R25" s="38"/>
      <c r="S25" s="38"/>
      <c r="T25" s="38"/>
      <c r="U25" s="179"/>
      <c r="V25" s="38"/>
      <c r="W25" s="38"/>
      <c r="X25" s="38"/>
      <c r="Y25" s="292"/>
      <c r="Z25" s="292"/>
      <c r="AA25" s="292"/>
      <c r="AB25" s="292"/>
      <c r="AC25" s="206"/>
      <c r="AD25" s="206"/>
      <c r="AE25" s="206"/>
      <c r="AF25" s="206"/>
    </row>
    <row r="26" spans="1:36" collapsed="1">
      <c r="A26" s="8" t="str">
        <f>'Pratt &amp; Whitney_Qtr'!A26</f>
        <v>Net Sales</v>
      </c>
      <c r="B26" s="30"/>
      <c r="C26" s="30"/>
      <c r="D26" s="30"/>
      <c r="E26" s="30"/>
      <c r="F26" s="30"/>
      <c r="G26" s="29"/>
      <c r="H26" s="30"/>
      <c r="I26" s="30"/>
      <c r="J26" s="30"/>
      <c r="K26" s="30"/>
      <c r="L26" s="30">
        <v>12935</v>
      </c>
      <c r="M26" s="30">
        <v>12711</v>
      </c>
      <c r="N26" s="30">
        <v>13964</v>
      </c>
      <c r="O26" s="30">
        <v>14501</v>
      </c>
      <c r="P26" s="30">
        <v>14508</v>
      </c>
      <c r="Q26" s="182">
        <f>'Pratt &amp; Whitney_Qtr'!F26</f>
        <v>14082</v>
      </c>
      <c r="R26" s="182">
        <f>'Pratt &amp; Whitney_Qtr'!K26</f>
        <v>14894</v>
      </c>
      <c r="S26" s="182">
        <f>'Pratt &amp; Whitney_Qtr'!P26</f>
        <v>16160</v>
      </c>
      <c r="T26" s="182">
        <f>'Pratt &amp; Whitney_Qtr'!U26</f>
        <v>19397</v>
      </c>
      <c r="U26" s="293">
        <f>'Pratt &amp; Whitney_Qtr'!Z26</f>
        <v>20902</v>
      </c>
      <c r="V26" s="182">
        <f>'Pratt &amp; Whitney_Qtr'!AE26</f>
        <v>16799</v>
      </c>
      <c r="W26" s="182">
        <f>'Pratt &amp; Whitney_Qtr'!AJ26</f>
        <v>18150</v>
      </c>
      <c r="X26" s="182">
        <f>'Pratt &amp; Whitney_Qtr'!AO26</f>
        <v>20530</v>
      </c>
      <c r="Y26" s="182">
        <f>'Pratt &amp; Whitney_Qtr'!AT26</f>
        <v>18296</v>
      </c>
      <c r="Z26" s="182">
        <f>'Pratt &amp; Whitney_Qtr'!AY26</f>
        <v>28066</v>
      </c>
      <c r="AA26" s="182">
        <f>'Pratt &amp; Whitney_Qtr'!BD26</f>
        <v>32916</v>
      </c>
      <c r="AB26" s="182">
        <f>'Pratt &amp; Whitney_Qtr'!BI26</f>
        <v>35647.712</v>
      </c>
      <c r="AC26" s="24">
        <f>AC12+AC21+AC24</f>
        <v>38718.910032756903</v>
      </c>
      <c r="AD26" s="24">
        <f>AD12+AD21+AD24</f>
        <v>40622.702981773735</v>
      </c>
      <c r="AE26" s="24">
        <f>AE12+AE21+AE24</f>
        <v>42627.196111696278</v>
      </c>
      <c r="AF26" s="24">
        <f>AF12+AF21+AF24</f>
        <v>44812.230257143266</v>
      </c>
    </row>
    <row r="27" spans="1:36">
      <c r="A27" s="1" t="str">
        <f>'Pratt &amp; Whitney_Qtr'!A27</f>
        <v>YoY</v>
      </c>
      <c r="B27" s="200"/>
      <c r="C27" s="200"/>
      <c r="D27" s="200"/>
      <c r="E27" s="200"/>
      <c r="F27" s="200"/>
      <c r="G27" s="89"/>
      <c r="H27" s="200"/>
      <c r="I27" s="200"/>
      <c r="J27" s="200"/>
      <c r="K27" s="200"/>
      <c r="L27" s="209" t="str">
        <f>IFERROR(L26/K26-1,"NM")</f>
        <v>NM</v>
      </c>
      <c r="M27" s="209">
        <f>M26/L26-1</f>
        <v>-1.7317356010823293E-2</v>
      </c>
      <c r="N27" s="209">
        <f>N26/M26-1</f>
        <v>9.8576036503815523E-2</v>
      </c>
      <c r="O27" s="209">
        <f>O26/N26-1</f>
        <v>3.8456029790890911E-2</v>
      </c>
      <c r="P27" s="209">
        <f>P26/O26-1</f>
        <v>4.8272532928761436E-4</v>
      </c>
      <c r="Q27" s="200">
        <f>'Pratt &amp; Whitney_Qtr'!F27</f>
        <v>-2.9363110008271298E-2</v>
      </c>
      <c r="R27" s="200">
        <f>'Pratt &amp; Whitney_Qtr'!K27</f>
        <v>5.7662263882971132E-2</v>
      </c>
      <c r="S27" s="200">
        <f>'Pratt &amp; Whitney_Qtr'!P27</f>
        <v>8.5000671411306516E-2</v>
      </c>
      <c r="T27" s="200">
        <f>'Pratt &amp; Whitney_Qtr'!U27</f>
        <v>0.2003094059405941</v>
      </c>
      <c r="U27" s="211">
        <f>'Pratt &amp; Whitney_Qtr'!Z27</f>
        <v>7.758931793576318E-2</v>
      </c>
      <c r="V27" s="200">
        <f>'Pratt &amp; Whitney_Qtr'!AE27</f>
        <v>-0.196297005071285</v>
      </c>
      <c r="W27" s="200">
        <f>'Pratt &amp; Whitney_Qtr'!AJ27</f>
        <v>8.0421453657955722E-2</v>
      </c>
      <c r="X27" s="200">
        <f>'Pratt &amp; Whitney_Qtr'!AO27</f>
        <v>0.13112947658402208</v>
      </c>
      <c r="Y27" s="485">
        <f>'Pratt &amp; Whitney_Qtr'!AT27</f>
        <v>-0.10881636629322944</v>
      </c>
      <c r="Z27" s="485">
        <f>'Pratt &amp; Whitney_Qtr'!AY27</f>
        <v>0.53399650196764314</v>
      </c>
      <c r="AA27" s="485">
        <f>'Pratt &amp; Whitney_Qtr'!BD27</f>
        <v>0.17280695503456145</v>
      </c>
      <c r="AB27" s="485">
        <f>'Pratt &amp; Whitney_Qtr'!BI27</f>
        <v>8.2990399805565662E-2</v>
      </c>
      <c r="AC27" s="207">
        <f>AC26/AB26-1</f>
        <v>8.6154141751282776E-2</v>
      </c>
      <c r="AD27" s="207">
        <f>AD26/AC26-1</f>
        <v>4.9169590450924172E-2</v>
      </c>
      <c r="AE27" s="207">
        <f>AE26/AD26-1</f>
        <v>4.9344159368762464E-2</v>
      </c>
      <c r="AF27" s="207">
        <f>AF26/AE26-1</f>
        <v>5.1259157175656878E-2</v>
      </c>
      <c r="AH27" s="380"/>
    </row>
    <row r="28" spans="1:36">
      <c r="A28" s="1"/>
      <c r="B28" s="200"/>
      <c r="C28" s="200"/>
      <c r="D28" s="200"/>
      <c r="E28" s="200"/>
      <c r="F28" s="200"/>
      <c r="G28" s="89"/>
      <c r="H28" s="200"/>
      <c r="I28" s="200"/>
      <c r="J28" s="200"/>
      <c r="K28" s="200"/>
      <c r="L28" s="200"/>
      <c r="M28" s="200"/>
      <c r="N28" s="209"/>
      <c r="O28" s="209"/>
      <c r="P28" s="209"/>
      <c r="Q28" s="200"/>
      <c r="R28" s="200"/>
      <c r="S28" s="200"/>
      <c r="T28" s="200"/>
      <c r="U28" s="211"/>
      <c r="V28" s="200"/>
      <c r="W28" s="200"/>
      <c r="X28" s="200"/>
      <c r="Y28" s="485"/>
      <c r="Z28" s="485"/>
      <c r="AA28" s="485"/>
      <c r="AB28" s="485"/>
      <c r="AC28" s="207"/>
      <c r="AD28" s="207"/>
      <c r="AE28" s="207"/>
      <c r="AF28" s="207"/>
    </row>
    <row r="29" spans="1:36">
      <c r="A29" s="121" t="str">
        <f>'Pratt &amp; Whitney_Qtr'!A29</f>
        <v>Non-Recurring and Unusual Charges</v>
      </c>
      <c r="B29" s="38"/>
      <c r="C29" s="38"/>
      <c r="D29" s="38"/>
      <c r="E29" s="38"/>
      <c r="F29" s="38"/>
      <c r="G29" s="37"/>
      <c r="H29" s="38"/>
      <c r="I29" s="38"/>
      <c r="J29" s="38"/>
      <c r="K29" s="38"/>
      <c r="L29" s="43">
        <v>0</v>
      </c>
      <c r="M29" s="43">
        <v>0</v>
      </c>
      <c r="N29" s="43">
        <v>0</v>
      </c>
      <c r="O29" s="43">
        <v>0</v>
      </c>
      <c r="P29" s="43">
        <v>0</v>
      </c>
      <c r="Q29" s="199">
        <f>'Pratt &amp; Whitney_Qtr'!F29</f>
        <v>142</v>
      </c>
      <c r="R29" s="199">
        <f>'Pratt &amp; Whitney_Qtr'!K29</f>
        <v>184</v>
      </c>
      <c r="S29" s="199">
        <f>'Pratt &amp; Whitney_Qtr'!P29</f>
        <v>385</v>
      </c>
      <c r="T29" s="199">
        <f>'Pratt &amp; Whitney_Qtr'!U29</f>
        <v>0</v>
      </c>
      <c r="U29" s="210">
        <f>'Pratt &amp; Whitney_Qtr'!Z29</f>
        <v>0</v>
      </c>
      <c r="V29" s="199">
        <f>'Pratt &amp; Whitney_Qtr'!AE29</f>
        <v>425</v>
      </c>
      <c r="W29" s="199">
        <f>'Pratt &amp; Whitney_Qtr'!AJ29</f>
        <v>0</v>
      </c>
      <c r="X29" s="199">
        <f>'Pratt &amp; Whitney_Qtr'!AO29</f>
        <v>0</v>
      </c>
      <c r="Y29" s="484">
        <f>'Pratt &amp; Whitney_Qtr'!AT29</f>
        <v>5401</v>
      </c>
      <c r="Z29" s="484">
        <f>'Pratt &amp; Whitney_Qtr'!AY29</f>
        <v>0</v>
      </c>
      <c r="AA29" s="484">
        <f>'Pratt &amp; Whitney_Qtr'!BD29</f>
        <v>0</v>
      </c>
      <c r="AB29" s="484">
        <f>'Pratt &amp; Whitney_Qtr'!BI29</f>
        <v>0</v>
      </c>
      <c r="AC29" s="352">
        <v>0</v>
      </c>
      <c r="AD29" s="352">
        <v>0</v>
      </c>
      <c r="AE29" s="352">
        <v>0</v>
      </c>
      <c r="AF29" s="352">
        <v>0</v>
      </c>
    </row>
    <row r="30" spans="1:36">
      <c r="A30" s="8" t="str">
        <f>'Pratt &amp; Whitney_Qtr'!A30</f>
        <v>Adjusted Sales</v>
      </c>
      <c r="B30" s="30"/>
      <c r="C30" s="30"/>
      <c r="D30" s="30"/>
      <c r="E30" s="30"/>
      <c r="F30" s="30"/>
      <c r="G30" s="29"/>
      <c r="H30" s="30"/>
      <c r="I30" s="30"/>
      <c r="J30" s="30"/>
      <c r="K30" s="30"/>
      <c r="L30" s="24">
        <f>L26+L29</f>
        <v>12935</v>
      </c>
      <c r="M30" s="24">
        <f>M26+M29</f>
        <v>12711</v>
      </c>
      <c r="N30" s="24">
        <f>N26+N29</f>
        <v>13964</v>
      </c>
      <c r="O30" s="24">
        <f>O26+O29</f>
        <v>14501</v>
      </c>
      <c r="P30" s="24">
        <f>P26+P29</f>
        <v>14508</v>
      </c>
      <c r="Q30" s="182">
        <f>'Pratt &amp; Whitney_Qtr'!F30</f>
        <v>14224</v>
      </c>
      <c r="R30" s="182">
        <f>'Pratt &amp; Whitney_Qtr'!K30</f>
        <v>15078</v>
      </c>
      <c r="S30" s="182">
        <f>'Pratt &amp; Whitney_Qtr'!P30</f>
        <v>16545</v>
      </c>
      <c r="T30" s="182">
        <f>'Pratt &amp; Whitney_Qtr'!U30</f>
        <v>19397</v>
      </c>
      <c r="U30" s="293">
        <f>'Pratt &amp; Whitney_Qtr'!Z30</f>
        <v>20902</v>
      </c>
      <c r="V30" s="182">
        <f>'Pratt &amp; Whitney_Qtr'!AE30</f>
        <v>17224</v>
      </c>
      <c r="W30" s="182">
        <f>'Pratt &amp; Whitney_Qtr'!AJ30</f>
        <v>18150</v>
      </c>
      <c r="X30" s="182">
        <f>'Pratt &amp; Whitney_Qtr'!AO30</f>
        <v>20530</v>
      </c>
      <c r="Y30" s="182">
        <f>'Pratt &amp; Whitney_Qtr'!AT30</f>
        <v>23697</v>
      </c>
      <c r="Z30" s="182">
        <f>'Pratt &amp; Whitney_Qtr'!AY30</f>
        <v>28066</v>
      </c>
      <c r="AA30" s="182">
        <f>'Pratt &amp; Whitney_Qtr'!BD30</f>
        <v>32916</v>
      </c>
      <c r="AB30" s="182">
        <f>'Pratt &amp; Whitney_Qtr'!BI30</f>
        <v>35647.712</v>
      </c>
      <c r="AC30" s="24">
        <f>AC26+AC29</f>
        <v>38718.910032756903</v>
      </c>
      <c r="AD30" s="24">
        <f>AD26+AD29</f>
        <v>40622.702981773735</v>
      </c>
      <c r="AE30" s="24">
        <f>AE26+AE29</f>
        <v>42627.196111696278</v>
      </c>
      <c r="AF30" s="24">
        <f>AF26+AF29</f>
        <v>44812.230257143266</v>
      </c>
      <c r="AH30" s="493"/>
      <c r="AJ30" s="348"/>
    </row>
    <row r="31" spans="1:36">
      <c r="A31" s="1" t="str">
        <f>'Pratt &amp; Whitney_Qtr'!A31</f>
        <v>YoY</v>
      </c>
      <c r="B31" s="200"/>
      <c r="C31" s="200"/>
      <c r="D31" s="200"/>
      <c r="E31" s="200"/>
      <c r="F31" s="200"/>
      <c r="G31" s="89"/>
      <c r="H31" s="200"/>
      <c r="I31" s="200"/>
      <c r="J31" s="200"/>
      <c r="K31" s="200"/>
      <c r="L31" s="209" t="str">
        <f>IFERROR(L30/K30-1,"NM")</f>
        <v>NM</v>
      </c>
      <c r="M31" s="209">
        <f>M30/L30-1</f>
        <v>-1.7317356010823293E-2</v>
      </c>
      <c r="N31" s="209">
        <f>N30/M30-1</f>
        <v>9.8576036503815523E-2</v>
      </c>
      <c r="O31" s="209">
        <f>O30/N30-1</f>
        <v>3.8456029790890911E-2</v>
      </c>
      <c r="P31" s="209">
        <f>P30/O30-1</f>
        <v>4.8272532928761436E-4</v>
      </c>
      <c r="Q31" s="200">
        <f>'Pratt &amp; Whitney_Qtr'!F31</f>
        <v>-1.9575406672180828E-2</v>
      </c>
      <c r="R31" s="200">
        <f>'Pratt &amp; Whitney_Qtr'!K31</f>
        <v>6.0039370078740051E-2</v>
      </c>
      <c r="S31" s="200">
        <f>'Pratt &amp; Whitney_Qtr'!P31</f>
        <v>9.7294070831675183E-2</v>
      </c>
      <c r="T31" s="200">
        <f>'Pratt &amp; Whitney_Qtr'!U31</f>
        <v>0.17237836204291335</v>
      </c>
      <c r="U31" s="211">
        <f>'Pratt &amp; Whitney_Qtr'!Z31</f>
        <v>7.758931793576318E-2</v>
      </c>
      <c r="V31" s="200">
        <f>'Pratt &amp; Whitney_Qtr'!AE31</f>
        <v>-0.17596402258157118</v>
      </c>
      <c r="W31" s="200">
        <f>'Pratt &amp; Whitney_Qtr'!AJ31</f>
        <v>5.3762192289828148E-2</v>
      </c>
      <c r="X31" s="200">
        <f>'Pratt &amp; Whitney_Qtr'!AO31</f>
        <v>0.13112947658402208</v>
      </c>
      <c r="Y31" s="485">
        <f>'Pratt &amp; Whitney_Qtr'!AT31</f>
        <v>0.15426205552849481</v>
      </c>
      <c r="Z31" s="485">
        <f>'Pratt &amp; Whitney_Qtr'!AY31</f>
        <v>0.18436932945098539</v>
      </c>
      <c r="AA31" s="485">
        <f>'Pratt &amp; Whitney_Qtr'!BD31</f>
        <v>0.17280695503456145</v>
      </c>
      <c r="AB31" s="485">
        <f>'Pratt &amp; Whitney_Qtr'!BI31</f>
        <v>8.2990399805565662E-2</v>
      </c>
      <c r="AC31" s="207">
        <f>AC30/AB30-1</f>
        <v>8.6154141751282776E-2</v>
      </c>
      <c r="AD31" s="207">
        <f>AD30/AC30-1</f>
        <v>4.9169590450924172E-2</v>
      </c>
      <c r="AE31" s="207">
        <f>AE30/AD30-1</f>
        <v>4.9344159368762464E-2</v>
      </c>
      <c r="AF31" s="207">
        <f>AF30/AE30-1</f>
        <v>5.1259157175656878E-2</v>
      </c>
      <c r="AH31" s="340" t="s">
        <v>469</v>
      </c>
      <c r="AI31" s="425">
        <f>(AA30/V30)^(0.2)-1</f>
        <v>0.13829442119085411</v>
      </c>
      <c r="AJ31" s="348"/>
    </row>
    <row r="32" spans="1:36">
      <c r="B32" s="104"/>
      <c r="C32" s="104"/>
      <c r="D32" s="104"/>
      <c r="E32" s="104"/>
      <c r="F32" s="104"/>
      <c r="G32" s="90"/>
      <c r="H32" s="104"/>
      <c r="I32" s="104"/>
      <c r="J32" s="104"/>
      <c r="K32" s="104"/>
      <c r="L32" s="104"/>
      <c r="M32" s="104"/>
      <c r="N32" s="104"/>
      <c r="O32" s="104"/>
      <c r="P32" s="104"/>
      <c r="Q32" s="38"/>
      <c r="R32" s="38"/>
      <c r="S32" s="38"/>
      <c r="T32" s="38"/>
      <c r="U32" s="179"/>
      <c r="V32" s="38"/>
      <c r="W32" s="38"/>
      <c r="X32" s="38"/>
      <c r="Y32" s="292"/>
      <c r="Z32" s="292"/>
      <c r="AA32" s="292"/>
      <c r="AB32" s="292"/>
      <c r="AC32" s="206"/>
      <c r="AD32" s="206"/>
      <c r="AE32" s="206"/>
      <c r="AF32" s="206"/>
      <c r="AH32" s="340"/>
      <c r="AJ32" s="348"/>
    </row>
    <row r="33" spans="1:38">
      <c r="A33" s="9" t="str">
        <f>'Pratt &amp; Whitney_Qtr'!A33</f>
        <v>Operating Expenses</v>
      </c>
      <c r="B33" s="201"/>
      <c r="C33" s="201"/>
      <c r="D33" s="201"/>
      <c r="E33" s="201"/>
      <c r="F33" s="201"/>
      <c r="G33" s="91"/>
      <c r="H33" s="201"/>
      <c r="I33" s="201"/>
      <c r="J33" s="201"/>
      <c r="K33" s="201"/>
      <c r="L33" s="28">
        <f>+-L26+L36</f>
        <v>-10948</v>
      </c>
      <c r="M33" s="28">
        <f>+-M26+M36</f>
        <v>-10844</v>
      </c>
      <c r="N33" s="28">
        <f>+-N26+N36</f>
        <v>-12375</v>
      </c>
      <c r="O33" s="28">
        <f>+-O26+O36</f>
        <v>-12625</v>
      </c>
      <c r="P33" s="28">
        <f>+-P26+P36</f>
        <v>-12508</v>
      </c>
      <c r="Q33" s="201">
        <f>'Pratt &amp; Whitney_Qtr'!F33</f>
        <v>-13221</v>
      </c>
      <c r="R33" s="201">
        <f>'Pratt &amp; Whitney_Qtr'!K33</f>
        <v>-13349</v>
      </c>
      <c r="S33" s="201">
        <f>'Pratt &amp; Whitney_Qtr'!P33</f>
        <v>-14860</v>
      </c>
      <c r="T33" s="201">
        <f>'Pratt &amp; Whitney_Qtr'!U33</f>
        <v>-18128</v>
      </c>
      <c r="U33" s="212">
        <f>'Pratt &amp; Whitney_Qtr'!Z33</f>
        <v>-19101</v>
      </c>
      <c r="V33" s="201">
        <f>'Pratt &amp; Whitney_Qtr'!AE33</f>
        <v>-17363</v>
      </c>
      <c r="W33" s="201">
        <f>'Pratt &amp; Whitney_Qtr'!AJ33</f>
        <v>-17696</v>
      </c>
      <c r="X33" s="201">
        <f>'Pratt &amp; Whitney_Qtr'!AO33</f>
        <v>-19455</v>
      </c>
      <c r="Y33" s="201">
        <f>'Pratt &amp; Whitney_Qtr'!AT33</f>
        <v>-19751</v>
      </c>
      <c r="Z33" s="201">
        <f>'Pratt &amp; Whitney_Qtr'!AY33</f>
        <v>-26051</v>
      </c>
      <c r="AA33" s="201">
        <f>'Pratt &amp; Whitney_Qtr'!BD33</f>
        <v>-30320</v>
      </c>
      <c r="AB33" s="201">
        <f>'Pratt &amp; Whitney_Qtr'!BI33</f>
        <v>-32585.008768</v>
      </c>
      <c r="AC33" s="28">
        <f>+-AC26+AC36</f>
        <v>-35156.770309743268</v>
      </c>
      <c r="AD33" s="28">
        <f>+-AD26+AD36</f>
        <v>-36763.546198505232</v>
      </c>
      <c r="AE33" s="28">
        <f>+-AE26+AE36</f>
        <v>-38364.476500526653</v>
      </c>
      <c r="AF33" s="28">
        <f>+-AF26+AF36</f>
        <v>-40331.007231428943</v>
      </c>
      <c r="AH33" s="340"/>
    </row>
    <row r="34" spans="1:38">
      <c r="A34" s="1" t="str">
        <f>'Pratt &amp; Whitney_Qtr'!A34</f>
        <v>YoY</v>
      </c>
      <c r="B34" s="200"/>
      <c r="C34" s="200"/>
      <c r="D34" s="200"/>
      <c r="E34" s="200"/>
      <c r="F34" s="200"/>
      <c r="G34" s="89"/>
      <c r="H34" s="200"/>
      <c r="I34" s="200"/>
      <c r="J34" s="200"/>
      <c r="K34" s="200"/>
      <c r="L34" s="209" t="str">
        <f>IFERROR(L33/K33-1,"NM")</f>
        <v>NM</v>
      </c>
      <c r="M34" s="209">
        <f>M33/L33-1</f>
        <v>-9.4994519546949263E-3</v>
      </c>
      <c r="N34" s="209">
        <f>N33/M33-1</f>
        <v>0.14118406492069346</v>
      </c>
      <c r="O34" s="209">
        <f>O33/N33-1</f>
        <v>2.020202020202011E-2</v>
      </c>
      <c r="P34" s="209">
        <f>P33/O33-1</f>
        <v>-9.2673267326732756E-3</v>
      </c>
      <c r="Q34" s="200">
        <f>'Pratt &amp; Whitney_Qtr'!F34</f>
        <v>5.7003517748640764E-2</v>
      </c>
      <c r="R34" s="200">
        <f>'Pratt &amp; Whitney_Qtr'!K34</f>
        <v>9.6815672036911771E-3</v>
      </c>
      <c r="S34" s="200">
        <f>'Pratt &amp; Whitney_Qtr'!P34</f>
        <v>0.11319199940070424</v>
      </c>
      <c r="T34" s="200">
        <f>'Pratt &amp; Whitney_Qtr'!U34</f>
        <v>0.21991924629878867</v>
      </c>
      <c r="U34" s="211">
        <f>'Pratt &amp; Whitney_Qtr'!Z34</f>
        <v>5.3673874669020405E-2</v>
      </c>
      <c r="V34" s="200">
        <f>'Pratt &amp; Whitney_Qtr'!AE34</f>
        <v>-9.0990000523532788E-2</v>
      </c>
      <c r="W34" s="200">
        <f>'Pratt &amp; Whitney_Qtr'!AJ34</f>
        <v>1.9178713355986865E-2</v>
      </c>
      <c r="X34" s="200">
        <f>'Pratt &amp; Whitney_Qtr'!AO34</f>
        <v>9.9400994575045143E-2</v>
      </c>
      <c r="Y34" s="485">
        <f>'Pratt &amp; Whitney_Qtr'!AT34</f>
        <v>1.52145977897713E-2</v>
      </c>
      <c r="Z34" s="485">
        <f>'Pratt &amp; Whitney_Qtr'!AY34</f>
        <v>0.31897119133208451</v>
      </c>
      <c r="AA34" s="485">
        <f>'Pratt &amp; Whitney_Qtr'!BD34</f>
        <v>0.16387086868066492</v>
      </c>
      <c r="AB34" s="485">
        <f>'Pratt &amp; Whitney_Qtr'!BI34</f>
        <v>7.4703455408970942E-2</v>
      </c>
      <c r="AC34" s="207">
        <f>AC33/AB33-1</f>
        <v>7.8924684662624811E-2</v>
      </c>
      <c r="AD34" s="207">
        <f>AD33/AC33-1</f>
        <v>4.5703171099213957E-2</v>
      </c>
      <c r="AE34" s="207">
        <f>AE33/AD33-1</f>
        <v>4.3546677825288649E-2</v>
      </c>
      <c r="AF34" s="207">
        <f>AF33/AE33-1</f>
        <v>5.1259157175656878E-2</v>
      </c>
      <c r="AH34" s="340"/>
    </row>
    <row r="35" spans="1:38">
      <c r="B35" s="104"/>
      <c r="C35" s="104"/>
      <c r="D35" s="104"/>
      <c r="E35" s="104"/>
      <c r="F35" s="104"/>
      <c r="G35" s="90"/>
      <c r="H35" s="104"/>
      <c r="I35" s="104"/>
      <c r="J35" s="104"/>
      <c r="K35" s="104"/>
      <c r="L35" s="104"/>
      <c r="M35" s="104"/>
      <c r="N35" s="104"/>
      <c r="O35" s="104"/>
      <c r="P35" s="104"/>
      <c r="Q35" s="38"/>
      <c r="R35" s="38"/>
      <c r="S35" s="38"/>
      <c r="T35" s="38"/>
      <c r="U35" s="179"/>
      <c r="V35" s="38"/>
      <c r="W35" s="38"/>
      <c r="X35" s="38"/>
      <c r="Y35" s="207"/>
      <c r="Z35" s="207"/>
      <c r="AA35" s="207"/>
      <c r="AB35" s="207"/>
      <c r="AC35" s="207"/>
      <c r="AD35" s="207"/>
      <c r="AE35" s="207"/>
      <c r="AF35" s="207"/>
      <c r="AH35" s="340"/>
    </row>
    <row r="36" spans="1:38">
      <c r="A36" s="8" t="str">
        <f>'Pratt &amp; Whitney_Qtr'!A36</f>
        <v>Operating Profit</v>
      </c>
      <c r="B36" s="30"/>
      <c r="C36" s="30"/>
      <c r="D36" s="30"/>
      <c r="E36" s="30"/>
      <c r="F36" s="30"/>
      <c r="G36" s="30"/>
      <c r="H36" s="30"/>
      <c r="I36" s="30"/>
      <c r="J36" s="30"/>
      <c r="K36" s="30"/>
      <c r="L36" s="30">
        <v>1987</v>
      </c>
      <c r="M36" s="30">
        <v>1867</v>
      </c>
      <c r="N36" s="30">
        <v>1589</v>
      </c>
      <c r="O36" s="30">
        <v>1876</v>
      </c>
      <c r="P36" s="30">
        <v>2000</v>
      </c>
      <c r="Q36" s="24">
        <f t="shared" ref="Q36:W36" si="0">Q26+Q33</f>
        <v>861</v>
      </c>
      <c r="R36" s="24">
        <f t="shared" si="0"/>
        <v>1545</v>
      </c>
      <c r="S36" s="24">
        <f t="shared" si="0"/>
        <v>1300</v>
      </c>
      <c r="T36" s="24">
        <f t="shared" si="0"/>
        <v>1269</v>
      </c>
      <c r="U36" s="24">
        <f t="shared" si="0"/>
        <v>1801</v>
      </c>
      <c r="V36" s="24">
        <f t="shared" si="0"/>
        <v>-564</v>
      </c>
      <c r="W36" s="24">
        <f t="shared" si="0"/>
        <v>454</v>
      </c>
      <c r="X36" s="24">
        <f t="shared" ref="X36:Y36" si="1">X26+X33</f>
        <v>1075</v>
      </c>
      <c r="Y36" s="24">
        <f t="shared" si="1"/>
        <v>-1455</v>
      </c>
      <c r="Z36" s="24">
        <f t="shared" ref="Z36" si="2">Z26+Z33</f>
        <v>2015</v>
      </c>
      <c r="AA36" s="24">
        <f t="shared" ref="AA36:AB36" si="3">AA26+AA33</f>
        <v>2596</v>
      </c>
      <c r="AB36" s="24">
        <f t="shared" si="3"/>
        <v>3062.7032319999998</v>
      </c>
      <c r="AC36" s="24">
        <f>AC43-AC41-AC40</f>
        <v>3562.1397230136349</v>
      </c>
      <c r="AD36" s="24">
        <f>AD43-AD41-AD40</f>
        <v>3859.156783268505</v>
      </c>
      <c r="AE36" s="24">
        <f>AE43-AE41-AE40</f>
        <v>4262.7196111696276</v>
      </c>
      <c r="AF36" s="24">
        <f>AF43-AF41-AF40</f>
        <v>4481.2230257143265</v>
      </c>
      <c r="AH36" s="340"/>
    </row>
    <row r="37" spans="1:38">
      <c r="A37" s="1" t="str">
        <f>'Pratt &amp; Whitney_Qtr'!A37</f>
        <v>YoY</v>
      </c>
      <c r="B37" s="36"/>
      <c r="C37" s="36"/>
      <c r="D37" s="36"/>
      <c r="E37" s="36"/>
      <c r="F37" s="36"/>
      <c r="G37" s="36"/>
      <c r="H37" s="36"/>
      <c r="I37" s="36"/>
      <c r="J37" s="36"/>
      <c r="K37" s="36"/>
      <c r="L37" s="209" t="str">
        <f>IFERROR(L36/K36-1,"NM")</f>
        <v>NM</v>
      </c>
      <c r="M37" s="36">
        <f>M36/L36-1</f>
        <v>-6.0392551585304433E-2</v>
      </c>
      <c r="N37" s="36">
        <f>N36/M36-1</f>
        <v>-0.1489019817889663</v>
      </c>
      <c r="O37" s="36">
        <f>O36/N36-1</f>
        <v>0.1806167400881058</v>
      </c>
      <c r="P37" s="36">
        <f>P36/O36-1</f>
        <v>6.6098081023454158E-2</v>
      </c>
      <c r="Q37" s="200">
        <f>'Pratt &amp; Whitney_Qtr'!F37</f>
        <v>-0.56950000000000001</v>
      </c>
      <c r="R37" s="200">
        <f>'Pratt &amp; Whitney_Qtr'!K37</f>
        <v>0.79442508710801385</v>
      </c>
      <c r="S37" s="200">
        <f>'Pratt &amp; Whitney_Qtr'!P37</f>
        <v>-0.15857605177993528</v>
      </c>
      <c r="T37" s="200">
        <f>'Pratt &amp; Whitney_Qtr'!U37</f>
        <v>-2.384615384615385E-2</v>
      </c>
      <c r="U37" s="211">
        <f>'Pratt &amp; Whitney_Qtr'!Z37</f>
        <v>0.41922773837667449</v>
      </c>
      <c r="V37" s="200">
        <f>'Pratt &amp; Whitney_Qtr'!AE37</f>
        <v>-1.3131593559133814</v>
      </c>
      <c r="W37" s="200">
        <f>'Pratt &amp; Whitney_Qtr'!AJ37</f>
        <v>-1.8049645390070923</v>
      </c>
      <c r="X37" s="200">
        <f>'Pratt &amp; Whitney_Qtr'!AO37</f>
        <v>1.3678414096916298</v>
      </c>
      <c r="Y37" s="186">
        <f>'Pratt &amp; Whitney_Qtr'!AT37</f>
        <v>-2.3534883720930235</v>
      </c>
      <c r="Z37" s="186">
        <f>'Pratt &amp; Whitney_Qtr'!AY37</f>
        <v>-2.3848797250859106</v>
      </c>
      <c r="AA37" s="186">
        <f>'Pratt &amp; Whitney_Qtr'!BD37</f>
        <v>0.28833746898263035</v>
      </c>
      <c r="AB37" s="186">
        <f>'Pratt &amp; Whitney_Qtr'!BI37</f>
        <v>0.17977782434514622</v>
      </c>
      <c r="AC37" s="36">
        <f>AC36/AB36-1</f>
        <v>0.16307048159135351</v>
      </c>
      <c r="AD37" s="36">
        <f>AD36/AC36-1</f>
        <v>8.3381642313454352E-2</v>
      </c>
      <c r="AE37" s="36">
        <f>AE36/AD36-1</f>
        <v>0.1045727993355392</v>
      </c>
      <c r="AF37" s="36">
        <f>AF36/AE36-1</f>
        <v>5.1259157175656878E-2</v>
      </c>
      <c r="AH37" s="340"/>
    </row>
    <row r="38" spans="1:38">
      <c r="A38" s="1" t="str">
        <f>'Pratt &amp; Whitney_Qtr'!A38</f>
        <v>% Margin</v>
      </c>
      <c r="B38" s="36"/>
      <c r="C38" s="36"/>
      <c r="D38" s="36"/>
      <c r="E38" s="36"/>
      <c r="F38" s="36"/>
      <c r="G38" s="36"/>
      <c r="H38" s="36"/>
      <c r="I38" s="36"/>
      <c r="J38" s="36"/>
      <c r="K38" s="36"/>
      <c r="L38" s="36">
        <f>L36/L26</f>
        <v>0.15361422497100888</v>
      </c>
      <c r="M38" s="36">
        <f>M36/M26</f>
        <v>0.14688065455117616</v>
      </c>
      <c r="N38" s="36">
        <f>N36/N26</f>
        <v>0.11379260956745918</v>
      </c>
      <c r="O38" s="36">
        <f>O36/O26</f>
        <v>0.12937038824908628</v>
      </c>
      <c r="P38" s="36">
        <f>P36/P26</f>
        <v>0.13785497656465398</v>
      </c>
      <c r="Q38" s="200">
        <f>'Pratt &amp; Whitney_Qtr'!F38</f>
        <v>6.114188325521943E-2</v>
      </c>
      <c r="R38" s="200">
        <f>'Pratt &amp; Whitney_Qtr'!K38</f>
        <v>0.1037330468645092</v>
      </c>
      <c r="S38" s="200">
        <f>'Pratt &amp; Whitney_Qtr'!P38</f>
        <v>8.0445544554455448E-2</v>
      </c>
      <c r="T38" s="200">
        <f>'Pratt &amp; Whitney_Qtr'!U38</f>
        <v>6.542248801361035E-2</v>
      </c>
      <c r="U38" s="211">
        <f>'Pratt &amp; Whitney_Qtr'!Z38</f>
        <v>8.6164003444646448E-2</v>
      </c>
      <c r="V38" s="200">
        <f>'Pratt &amp; Whitney_Qtr'!AE38</f>
        <v>-3.3573426989701768E-2</v>
      </c>
      <c r="W38" s="200">
        <f>'Pratt &amp; Whitney_Qtr'!AJ38</f>
        <v>2.5013774104683195E-2</v>
      </c>
      <c r="X38" s="200">
        <f>'Pratt &amp; Whitney_Qtr'!AO38</f>
        <v>5.2362396492937162E-2</v>
      </c>
      <c r="Y38" s="186">
        <f>'Pratt &amp; Whitney_Qtr'!AT38</f>
        <v>-7.9525579361609089E-2</v>
      </c>
      <c r="Z38" s="186">
        <f>'Pratt &amp; Whitney_Qtr'!AY38</f>
        <v>7.1795054514359011E-2</v>
      </c>
      <c r="AA38" s="186">
        <f>'Pratt &amp; Whitney_Qtr'!BD38</f>
        <v>7.8867420099647589E-2</v>
      </c>
      <c r="AB38" s="186">
        <f>'Pratt &amp; Whitney_Qtr'!BI38</f>
        <v>8.5915843126201194E-2</v>
      </c>
      <c r="AC38" s="36">
        <f>AC36/AC26</f>
        <v>9.1999999999999998E-2</v>
      </c>
      <c r="AD38" s="36">
        <f>AD36/AD26</f>
        <v>9.5000000000000001E-2</v>
      </c>
      <c r="AE38" s="36">
        <f>AE36/AE26</f>
        <v>9.9999999999999992E-2</v>
      </c>
      <c r="AF38" s="36">
        <f>AF36/AF26</f>
        <v>9.9999999999999992E-2</v>
      </c>
      <c r="AH38" s="340"/>
    </row>
    <row r="39" spans="1:38">
      <c r="A39" s="1"/>
      <c r="B39" s="209"/>
      <c r="C39" s="209"/>
      <c r="D39" s="209"/>
      <c r="E39" s="209"/>
      <c r="F39" s="209"/>
      <c r="G39" s="209"/>
      <c r="H39" s="209"/>
      <c r="I39" s="209"/>
      <c r="J39" s="209"/>
      <c r="K39" s="209"/>
      <c r="L39" s="209"/>
      <c r="M39" s="209"/>
      <c r="N39" s="209"/>
      <c r="O39" s="209"/>
      <c r="P39" s="209"/>
      <c r="Q39" s="200"/>
      <c r="R39" s="200"/>
      <c r="S39" s="200"/>
      <c r="T39" s="200"/>
      <c r="U39" s="200"/>
      <c r="V39" s="200"/>
      <c r="W39" s="200"/>
      <c r="X39" s="200"/>
      <c r="Y39" s="485"/>
      <c r="Z39" s="485"/>
      <c r="AA39" s="485"/>
      <c r="AB39" s="485"/>
      <c r="AC39" s="207"/>
      <c r="AD39" s="207"/>
      <c r="AE39" s="207"/>
      <c r="AF39" s="207"/>
      <c r="AH39" s="340"/>
    </row>
    <row r="40" spans="1:38">
      <c r="A40" s="6" t="str">
        <f>'Pratt &amp; Whitney_Qtr'!A40</f>
        <v>Restructuring</v>
      </c>
      <c r="B40" s="209"/>
      <c r="C40" s="209"/>
      <c r="D40" s="209"/>
      <c r="E40" s="209"/>
      <c r="F40" s="209"/>
      <c r="G40" s="209"/>
      <c r="H40" s="209"/>
      <c r="I40" s="209"/>
      <c r="J40" s="209"/>
      <c r="K40" s="209"/>
      <c r="L40" s="20">
        <v>138</v>
      </c>
      <c r="M40" s="20">
        <v>52</v>
      </c>
      <c r="N40" s="20">
        <v>96</v>
      </c>
      <c r="O40" s="20">
        <v>154</v>
      </c>
      <c r="P40" s="20">
        <v>64</v>
      </c>
      <c r="Q40" s="199">
        <f>'Pratt &amp; Whitney_Qtr'!F40</f>
        <v>105</v>
      </c>
      <c r="R40" s="199">
        <f>'Pratt &amp; Whitney_Qtr'!K40</f>
        <v>111</v>
      </c>
      <c r="S40" s="199">
        <f>'Pratt &amp; Whitney_Qtr'!P40</f>
        <v>5</v>
      </c>
      <c r="T40" s="199">
        <f>'Pratt &amp; Whitney_Qtr'!U40</f>
        <v>-7</v>
      </c>
      <c r="U40" s="210">
        <f>'Pratt &amp; Whitney_Qtr'!Z40</f>
        <v>133</v>
      </c>
      <c r="V40" s="199">
        <f>'Pratt &amp; Whitney_Qtr'!AE40</f>
        <v>180</v>
      </c>
      <c r="W40" s="199">
        <f>'Pratt &amp; Whitney_Qtr'!AJ40</f>
        <v>33</v>
      </c>
      <c r="X40" s="199">
        <f>'Pratt &amp; Whitney_Qtr'!AO40</f>
        <v>175</v>
      </c>
      <c r="Y40" s="292">
        <f>'Pratt &amp; Whitney_Qtr'!AT40</f>
        <v>74</v>
      </c>
      <c r="Z40" s="484">
        <f>'Pratt &amp; Whitney_Qtr'!AY40</f>
        <v>102</v>
      </c>
      <c r="AA40" s="484">
        <f>'Pratt &amp; Whitney_Qtr'!BD40</f>
        <v>21</v>
      </c>
      <c r="AB40" s="484">
        <f>'Pratt &amp; Whitney_Qtr'!BI40</f>
        <v>3</v>
      </c>
      <c r="AC40" s="235">
        <v>0</v>
      </c>
      <c r="AD40" s="235">
        <v>0</v>
      </c>
      <c r="AE40" s="235">
        <v>0</v>
      </c>
      <c r="AF40" s="235">
        <v>0</v>
      </c>
      <c r="AH40" s="340"/>
    </row>
    <row r="41" spans="1:38">
      <c r="A41" s="6" t="str">
        <f>'Pratt &amp; Whitney_Qtr'!A41</f>
        <v>Other Non-Recurring and Unusual Charges</v>
      </c>
      <c r="B41" s="20"/>
      <c r="C41" s="20"/>
      <c r="D41" s="20"/>
      <c r="E41" s="20"/>
      <c r="F41" s="20"/>
      <c r="G41" s="20"/>
      <c r="H41" s="20"/>
      <c r="I41" s="20"/>
      <c r="J41" s="20"/>
      <c r="K41" s="20"/>
      <c r="L41" s="20">
        <v>0</v>
      </c>
      <c r="M41" s="20">
        <v>-41</v>
      </c>
      <c r="N41" s="20">
        <v>0</v>
      </c>
      <c r="O41" s="20">
        <f>-193+25</f>
        <v>-168</v>
      </c>
      <c r="P41" s="20">
        <f>-83+60+22</f>
        <v>-1</v>
      </c>
      <c r="Q41" s="199">
        <f>'Pratt &amp; Whitney_Qtr'!F41</f>
        <v>947</v>
      </c>
      <c r="R41" s="199">
        <f>'Pratt &amp; Whitney_Qtr'!K41</f>
        <v>95</v>
      </c>
      <c r="S41" s="199">
        <f>'Pratt &amp; Whitney_Qtr'!P41</f>
        <v>196</v>
      </c>
      <c r="T41" s="199">
        <f>'Pratt &amp; Whitney_Qtr'!U41</f>
        <v>300</v>
      </c>
      <c r="U41" s="210">
        <f>'Pratt &amp; Whitney_Qtr'!Z41</f>
        <v>0</v>
      </c>
      <c r="V41" s="199">
        <f>'Pratt &amp; Whitney_Qtr'!AE41</f>
        <v>810</v>
      </c>
      <c r="W41" s="199">
        <f>'Pratt &amp; Whitney_Qtr'!AJ41</f>
        <v>0</v>
      </c>
      <c r="X41" s="199">
        <f>'Pratt &amp; Whitney_Qtr'!AO41</f>
        <v>0</v>
      </c>
      <c r="Y41" s="292">
        <f>'Pratt &amp; Whitney_Qtr'!AT41</f>
        <v>3069</v>
      </c>
      <c r="Z41" s="484">
        <f>'Pratt &amp; Whitney_Qtr'!AY41</f>
        <v>164</v>
      </c>
      <c r="AA41" s="484">
        <f>'Pratt &amp; Whitney_Qtr'!BD41</f>
        <v>108</v>
      </c>
      <c r="AB41" s="484">
        <f>'Pratt &amp; Whitney_Qtr'!BI41</f>
        <v>0</v>
      </c>
      <c r="AC41" s="235">
        <v>0</v>
      </c>
      <c r="AD41" s="235">
        <v>0</v>
      </c>
      <c r="AE41" s="235">
        <v>0</v>
      </c>
      <c r="AF41" s="235">
        <v>0</v>
      </c>
      <c r="AH41" s="340"/>
    </row>
    <row r="42" spans="1:38">
      <c r="A42" s="1"/>
      <c r="B42" s="38"/>
      <c r="C42" s="38"/>
      <c r="D42" s="38"/>
      <c r="E42" s="38"/>
      <c r="F42" s="38"/>
      <c r="G42" s="38"/>
      <c r="H42" s="38"/>
      <c r="I42" s="38"/>
      <c r="J42" s="38"/>
      <c r="K42" s="38"/>
      <c r="L42" s="38"/>
      <c r="M42" s="38"/>
      <c r="N42" s="38"/>
      <c r="O42" s="38"/>
      <c r="P42" s="38"/>
      <c r="Q42" s="38"/>
      <c r="R42" s="38"/>
      <c r="S42" s="38"/>
      <c r="T42" s="38"/>
      <c r="U42" s="38"/>
      <c r="V42" s="38"/>
      <c r="W42" s="38"/>
      <c r="X42" s="38"/>
      <c r="Y42" s="206"/>
      <c r="Z42" s="206"/>
      <c r="AA42" s="206"/>
      <c r="AB42" s="206"/>
      <c r="AC42" s="206"/>
      <c r="AD42" s="206"/>
      <c r="AE42" s="206"/>
      <c r="AF42" s="206"/>
      <c r="AH42" s="340"/>
    </row>
    <row r="43" spans="1:38">
      <c r="A43" s="8" t="str">
        <f>'Pratt &amp; Whitney_Qtr'!A43</f>
        <v>Adjusted Operating Profit</v>
      </c>
      <c r="B43" s="30"/>
      <c r="C43" s="30"/>
      <c r="D43" s="30"/>
      <c r="E43" s="30"/>
      <c r="F43" s="30"/>
      <c r="G43" s="29"/>
      <c r="H43" s="30"/>
      <c r="I43" s="30"/>
      <c r="J43" s="30"/>
      <c r="K43" s="30"/>
      <c r="L43" s="24">
        <f t="shared" ref="L43:V43" si="4">L36+L41+L40</f>
        <v>2125</v>
      </c>
      <c r="M43" s="24">
        <f t="shared" si="4"/>
        <v>1878</v>
      </c>
      <c r="N43" s="24">
        <f t="shared" si="4"/>
        <v>1685</v>
      </c>
      <c r="O43" s="24">
        <f t="shared" si="4"/>
        <v>1862</v>
      </c>
      <c r="P43" s="24">
        <f t="shared" si="4"/>
        <v>2063</v>
      </c>
      <c r="Q43" s="202">
        <f t="shared" si="4"/>
        <v>1913</v>
      </c>
      <c r="R43" s="202">
        <f t="shared" si="4"/>
        <v>1751</v>
      </c>
      <c r="S43" s="202">
        <f t="shared" si="4"/>
        <v>1501</v>
      </c>
      <c r="T43" s="202">
        <f t="shared" si="4"/>
        <v>1562</v>
      </c>
      <c r="U43" s="202">
        <f t="shared" si="4"/>
        <v>1934</v>
      </c>
      <c r="V43" s="202">
        <f t="shared" si="4"/>
        <v>426</v>
      </c>
      <c r="W43" s="202">
        <f t="shared" ref="W43:AB43" si="5">W36+W41+W40</f>
        <v>487</v>
      </c>
      <c r="X43" s="202">
        <f t="shared" si="5"/>
        <v>1250</v>
      </c>
      <c r="Y43" s="202">
        <f t="shared" si="5"/>
        <v>1688</v>
      </c>
      <c r="Z43" s="202">
        <f t="shared" si="5"/>
        <v>2281</v>
      </c>
      <c r="AA43" s="202">
        <f t="shared" si="5"/>
        <v>2725</v>
      </c>
      <c r="AB43" s="202">
        <f t="shared" si="5"/>
        <v>3065.7032319999998</v>
      </c>
      <c r="AC43" s="202">
        <f>AC30*AC46</f>
        <v>3562.1397230136349</v>
      </c>
      <c r="AD43" s="202">
        <f>AD30*AD46</f>
        <v>3859.156783268505</v>
      </c>
      <c r="AE43" s="202">
        <f>AE30*AE46</f>
        <v>4262.7196111696276</v>
      </c>
      <c r="AF43" s="202">
        <f>AF30*AF46</f>
        <v>4481.2230257143265</v>
      </c>
      <c r="AH43" s="495" t="s">
        <v>470</v>
      </c>
      <c r="AI43" s="425">
        <f>(AA43/V43)^(0.2)-1</f>
        <v>0.44941042770602602</v>
      </c>
      <c r="AJ43" s="348"/>
    </row>
    <row r="44" spans="1:38">
      <c r="A44" s="1" t="str">
        <f>'Pratt &amp; Whitney_Qtr'!A44</f>
        <v>YoY</v>
      </c>
      <c r="B44" s="200"/>
      <c r="C44" s="200"/>
      <c r="D44" s="200"/>
      <c r="E44" s="200"/>
      <c r="F44" s="200"/>
      <c r="G44" s="89"/>
      <c r="H44" s="200"/>
      <c r="I44" s="200"/>
      <c r="J44" s="200"/>
      <c r="K44" s="200"/>
      <c r="L44" s="209" t="str">
        <f>IFERROR(L43/K43-1,"NM")</f>
        <v>NM</v>
      </c>
      <c r="M44" s="209">
        <f>M43/L43-1</f>
        <v>-0.1162352941176471</v>
      </c>
      <c r="N44" s="209">
        <f>N43/M43-1</f>
        <v>-0.10276890308839193</v>
      </c>
      <c r="O44" s="209">
        <f>O43/N43-1</f>
        <v>0.10504451038575668</v>
      </c>
      <c r="P44" s="209">
        <f>P43/O43-1</f>
        <v>0.10794844253490865</v>
      </c>
      <c r="Q44" s="200">
        <f>'Pratt &amp; Whitney_Qtr'!F44</f>
        <v>-7.2709646146388751E-2</v>
      </c>
      <c r="R44" s="200">
        <f>'Pratt &amp; Whitney_Qtr'!K44</f>
        <v>-8.4683742812336593E-2</v>
      </c>
      <c r="S44" s="200">
        <f>'Pratt &amp; Whitney_Qtr'!P44</f>
        <v>-0.14277555682467158</v>
      </c>
      <c r="T44" s="200">
        <f>'Pratt &amp; Whitney_Qtr'!U44</f>
        <v>4.0639573617588187E-2</v>
      </c>
      <c r="U44" s="211">
        <f>'Pratt &amp; Whitney_Qtr'!Z44</f>
        <v>0.23815620998719589</v>
      </c>
      <c r="V44" s="200">
        <f>'Pratt &amp; Whitney_Qtr'!AE44</f>
        <v>-0.77973112719751814</v>
      </c>
      <c r="W44" s="200">
        <f>'Pratt &amp; Whitney_Qtr'!AJ44</f>
        <v>0.14319248826291076</v>
      </c>
      <c r="X44" s="200">
        <f>'Pratt &amp; Whitney_Qtr'!AO44</f>
        <v>1.5667351129363452</v>
      </c>
      <c r="Y44" s="485">
        <f>'Pratt &amp; Whitney_Qtr'!AT44</f>
        <v>0.35040000000000004</v>
      </c>
      <c r="Z44" s="485">
        <f>'Pratt &amp; Whitney_Qtr'!AY44</f>
        <v>0.35130331753554511</v>
      </c>
      <c r="AA44" s="485">
        <f>'Pratt &amp; Whitney_Qtr'!BD44</f>
        <v>0.19465146865409899</v>
      </c>
      <c r="AB44" s="485">
        <f>'Pratt &amp; Whitney_Qtr'!BI44</f>
        <v>0.12502870899082552</v>
      </c>
      <c r="AC44" s="207">
        <f>AC43/AB43-1</f>
        <v>0.16193233768741866</v>
      </c>
      <c r="AD44" s="207">
        <f>AD43/AC43-1</f>
        <v>8.3381642313454352E-2</v>
      </c>
      <c r="AE44" s="207">
        <f>AE43/AD43-1</f>
        <v>0.1045727993355392</v>
      </c>
      <c r="AF44" s="207">
        <f>AF43/AE43-1</f>
        <v>5.1259157175656878E-2</v>
      </c>
      <c r="AH44" s="340"/>
    </row>
    <row r="45" spans="1:38">
      <c r="B45" s="104"/>
      <c r="C45" s="104"/>
      <c r="D45" s="104"/>
      <c r="E45" s="104"/>
      <c r="F45" s="104"/>
      <c r="G45" s="90"/>
      <c r="H45" s="104"/>
      <c r="I45" s="104"/>
      <c r="J45" s="104"/>
      <c r="K45" s="104"/>
      <c r="L45" s="104"/>
      <c r="M45" s="104"/>
      <c r="N45" s="104"/>
      <c r="O45" s="104"/>
      <c r="P45" s="104"/>
      <c r="Q45" s="38"/>
      <c r="R45" s="38"/>
      <c r="S45" s="38"/>
      <c r="T45" s="38"/>
      <c r="U45" s="179"/>
      <c r="V45" s="38"/>
      <c r="W45" s="38"/>
      <c r="X45" s="38"/>
      <c r="Y45" s="206"/>
      <c r="Z45" s="206"/>
      <c r="AA45" s="206"/>
      <c r="AB45" s="206"/>
      <c r="AC45" s="206"/>
      <c r="AD45" s="206"/>
      <c r="AE45" s="206"/>
      <c r="AF45" s="206"/>
      <c r="AH45" s="340"/>
      <c r="AJ45" s="348"/>
      <c r="AL45" s="335"/>
    </row>
    <row r="46" spans="1:38">
      <c r="A46" s="8" t="str">
        <f>'Pratt &amp; Whitney_Qtr'!A46</f>
        <v>Adjusted Operating Margin</v>
      </c>
      <c r="B46" s="123"/>
      <c r="C46" s="123"/>
      <c r="D46" s="123"/>
      <c r="E46" s="123"/>
      <c r="F46" s="123"/>
      <c r="G46" s="122"/>
      <c r="H46" s="123"/>
      <c r="I46" s="123"/>
      <c r="J46" s="123"/>
      <c r="K46" s="123"/>
      <c r="L46" s="123">
        <f t="shared" ref="L46:V46" si="6">+L43/L30</f>
        <v>0.16428295322767686</v>
      </c>
      <c r="M46" s="123">
        <f t="shared" si="6"/>
        <v>0.14774604673117772</v>
      </c>
      <c r="N46" s="123">
        <f t="shared" si="6"/>
        <v>0.12066743053566313</v>
      </c>
      <c r="O46" s="123">
        <f t="shared" si="6"/>
        <v>0.128404937590511</v>
      </c>
      <c r="P46" s="123">
        <f t="shared" si="6"/>
        <v>0.14219740832644059</v>
      </c>
      <c r="Q46" s="123">
        <f t="shared" si="6"/>
        <v>0.1344910011248594</v>
      </c>
      <c r="R46" s="123">
        <f t="shared" si="6"/>
        <v>0.1161294601406022</v>
      </c>
      <c r="S46" s="123">
        <f t="shared" si="6"/>
        <v>9.0722272589906311E-2</v>
      </c>
      <c r="T46" s="123">
        <f t="shared" si="6"/>
        <v>8.0527916688147655E-2</v>
      </c>
      <c r="U46" s="213">
        <f t="shared" si="6"/>
        <v>9.2527030906133387E-2</v>
      </c>
      <c r="V46" s="123">
        <f t="shared" si="6"/>
        <v>2.4732930794240594E-2</v>
      </c>
      <c r="W46" s="123">
        <f t="shared" ref="W46:AB46" si="7">+W43/W30</f>
        <v>2.6831955922865015E-2</v>
      </c>
      <c r="X46" s="123">
        <f t="shared" si="7"/>
        <v>6.0886507549926937E-2</v>
      </c>
      <c r="Y46" s="123">
        <f t="shared" si="7"/>
        <v>7.1232645482550538E-2</v>
      </c>
      <c r="Z46" s="123">
        <f t="shared" si="7"/>
        <v>8.1272714316254546E-2</v>
      </c>
      <c r="AA46" s="123">
        <f t="shared" si="7"/>
        <v>8.278648681492283E-2</v>
      </c>
      <c r="AB46" s="123">
        <f t="shared" si="7"/>
        <v>8.5999999999999993E-2</v>
      </c>
      <c r="AC46" s="208">
        <v>9.1999999999999998E-2</v>
      </c>
      <c r="AD46" s="208">
        <v>9.5000000000000001E-2</v>
      </c>
      <c r="AE46" s="208">
        <v>0.1</v>
      </c>
      <c r="AF46" s="208">
        <v>0.1</v>
      </c>
      <c r="AJ46" s="348"/>
      <c r="AL46" s="335"/>
    </row>
    <row r="47" spans="1:38">
      <c r="A47" s="1" t="str">
        <f>'Pratt &amp; Whitney_Qtr'!A47</f>
        <v>YoY</v>
      </c>
      <c r="B47" s="200"/>
      <c r="C47" s="200"/>
      <c r="D47" s="200"/>
      <c r="E47" s="200"/>
      <c r="F47" s="200"/>
      <c r="G47" s="89"/>
      <c r="H47" s="200"/>
      <c r="I47" s="200"/>
      <c r="J47" s="200"/>
      <c r="K47" s="200"/>
      <c r="L47" s="209" t="str">
        <f>IFERROR(L46/K46-1,"NM")</f>
        <v>NM</v>
      </c>
      <c r="M47" s="209">
        <f>M46/L46-1</f>
        <v>-0.10066112260339588</v>
      </c>
      <c r="N47" s="209">
        <f>N46/M46-1</f>
        <v>-0.18327810993673377</v>
      </c>
      <c r="O47" s="209">
        <f>O46/N46-1</f>
        <v>6.4122580720412881E-2</v>
      </c>
      <c r="P47" s="209">
        <f>P46/O46-1</f>
        <v>0.10741386581187706</v>
      </c>
      <c r="Q47" s="200">
        <f>'Pratt &amp; Whitney_Qtr'!F47</f>
        <v>-5.4195131207241842E-2</v>
      </c>
      <c r="R47" s="200">
        <f>'Pratt &amp; Whitney_Qtr'!K47</f>
        <v>-0.13652616777839743</v>
      </c>
      <c r="S47" s="200">
        <f>'Pratt &amp; Whitney_Qtr'!P47</f>
        <v>-0.2187833089031368</v>
      </c>
      <c r="T47" s="200">
        <f>'Pratt &amp; Whitney_Qtr'!U47</f>
        <v>-0.11236883304103729</v>
      </c>
      <c r="U47" s="211">
        <f>'Pratt &amp; Whitney_Qtr'!Z47</f>
        <v>0.14900564563781638</v>
      </c>
      <c r="V47" s="200">
        <f>'Pratt &amp; Whitney_Qtr'!AE47</f>
        <v>-0.7326950778380471</v>
      </c>
      <c r="W47" s="200">
        <f>'Pratt &amp; Whitney_Qtr'!AJ47</f>
        <v>8.4867626327293388E-2</v>
      </c>
      <c r="X47" s="200">
        <f>'Pratt &amp; Whitney_Qtr'!AO47</f>
        <v>1.2691788748073387</v>
      </c>
      <c r="Y47" s="485">
        <f>'Pratt &amp; Whitney_Qtr'!AT47</f>
        <v>0.16992496940541013</v>
      </c>
      <c r="Z47" s="485">
        <f>'Pratt &amp; Whitney_Qtr'!AY47</f>
        <v>0.14094757769685073</v>
      </c>
      <c r="AA47" s="485">
        <f>'Pratt &amp; Whitney_Qtr'!BD47</f>
        <v>1.8625839082693663E-2</v>
      </c>
      <c r="AB47" s="485">
        <f>'Pratt &amp; Whitney_Qtr'!BI47</f>
        <v>3.8816880733944847E-2</v>
      </c>
      <c r="AC47" s="207">
        <f>AC46/AB46-1</f>
        <v>6.976744186046524E-2</v>
      </c>
      <c r="AD47" s="207">
        <f>AD46/AC46-1</f>
        <v>3.2608695652173836E-2</v>
      </c>
      <c r="AE47" s="207">
        <f>AE46/AD46-1</f>
        <v>5.2631578947368363E-2</v>
      </c>
      <c r="AF47" s="207">
        <f>AF46/AE46-1</f>
        <v>0</v>
      </c>
    </row>
    <row r="48" spans="1:38">
      <c r="A48" s="1"/>
      <c r="B48" s="104"/>
      <c r="C48" s="104"/>
      <c r="D48" s="104"/>
      <c r="E48" s="104"/>
      <c r="F48" s="104"/>
      <c r="G48" s="90"/>
      <c r="H48" s="104"/>
      <c r="I48" s="104"/>
      <c r="J48" s="104"/>
      <c r="K48" s="104"/>
      <c r="L48" s="104"/>
      <c r="M48" s="104"/>
      <c r="N48" s="104"/>
      <c r="O48" s="104"/>
      <c r="P48" s="104"/>
      <c r="Q48" s="22"/>
      <c r="R48" s="22"/>
      <c r="S48" s="22"/>
      <c r="T48" s="22"/>
      <c r="U48" s="180"/>
      <c r="V48" s="22"/>
      <c r="W48" s="22"/>
      <c r="X48" s="378">
        <f>(X43-W43)/(X26-W26)</f>
        <v>0.32058823529411767</v>
      </c>
      <c r="Y48" s="378">
        <f t="shared" ref="Y48:AF48" si="8">(Y43-X43)/(Y26-X26)</f>
        <v>-0.19606087735004477</v>
      </c>
      <c r="Z48" s="378">
        <f t="shared" si="8"/>
        <v>6.0696008188331631E-2</v>
      </c>
      <c r="AA48" s="378">
        <f t="shared" si="8"/>
        <v>9.1546391752577325E-2</v>
      </c>
      <c r="AB48" s="378">
        <f t="shared" si="8"/>
        <v>0.12472150504884845</v>
      </c>
      <c r="AC48" s="378">
        <f t="shared" si="8"/>
        <v>0.16164261819613174</v>
      </c>
      <c r="AD48" s="378">
        <f t="shared" si="8"/>
        <v>0.15601332088568637</v>
      </c>
      <c r="AE48" s="378">
        <f t="shared" si="8"/>
        <v>0.2013291150150846</v>
      </c>
      <c r="AF48" s="378">
        <f t="shared" si="8"/>
        <v>0.1</v>
      </c>
      <c r="AG48" t="s">
        <v>424</v>
      </c>
    </row>
    <row r="49" spans="1:38">
      <c r="A49" s="13" t="str">
        <f>'Pratt &amp; Whitney_Qtr'!A49</f>
        <v>As a % of Total Revenue</v>
      </c>
      <c r="B49" s="104"/>
      <c r="C49" s="104"/>
      <c r="D49" s="104"/>
      <c r="E49" s="104"/>
      <c r="F49" s="104"/>
      <c r="G49" s="90"/>
      <c r="H49" s="104"/>
      <c r="I49" s="104"/>
      <c r="J49" s="104"/>
      <c r="K49" s="104"/>
      <c r="L49" s="104"/>
      <c r="M49" s="104"/>
      <c r="N49" s="104"/>
      <c r="O49" s="104"/>
      <c r="P49" s="104"/>
      <c r="Q49" s="22"/>
      <c r="R49" s="22"/>
      <c r="S49" s="22"/>
      <c r="T49" s="22"/>
      <c r="U49" s="180"/>
      <c r="V49" s="22"/>
      <c r="W49" s="22"/>
      <c r="X49" s="22"/>
      <c r="Y49" s="206"/>
      <c r="Z49" s="206"/>
      <c r="AA49" s="206"/>
      <c r="AB49" s="206"/>
      <c r="AC49" s="206"/>
      <c r="AD49" s="206"/>
      <c r="AE49" s="206"/>
      <c r="AF49" s="206"/>
    </row>
    <row r="50" spans="1:38">
      <c r="A50" s="1" t="str">
        <f>'Pratt &amp; Whitney_Qtr'!A50</f>
        <v>Products</v>
      </c>
      <c r="B50" s="186"/>
      <c r="C50" s="186"/>
      <c r="D50" s="186"/>
      <c r="E50" s="186"/>
      <c r="F50" s="186"/>
      <c r="G50" s="73"/>
      <c r="H50" s="186"/>
      <c r="I50" s="186"/>
      <c r="J50" s="186"/>
      <c r="K50" s="186"/>
      <c r="L50" s="186"/>
      <c r="M50" s="186"/>
      <c r="N50" s="186"/>
      <c r="O50" s="186"/>
      <c r="P50" s="186"/>
      <c r="Q50" s="186"/>
      <c r="R50" s="186"/>
      <c r="S50" s="186">
        <f>'Pratt &amp; Whitney_Qtr'!P50</f>
        <v>0</v>
      </c>
      <c r="T50" s="186">
        <f>'Pratt &amp; Whitney_Qtr'!U50</f>
        <v>0</v>
      </c>
      <c r="U50" s="181">
        <f>'Pratt &amp; Whitney_Qtr'!Z50</f>
        <v>0.63656399450368506</v>
      </c>
      <c r="V50" s="186">
        <f>'Pratt &amp; Whitney_Qtr'!AE50</f>
        <v>0.60634561581046487</v>
      </c>
      <c r="W50" s="186">
        <f>'Pratt &amp; Whitney_Qtr'!AJ50</f>
        <v>0.61851239669421487</v>
      </c>
      <c r="X50" s="186">
        <f>'Pratt &amp; Whitney_Qtr'!AO50</f>
        <v>0.60452995616171457</v>
      </c>
      <c r="Y50" s="186">
        <f>'Pratt &amp; Whitney_Qtr'!AT50</f>
        <v>0.46890030607783123</v>
      </c>
      <c r="Z50" s="186">
        <f>'Pratt &amp; Whitney_Qtr'!AY50</f>
        <v>0.58134397491626877</v>
      </c>
      <c r="AA50" s="186">
        <f>'Pratt &amp; Whitney_Qtr'!BD50</f>
        <v>0.56103414752703851</v>
      </c>
      <c r="AB50" s="186">
        <f>'Pratt &amp; Whitney_Qtr'!BI50</f>
        <v>0.52374012110510759</v>
      </c>
      <c r="AC50" s="115">
        <f>AC12/AC$26</f>
        <v>0.50630670732763294</v>
      </c>
      <c r="AD50" s="115">
        <f>AD12/AD$26</f>
        <v>0.49885304113050216</v>
      </c>
      <c r="AE50" s="115">
        <f>AE12/AE$26</f>
        <v>0.47749339627900128</v>
      </c>
      <c r="AF50" s="115">
        <f>AF12/AF$26</f>
        <v>0.45621574851922081</v>
      </c>
    </row>
    <row r="51" spans="1:38">
      <c r="A51" s="1" t="str">
        <f>'Pratt &amp; Whitney_Qtr'!A51</f>
        <v>Services</v>
      </c>
      <c r="B51" s="186"/>
      <c r="C51" s="186"/>
      <c r="D51" s="186"/>
      <c r="E51" s="186"/>
      <c r="F51" s="186"/>
      <c r="G51" s="73"/>
      <c r="H51" s="186"/>
      <c r="I51" s="186"/>
      <c r="J51" s="186"/>
      <c r="K51" s="186"/>
      <c r="L51" s="186"/>
      <c r="M51" s="186"/>
      <c r="N51" s="186"/>
      <c r="O51" s="186"/>
      <c r="P51" s="186"/>
      <c r="Q51" s="186"/>
      <c r="R51" s="186"/>
      <c r="S51" s="186">
        <f>'Pratt &amp; Whitney_Qtr'!P51</f>
        <v>0</v>
      </c>
      <c r="T51" s="186">
        <f>'Pratt &amp; Whitney_Qtr'!U51</f>
        <v>0</v>
      </c>
      <c r="U51" s="181">
        <f>'Pratt &amp; Whitney_Qtr'!Z51</f>
        <v>0.36343023174429651</v>
      </c>
      <c r="V51" s="186">
        <f>'Pratt &amp; Whitney_Qtr'!AE51</f>
        <v>0.39311863801416752</v>
      </c>
      <c r="W51" s="186">
        <f>'Pratt &amp; Whitney_Qtr'!AJ51</f>
        <v>0.38099173553719007</v>
      </c>
      <c r="X51" s="186">
        <f>'Pratt &amp; Whitney_Qtr'!AO51</f>
        <v>0.39532391622016561</v>
      </c>
      <c r="Y51" s="186">
        <f>'Pratt &amp; Whitney_Qtr'!AT51</f>
        <v>0.53109969392216883</v>
      </c>
      <c r="Z51" s="186">
        <f>'Pratt &amp; Whitney_Qtr'!AY51</f>
        <v>0.41858476448371695</v>
      </c>
      <c r="AA51" s="186">
        <f>'Pratt &amp; Whitney_Qtr'!BD51</f>
        <v>0.43896585247296149</v>
      </c>
      <c r="AB51" s="186">
        <f>'Pratt &amp; Whitney_Qtr'!BI51</f>
        <v>0.47625987889489235</v>
      </c>
      <c r="AC51" s="115">
        <f>AC21/AC$26</f>
        <v>0.49369329267236706</v>
      </c>
      <c r="AD51" s="115">
        <f>AD21/AD$26</f>
        <v>0.50114695886949789</v>
      </c>
      <c r="AE51" s="115">
        <f>AE21/AE$26</f>
        <v>0.52250660372099866</v>
      </c>
      <c r="AF51" s="115">
        <f>AF21/AF$26</f>
        <v>0.54378425148077925</v>
      </c>
    </row>
    <row r="52" spans="1:38">
      <c r="A52" s="1"/>
      <c r="B52" s="38"/>
      <c r="C52" s="38"/>
      <c r="D52" s="38"/>
      <c r="E52" s="38"/>
      <c r="F52" s="38"/>
      <c r="G52" s="38"/>
      <c r="H52" s="38"/>
      <c r="I52" s="38"/>
      <c r="J52" s="38"/>
      <c r="K52" s="38"/>
      <c r="L52" s="38"/>
      <c r="M52" s="38"/>
      <c r="N52" s="38"/>
      <c r="O52" s="38"/>
      <c r="P52" s="38"/>
      <c r="Q52" s="38"/>
      <c r="R52" s="38"/>
      <c r="S52" s="38"/>
      <c r="T52" s="38"/>
      <c r="U52" s="38"/>
      <c r="V52" s="38"/>
      <c r="W52" s="38"/>
      <c r="X52" s="38"/>
      <c r="Y52" s="206"/>
      <c r="Z52" s="206"/>
      <c r="AA52" s="206"/>
      <c r="AB52" s="206"/>
      <c r="AC52" s="206"/>
      <c r="AD52" s="206"/>
      <c r="AE52" s="206"/>
      <c r="AF52" s="206"/>
    </row>
    <row r="53" spans="1:38">
      <c r="AG53" s="334"/>
    </row>
    <row r="56" spans="1:38">
      <c r="AJ56" s="429" t="s">
        <v>406</v>
      </c>
      <c r="AK56" s="429" t="s">
        <v>407</v>
      </c>
      <c r="AL56" s="429" t="s">
        <v>408</v>
      </c>
    </row>
    <row r="57" spans="1:38">
      <c r="AJ57" s="430">
        <v>27114.688073853675</v>
      </c>
      <c r="AK57" s="430">
        <v>2777.9509022628949</v>
      </c>
      <c r="AL57" s="431">
        <f>AK57/AJ57</f>
        <v>0.10245188492290402</v>
      </c>
    </row>
  </sheetData>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BP67"/>
  <sheetViews>
    <sheetView showGridLines="0" zoomScale="90" zoomScaleNormal="90" workbookViewId="0">
      <pane xSplit="1" ySplit="2" topLeftCell="AX3" activePane="bottomRight" state="frozen"/>
      <selection activeCell="A13" sqref="A13"/>
      <selection pane="topRight" activeCell="A13" sqref="A13"/>
      <selection pane="bottomLeft" activeCell="A13" sqref="A13"/>
      <selection pane="bottomRight" activeCell="BJ25" sqref="BJ25:BJ27"/>
    </sheetView>
  </sheetViews>
  <sheetFormatPr defaultColWidth="9.140625" defaultRowHeight="15" outlineLevelRow="1" outlineLevelCol="1"/>
  <cols>
    <col min="1" max="1" width="48" customWidth="1"/>
    <col min="2" max="5" width="12" style="25" hidden="1" customWidth="1" outlineLevel="1"/>
    <col min="6" max="6" width="12" style="25" customWidth="1" collapsed="1"/>
    <col min="7" max="10" width="12" style="25" hidden="1" customWidth="1" outlineLevel="1"/>
    <col min="11" max="11" width="12" style="25" customWidth="1" collapsed="1"/>
    <col min="12" max="15" width="12" style="25" hidden="1" customWidth="1" outlineLevel="1"/>
    <col min="16" max="16" width="12" style="25" customWidth="1" collapsed="1"/>
    <col min="17" max="20" width="12" style="25" hidden="1" customWidth="1" outlineLevel="1"/>
    <col min="21" max="21" width="12" style="25" customWidth="1" collapsed="1"/>
    <col min="22" max="25" width="12" style="25" hidden="1" customWidth="1" outlineLevel="1"/>
    <col min="26" max="26" width="12" style="25" customWidth="1" collapsed="1"/>
    <col min="27" max="30" width="12" style="25" customWidth="1" outlineLevel="1"/>
    <col min="31" max="31" width="12" style="25" customWidth="1"/>
    <col min="32" max="35" width="12" style="25" customWidth="1" outlineLevel="1"/>
    <col min="36" max="36" width="12" style="25" customWidth="1"/>
    <col min="37" max="40" width="12" style="25" customWidth="1" outlineLevel="1"/>
    <col min="41" max="41" width="12" style="25" customWidth="1"/>
    <col min="42" max="45" width="12" style="25" hidden="1" customWidth="1" outlineLevel="1"/>
    <col min="46" max="46" width="12" style="25" customWidth="1" collapsed="1"/>
    <col min="47" max="50" width="12" style="25" customWidth="1" outlineLevel="1"/>
    <col min="51" max="51" width="12" style="25" customWidth="1"/>
    <col min="52" max="55" width="12" style="25" customWidth="1" outlineLevel="1"/>
    <col min="56" max="56" width="12" style="25" customWidth="1"/>
    <col min="57" max="60" width="12" style="25" customWidth="1" outlineLevel="1"/>
    <col min="61" max="61" width="12" style="25" customWidth="1"/>
    <col min="62" max="62" width="19" customWidth="1"/>
    <col min="63" max="63" width="13.42578125" customWidth="1"/>
  </cols>
  <sheetData>
    <row r="1" spans="1:68">
      <c r="A1" s="14" t="s">
        <v>254</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row>
    <row r="2" spans="1:68">
      <c r="A2" s="6"/>
      <c r="B2" s="109" t="str">
        <f>ProForma_IS_Qtr!B2</f>
        <v>1Q15A</v>
      </c>
      <c r="C2" s="109" t="str">
        <f>ProForma_IS_Qtr!C2</f>
        <v>2Q15A</v>
      </c>
      <c r="D2" s="109" t="str">
        <f>ProForma_IS_Qtr!D2</f>
        <v>3Q15A</v>
      </c>
      <c r="E2" s="109" t="str">
        <f>ProForma_IS_Qtr!E2</f>
        <v>4Q15A</v>
      </c>
      <c r="F2" s="110" t="str">
        <f>ProForma_IS_Qtr!F2</f>
        <v>CY2015A</v>
      </c>
      <c r="G2" s="109" t="str">
        <f>ProForma_IS_Qtr!G2</f>
        <v>1Q16A</v>
      </c>
      <c r="H2" s="109" t="str">
        <f>ProForma_IS_Qtr!H2</f>
        <v>2Q16A</v>
      </c>
      <c r="I2" s="109" t="str">
        <f>ProForma_IS_Qtr!I2</f>
        <v>3Q16A</v>
      </c>
      <c r="J2" s="109" t="str">
        <f>ProForma_IS_Qtr!J2</f>
        <v>4Q16A</v>
      </c>
      <c r="K2" s="110" t="str">
        <f>ProForma_IS_Qtr!K2</f>
        <v>CY2016A</v>
      </c>
      <c r="L2" s="109" t="str">
        <f>ProForma_IS_Qtr!L2</f>
        <v>1Q17A</v>
      </c>
      <c r="M2" s="109" t="str">
        <f>ProForma_IS_Qtr!M2</f>
        <v>2Q17A</v>
      </c>
      <c r="N2" s="109" t="str">
        <f>ProForma_IS_Qtr!N2</f>
        <v>3Q17A</v>
      </c>
      <c r="O2" s="109" t="str">
        <f>ProForma_IS_Qtr!O2</f>
        <v>4Q17A</v>
      </c>
      <c r="P2" s="110" t="str">
        <f>ProForma_IS_Qtr!P2</f>
        <v>CY2017A</v>
      </c>
      <c r="Q2" s="109" t="str">
        <f>ProForma_IS_Qtr!Q2</f>
        <v>1Q18A</v>
      </c>
      <c r="R2" s="109" t="str">
        <f>ProForma_IS_Qtr!R2</f>
        <v>2Q18A</v>
      </c>
      <c r="S2" s="109" t="str">
        <f>ProForma_IS_Qtr!S2</f>
        <v>3Q18A</v>
      </c>
      <c r="T2" s="109" t="str">
        <f>ProForma_IS_Qtr!T2</f>
        <v>4Q18A</v>
      </c>
      <c r="U2" s="110" t="str">
        <f>ProForma_IS_Qtr!U2</f>
        <v>CY2018A</v>
      </c>
      <c r="V2" s="109" t="str">
        <f>ProForma_IS_Qtr!V2</f>
        <v>1Q19A</v>
      </c>
      <c r="W2" s="109" t="str">
        <f>ProForma_IS_Qtr!W2</f>
        <v>2Q19A</v>
      </c>
      <c r="X2" s="109" t="str">
        <f>ProForma_IS_Qtr!X2</f>
        <v>3Q19A</v>
      </c>
      <c r="Y2" s="109" t="str">
        <f>ProForma_IS_Qtr!Y2</f>
        <v>4Q19A</v>
      </c>
      <c r="Z2" s="110" t="str">
        <f>ProForma_IS_Qtr!Z2</f>
        <v>CY2019A</v>
      </c>
      <c r="AA2" s="109" t="str">
        <f>ProForma_IS_Qtr!AA2</f>
        <v>1Q20A</v>
      </c>
      <c r="AB2" s="109" t="str">
        <f>ProForma_IS_Qtr!AB2</f>
        <v>2Q20A</v>
      </c>
      <c r="AC2" s="109" t="str">
        <f>ProForma_IS_Qtr!AC2</f>
        <v>3Q20A</v>
      </c>
      <c r="AD2" s="109" t="str">
        <f>ProForma_IS_Qtr!AD2</f>
        <v>4Q20A</v>
      </c>
      <c r="AE2" s="110" t="str">
        <f>ProForma_IS_Qtr!AE2</f>
        <v>CY2020A</v>
      </c>
      <c r="AF2" s="109" t="str">
        <f>ProForma_IS_Qtr!AF2</f>
        <v>1Q21A</v>
      </c>
      <c r="AG2" s="109" t="str">
        <f>ProForma_IS_Qtr!AG2</f>
        <v>2Q21A</v>
      </c>
      <c r="AH2" s="109" t="str">
        <f>ProForma_IS_Qtr!AH2</f>
        <v>3Q21A</v>
      </c>
      <c r="AI2" s="109" t="str">
        <f>ProForma_IS_Qtr!AI2</f>
        <v>4Q21A</v>
      </c>
      <c r="AJ2" s="110" t="str">
        <f>ProForma_IS_Qtr!AJ2</f>
        <v>CY2021A</v>
      </c>
      <c r="AK2" s="109" t="str">
        <f>ProForma_IS_Qtr!AK2</f>
        <v>1Q22A</v>
      </c>
      <c r="AL2" s="109" t="str">
        <f>ProForma_IS_Qtr!AL2</f>
        <v>2Q22A</v>
      </c>
      <c r="AM2" s="109" t="str">
        <f>ProForma_IS_Qtr!AM2</f>
        <v>3Q22A</v>
      </c>
      <c r="AN2" s="109" t="str">
        <f>ProForma_IS_Qtr!AN2</f>
        <v>4Q22A</v>
      </c>
      <c r="AO2" s="110" t="str">
        <f>ProForma_IS_Qtr!AO2</f>
        <v>CY2022A</v>
      </c>
      <c r="AP2" s="109" t="str">
        <f>ProForma_IS_Qtr!AP2</f>
        <v>1Q23A</v>
      </c>
      <c r="AQ2" s="109" t="str">
        <f>ProForma_IS_Qtr!AQ2</f>
        <v>2Q23A</v>
      </c>
      <c r="AR2" s="109" t="str">
        <f>ProForma_IS_Qtr!AR2</f>
        <v>3Q23A</v>
      </c>
      <c r="AS2" s="109" t="str">
        <f>ProForma_IS_Qtr!AS2</f>
        <v>4Q23A</v>
      </c>
      <c r="AT2" s="110" t="str">
        <f>ProForma_IS_Qtr!AT2</f>
        <v>CY2023A</v>
      </c>
      <c r="AU2" s="109" t="str">
        <f>ProForma_IS_Qtr!AU2</f>
        <v>1Q24A</v>
      </c>
      <c r="AV2" s="109" t="str">
        <f>ProForma_IS_Qtr!AV2</f>
        <v>2Q24A</v>
      </c>
      <c r="AW2" s="109" t="str">
        <f>ProForma_IS_Qtr!AW2</f>
        <v>3Q24A</v>
      </c>
      <c r="AX2" s="109" t="str">
        <f>ProForma_IS_Qtr!AX2</f>
        <v>4Q24A</v>
      </c>
      <c r="AY2" s="110" t="str">
        <f>ProForma_IS_Qtr!AY2</f>
        <v>CY2024A</v>
      </c>
      <c r="AZ2" s="109" t="str">
        <f>ProForma_IS_Qtr!AZ2</f>
        <v>1Q25A</v>
      </c>
      <c r="BA2" s="109" t="str">
        <f>ProForma_IS_Qtr!BA2</f>
        <v>2Q25A</v>
      </c>
      <c r="BB2" s="109" t="str">
        <f>ProForma_IS_Qtr!BB2</f>
        <v>3Q25A</v>
      </c>
      <c r="BC2" s="109" t="str">
        <f>ProForma_IS_Qtr!BC2</f>
        <v>4Q25A</v>
      </c>
      <c r="BD2" s="110" t="str">
        <f>ProForma_IS_Qtr!BD2</f>
        <v>CY2025A</v>
      </c>
      <c r="BE2" s="109" t="str">
        <f>ProForma_IS_Qtr!BE2</f>
        <v>1Q26A</v>
      </c>
      <c r="BF2" s="109" t="str">
        <f>ProForma_IS_Qtr!BF2</f>
        <v>2Q26A</v>
      </c>
      <c r="BG2" s="109" t="str">
        <f>ProForma_IS_Qtr!BG2</f>
        <v>3Q26E</v>
      </c>
      <c r="BH2" s="109" t="str">
        <f>ProForma_IS_Qtr!BH2</f>
        <v>4Q26E</v>
      </c>
      <c r="BI2" s="110" t="str">
        <f>ProForma_IS_Qtr!BI2</f>
        <v>CY2026E</v>
      </c>
      <c r="BJ2" s="314" t="s">
        <v>507</v>
      </c>
    </row>
    <row r="3" spans="1:68" hidden="1" outlineLevel="1">
      <c r="A3" s="187" t="s">
        <v>376</v>
      </c>
      <c r="B3" s="322"/>
      <c r="C3" s="322"/>
      <c r="D3" s="322"/>
      <c r="E3" s="322"/>
      <c r="F3" s="323"/>
      <c r="G3" s="322"/>
      <c r="H3" s="322"/>
      <c r="I3" s="322"/>
      <c r="J3" s="322"/>
      <c r="K3" s="323"/>
      <c r="L3" s="322"/>
      <c r="M3" s="322"/>
      <c r="N3" s="322"/>
      <c r="O3" s="322"/>
      <c r="P3" s="323"/>
      <c r="Q3" s="322"/>
      <c r="R3" s="322"/>
      <c r="S3" s="322"/>
      <c r="T3" s="322"/>
      <c r="U3" s="323"/>
      <c r="V3" s="325">
        <f>Z3/4</f>
        <v>1276.0864359582324</v>
      </c>
      <c r="W3" s="325">
        <f>(Z3-V3)/3</f>
        <v>1276.0864359582324</v>
      </c>
      <c r="X3" s="325">
        <f>(Z3-W3-V3)/2</f>
        <v>1276.0864359582324</v>
      </c>
      <c r="Y3" s="325">
        <f>Z3-X3-W3-V3</f>
        <v>1276.0864359582324</v>
      </c>
      <c r="Z3" s="199">
        <v>5104.3457438329297</v>
      </c>
      <c r="AA3" s="325">
        <f>AE3/4</f>
        <v>758.04343235381577</v>
      </c>
      <c r="AB3" s="325">
        <f>(AE3-AA3)/3</f>
        <v>758.04343235381577</v>
      </c>
      <c r="AC3" s="325">
        <f>(AE3-AB3-AA3)/2</f>
        <v>758.04343235381589</v>
      </c>
      <c r="AD3" s="325">
        <f>AE3-AC3-AB3-AA3</f>
        <v>758.04343235381555</v>
      </c>
      <c r="AE3" s="199">
        <v>3032.1737294152631</v>
      </c>
      <c r="AF3" s="325">
        <f>AJ3/4</f>
        <v>1112.5198062702968</v>
      </c>
      <c r="AG3" s="325">
        <f>(AJ3-AF3)/3</f>
        <v>1112.5198062702968</v>
      </c>
      <c r="AH3" s="325">
        <f>(AJ3-AG3-AF3)/2</f>
        <v>1112.5198062702971</v>
      </c>
      <c r="AI3" s="325">
        <f>AJ3-AH3-AG3-AF3</f>
        <v>1112.5198062702964</v>
      </c>
      <c r="AJ3" s="199">
        <v>4450.0792250811874</v>
      </c>
      <c r="AK3" s="325">
        <f>AO3/4</f>
        <v>1390.8424778043118</v>
      </c>
      <c r="AL3" s="325">
        <f>(AO3-AK3)/3</f>
        <v>1390.8424778043118</v>
      </c>
      <c r="AM3" s="325">
        <f>(AO3-AL3-AK3)/2</f>
        <v>1390.8424778043118</v>
      </c>
      <c r="AN3" s="325">
        <f>AO3-AM3-AL3-AK3</f>
        <v>1390.8424778043118</v>
      </c>
      <c r="AO3" s="199">
        <v>5563.3699112172471</v>
      </c>
      <c r="AP3" s="325">
        <f>AT3/4</f>
        <v>1635.301623235184</v>
      </c>
      <c r="AQ3" s="325">
        <f>(AT3-AP3)/3</f>
        <v>1635.301623235184</v>
      </c>
      <c r="AR3" s="325">
        <f>(AT3-AQ3-AP3)/2</f>
        <v>1635.3016232351843</v>
      </c>
      <c r="AS3" s="325">
        <f>AT3-AR3-AQ3-AP3</f>
        <v>1635.3016232351836</v>
      </c>
      <c r="AT3" s="199">
        <v>6541.2064929407361</v>
      </c>
      <c r="AU3" s="325">
        <f>AY3/4</f>
        <v>1848.4091265735046</v>
      </c>
      <c r="AV3" s="325">
        <f>(AY3-AU3)/3</f>
        <v>1848.4091265735049</v>
      </c>
      <c r="AW3" s="325">
        <f>(AY3-AV3-AU3)/2</f>
        <v>1848.4091265735044</v>
      </c>
      <c r="AX3" s="325">
        <f>AY3-AW3-AV3-AU3</f>
        <v>1848.4091265735046</v>
      </c>
      <c r="AY3" s="183">
        <v>7393.6365062940185</v>
      </c>
      <c r="AZ3" s="325">
        <f>BD3/4</f>
        <v>2125.7788007817903</v>
      </c>
      <c r="BA3" s="325">
        <f>(BD3-AZ3)/3</f>
        <v>2125.7788007817903</v>
      </c>
      <c r="BB3" s="325">
        <f>(BD3-BA3-AZ3)/2</f>
        <v>2125.7788007817899</v>
      </c>
      <c r="BC3" s="325">
        <f>BD3-BB3-BA3-AZ3</f>
        <v>2125.7788007817912</v>
      </c>
      <c r="BD3" s="183">
        <v>8503.1152031271613</v>
      </c>
      <c r="BE3" s="325">
        <f>BI3/4</f>
        <v>2209.6431445519124</v>
      </c>
      <c r="BF3" s="325">
        <f>(BI3-BE3)/3</f>
        <v>2209.6431445519124</v>
      </c>
      <c r="BG3" s="325">
        <f>BB3*(1+BG4)</f>
        <v>2209.643144551912</v>
      </c>
      <c r="BH3" s="325">
        <f>BI3-BG3-BF3-BE3</f>
        <v>2209.6431445519133</v>
      </c>
      <c r="BI3" s="552">
        <v>8838.5725782076497</v>
      </c>
      <c r="BJ3" s="324"/>
      <c r="BL3" s="112"/>
    </row>
    <row r="4" spans="1:68" hidden="1" outlineLevel="1">
      <c r="A4" s="3" t="s">
        <v>4</v>
      </c>
      <c r="B4" s="322"/>
      <c r="C4" s="322"/>
      <c r="D4" s="322"/>
      <c r="E4" s="322"/>
      <c r="F4" s="323"/>
      <c r="G4" s="322"/>
      <c r="H4" s="322"/>
      <c r="I4" s="322"/>
      <c r="J4" s="322"/>
      <c r="K4" s="323"/>
      <c r="L4" s="322"/>
      <c r="M4" s="322"/>
      <c r="N4" s="322"/>
      <c r="O4" s="322"/>
      <c r="P4" s="323"/>
      <c r="Q4" s="322"/>
      <c r="R4" s="322"/>
      <c r="S4" s="322"/>
      <c r="T4" s="322"/>
      <c r="U4" s="323"/>
      <c r="V4" s="322"/>
      <c r="W4" s="322"/>
      <c r="X4" s="322"/>
      <c r="Y4" s="322"/>
      <c r="Z4" s="323"/>
      <c r="AA4" s="108">
        <f t="shared" ref="AA4:AH4" si="0">AA3/V3-1</f>
        <v>-0.40596231493943469</v>
      </c>
      <c r="AB4" s="108">
        <f t="shared" si="0"/>
        <v>-0.40596231493943469</v>
      </c>
      <c r="AC4" s="108">
        <f t="shared" si="0"/>
        <v>-0.40596231493943458</v>
      </c>
      <c r="AD4" s="108">
        <f t="shared" si="0"/>
        <v>-0.4059623149394348</v>
      </c>
      <c r="AE4" s="115">
        <f t="shared" si="0"/>
        <v>-0.40596231493943469</v>
      </c>
      <c r="AF4" s="108">
        <f t="shared" si="0"/>
        <v>0.46762013729977103</v>
      </c>
      <c r="AG4" s="108">
        <f t="shared" si="0"/>
        <v>0.46762013729977103</v>
      </c>
      <c r="AH4" s="108">
        <f t="shared" si="0"/>
        <v>0.46762013729977125</v>
      </c>
      <c r="AI4" s="108">
        <f t="shared" ref="AI4" si="1">AI3/AD3-1</f>
        <v>0.46762013729977103</v>
      </c>
      <c r="AJ4" s="115">
        <f t="shared" ref="AJ4:AM4" si="2">AJ3/AE3-1</f>
        <v>0.46762013729977103</v>
      </c>
      <c r="AK4" s="108">
        <f t="shared" si="2"/>
        <v>0.25017322834645683</v>
      </c>
      <c r="AL4" s="108">
        <f t="shared" si="2"/>
        <v>0.25017322834645683</v>
      </c>
      <c r="AM4" s="108">
        <f t="shared" si="2"/>
        <v>0.25017322834645661</v>
      </c>
      <c r="AN4" s="108">
        <f t="shared" ref="AN4" si="3">AN3/AI3-1</f>
        <v>0.2501732283464575</v>
      </c>
      <c r="AO4" s="115">
        <f t="shared" ref="AO4:AW4" si="4">AO3/AJ3-1</f>
        <v>0.25017322834645683</v>
      </c>
      <c r="AP4" s="108">
        <f t="shared" si="4"/>
        <v>0.17576335877862581</v>
      </c>
      <c r="AQ4" s="108">
        <f t="shared" si="4"/>
        <v>0.17576335877862581</v>
      </c>
      <c r="AR4" s="108">
        <f t="shared" si="4"/>
        <v>0.17576335877862603</v>
      </c>
      <c r="AS4" s="108">
        <f t="shared" ref="AS4" si="5">AS3/AN3-1</f>
        <v>0.17576335877862559</v>
      </c>
      <c r="AT4" s="115">
        <f t="shared" si="4"/>
        <v>0.17576335877862581</v>
      </c>
      <c r="AU4" s="108">
        <f t="shared" si="4"/>
        <v>0.13031693989071047</v>
      </c>
      <c r="AV4" s="108">
        <f t="shared" si="4"/>
        <v>0.13031693989071047</v>
      </c>
      <c r="AW4" s="108">
        <f t="shared" si="4"/>
        <v>0.13031693989071003</v>
      </c>
      <c r="AX4" s="108">
        <f t="shared" ref="AX4:BB4" si="6">AX3/AS3-1</f>
        <v>0.13031693989071069</v>
      </c>
      <c r="AY4" s="115">
        <f t="shared" si="6"/>
        <v>0.13031693989071047</v>
      </c>
      <c r="AZ4" s="108">
        <f t="shared" si="6"/>
        <v>0.15005859374999986</v>
      </c>
      <c r="BA4" s="108">
        <f t="shared" si="6"/>
        <v>0.15005859374999986</v>
      </c>
      <c r="BB4" s="108">
        <f t="shared" si="6"/>
        <v>0.15005859374999986</v>
      </c>
      <c r="BC4" s="108">
        <f t="shared" ref="BC4" si="7">BC3/AX3-1</f>
        <v>0.1500585937500003</v>
      </c>
      <c r="BD4" s="115">
        <f t="shared" ref="BD4:BF4" si="8">BD3/AY3-1</f>
        <v>0.15005859374999986</v>
      </c>
      <c r="BE4" s="108">
        <f t="shared" si="8"/>
        <v>3.9451114922812947E-2</v>
      </c>
      <c r="BF4" s="108">
        <f t="shared" si="8"/>
        <v>3.9451114922812947E-2</v>
      </c>
      <c r="BG4" s="193">
        <v>3.9451114922812947E-2</v>
      </c>
      <c r="BH4" s="108">
        <f t="shared" ref="BH4" si="9">BH3/BC3-1</f>
        <v>3.9451114922812947E-2</v>
      </c>
      <c r="BI4" s="115">
        <f t="shared" ref="BI4" si="10">BI3/BD3-1</f>
        <v>3.9451114922812947E-2</v>
      </c>
      <c r="BJ4" s="324"/>
      <c r="BL4" s="488"/>
      <c r="BO4" s="322"/>
      <c r="BP4" s="88"/>
    </row>
    <row r="5" spans="1:68" hidden="1" outlineLevel="1">
      <c r="A5" s="187"/>
      <c r="B5" s="322"/>
      <c r="C5" s="322"/>
      <c r="D5" s="322"/>
      <c r="E5" s="322"/>
      <c r="F5" s="323"/>
      <c r="G5" s="322"/>
      <c r="H5" s="322"/>
      <c r="I5" s="322"/>
      <c r="J5" s="322"/>
      <c r="K5" s="323"/>
      <c r="L5" s="322"/>
      <c r="M5" s="322"/>
      <c r="N5" s="322"/>
      <c r="O5" s="322"/>
      <c r="P5" s="323"/>
      <c r="Q5" s="322"/>
      <c r="R5" s="322"/>
      <c r="S5" s="322"/>
      <c r="T5" s="322"/>
      <c r="U5" s="323"/>
      <c r="V5" s="322"/>
      <c r="W5" s="322"/>
      <c r="X5" s="322"/>
      <c r="Y5" s="322"/>
      <c r="Z5" s="323"/>
      <c r="AA5" s="322"/>
      <c r="AB5" s="322"/>
      <c r="AC5" s="322"/>
      <c r="AD5" s="322"/>
      <c r="AE5" s="323"/>
      <c r="AF5" s="322"/>
      <c r="AG5" s="322"/>
      <c r="AH5" s="322"/>
      <c r="AI5" s="322"/>
      <c r="AJ5" s="323"/>
      <c r="AK5" s="322"/>
      <c r="AL5" s="322"/>
      <c r="AM5" s="322"/>
      <c r="AN5" s="322"/>
      <c r="AO5" s="323"/>
      <c r="AP5" s="322"/>
      <c r="AQ5" s="322"/>
      <c r="AR5" s="322"/>
      <c r="AS5" s="322"/>
      <c r="AT5" s="323"/>
      <c r="AU5" s="322"/>
      <c r="AV5" s="322"/>
      <c r="AW5" s="322"/>
      <c r="AX5" s="322"/>
      <c r="AY5" s="323"/>
      <c r="AZ5" s="322"/>
      <c r="BA5" s="322"/>
      <c r="BB5" s="322"/>
      <c r="BC5" s="322"/>
      <c r="BD5" s="323"/>
      <c r="BE5" s="322"/>
      <c r="BF5" s="322"/>
      <c r="BH5" s="322"/>
      <c r="BI5" s="323"/>
      <c r="BJ5" s="324"/>
    </row>
    <row r="6" spans="1:68" hidden="1" outlineLevel="1">
      <c r="A6" s="187" t="s">
        <v>382</v>
      </c>
      <c r="B6" s="322"/>
      <c r="C6" s="322"/>
      <c r="D6" s="322"/>
      <c r="E6" s="322"/>
      <c r="F6" s="323"/>
      <c r="G6" s="322"/>
      <c r="H6" s="322"/>
      <c r="I6" s="322"/>
      <c r="J6" s="322"/>
      <c r="K6" s="323"/>
      <c r="L6" s="322"/>
      <c r="M6" s="322"/>
      <c r="N6" s="322"/>
      <c r="O6" s="322"/>
      <c r="P6" s="323"/>
      <c r="Q6" s="322"/>
      <c r="R6" s="322"/>
      <c r="S6" s="322"/>
      <c r="T6" s="322"/>
      <c r="U6" s="323"/>
      <c r="V6" s="342">
        <v>0</v>
      </c>
      <c r="W6" s="342">
        <v>0</v>
      </c>
      <c r="X6" s="342">
        <v>0</v>
      </c>
      <c r="Y6" s="342">
        <v>0</v>
      </c>
      <c r="Z6" s="327">
        <f>SUM(V6:Y6)</f>
        <v>0</v>
      </c>
      <c r="AA6" s="342">
        <v>0</v>
      </c>
      <c r="AB6" s="342">
        <v>0</v>
      </c>
      <c r="AC6" s="342">
        <v>0</v>
      </c>
      <c r="AD6" s="342">
        <v>0</v>
      </c>
      <c r="AE6" s="327">
        <f>SUM(AA6:AD6)</f>
        <v>0</v>
      </c>
      <c r="AF6" s="342">
        <v>0</v>
      </c>
      <c r="AG6" s="342">
        <v>0</v>
      </c>
      <c r="AH6" s="342">
        <v>0</v>
      </c>
      <c r="AI6" s="342">
        <v>0</v>
      </c>
      <c r="AJ6" s="327">
        <f>SUM(AF6:AI6)</f>
        <v>0</v>
      </c>
      <c r="AK6" s="342">
        <v>0</v>
      </c>
      <c r="AL6" s="342">
        <v>0</v>
      </c>
      <c r="AM6" s="342">
        <v>0</v>
      </c>
      <c r="AN6" s="342">
        <v>0</v>
      </c>
      <c r="AO6" s="327">
        <f>SUM(AK6:AN6)</f>
        <v>0</v>
      </c>
      <c r="AP6" s="342">
        <v>0</v>
      </c>
      <c r="AQ6" s="342">
        <v>0</v>
      </c>
      <c r="AR6" s="342">
        <v>0</v>
      </c>
      <c r="AS6" s="342">
        <v>0</v>
      </c>
      <c r="AT6" s="327">
        <f>SUM(AP6:AS6)</f>
        <v>0</v>
      </c>
      <c r="AU6" s="342"/>
      <c r="AV6" s="342">
        <v>0</v>
      </c>
      <c r="AW6" s="342">
        <v>0</v>
      </c>
      <c r="AX6" s="342">
        <v>0</v>
      </c>
      <c r="AY6" s="327">
        <f>SUM(AU6:AX6)</f>
        <v>0</v>
      </c>
      <c r="AZ6" s="342"/>
      <c r="BA6" s="342">
        <v>0</v>
      </c>
      <c r="BB6" s="342">
        <v>0</v>
      </c>
      <c r="BC6" s="342">
        <v>0</v>
      </c>
      <c r="BD6" s="327">
        <f>SUM(AZ6:BC6)</f>
        <v>0</v>
      </c>
      <c r="BE6" s="342"/>
      <c r="BF6" s="342">
        <v>0</v>
      </c>
      <c r="BG6" s="342">
        <v>0</v>
      </c>
      <c r="BH6" s="342">
        <v>0</v>
      </c>
      <c r="BI6" s="327">
        <f>SUM(BE6:BH6)</f>
        <v>0</v>
      </c>
      <c r="BJ6" s="334"/>
      <c r="BK6" s="334"/>
      <c r="BL6" s="112"/>
    </row>
    <row r="7" spans="1:68" hidden="1" outlineLevel="1">
      <c r="A7" s="3" t="s">
        <v>4</v>
      </c>
      <c r="B7" s="322"/>
      <c r="C7" s="322"/>
      <c r="D7" s="322"/>
      <c r="E7" s="322"/>
      <c r="F7" s="323"/>
      <c r="G7" s="322"/>
      <c r="H7" s="322"/>
      <c r="I7" s="322"/>
      <c r="J7" s="322"/>
      <c r="K7" s="323"/>
      <c r="L7" s="322"/>
      <c r="M7" s="322"/>
      <c r="N7" s="322"/>
      <c r="O7" s="322"/>
      <c r="P7" s="323"/>
      <c r="Q7" s="322"/>
      <c r="R7" s="322"/>
      <c r="S7" s="322"/>
      <c r="T7" s="322"/>
      <c r="U7" s="323"/>
      <c r="V7" s="322"/>
      <c r="W7" s="322"/>
      <c r="X7" s="322"/>
      <c r="Y7" s="322"/>
      <c r="Z7" s="323"/>
      <c r="AA7" s="108" t="str">
        <f t="shared" ref="AA7:AH7" si="11">IFERROR(AA6/V6-1,"NM")</f>
        <v>NM</v>
      </c>
      <c r="AB7" s="108" t="str">
        <f t="shared" si="11"/>
        <v>NM</v>
      </c>
      <c r="AC7" s="108" t="str">
        <f t="shared" si="11"/>
        <v>NM</v>
      </c>
      <c r="AD7" s="108" t="str">
        <f t="shared" si="11"/>
        <v>NM</v>
      </c>
      <c r="AE7" s="102" t="str">
        <f t="shared" si="11"/>
        <v>NM</v>
      </c>
      <c r="AF7" s="108" t="str">
        <f t="shared" si="11"/>
        <v>NM</v>
      </c>
      <c r="AG7" s="108" t="str">
        <f t="shared" si="11"/>
        <v>NM</v>
      </c>
      <c r="AH7" s="108" t="str">
        <f t="shared" si="11"/>
        <v>NM</v>
      </c>
      <c r="AI7" s="108" t="str">
        <f t="shared" ref="AI7" si="12">IFERROR(AI6/AD6-1,"NM")</f>
        <v>NM</v>
      </c>
      <c r="AJ7" s="102" t="str">
        <f t="shared" ref="AJ7:AM7" si="13">IFERROR(AJ6/AE6-1,"NM")</f>
        <v>NM</v>
      </c>
      <c r="AK7" s="108" t="str">
        <f t="shared" si="13"/>
        <v>NM</v>
      </c>
      <c r="AL7" s="108" t="str">
        <f t="shared" si="13"/>
        <v>NM</v>
      </c>
      <c r="AM7" s="108" t="str">
        <f t="shared" si="13"/>
        <v>NM</v>
      </c>
      <c r="AN7" s="108" t="str">
        <f t="shared" ref="AN7" si="14">IFERROR(AN6/AI6-1,"NM")</f>
        <v>NM</v>
      </c>
      <c r="AO7" s="102" t="str">
        <f t="shared" ref="AO7:AR7" si="15">IFERROR(AO6/AJ6-1,"NM")</f>
        <v>NM</v>
      </c>
      <c r="AP7" s="108" t="str">
        <f t="shared" si="15"/>
        <v>NM</v>
      </c>
      <c r="AQ7" s="108" t="str">
        <f t="shared" si="15"/>
        <v>NM</v>
      </c>
      <c r="AR7" s="108" t="str">
        <f t="shared" si="15"/>
        <v>NM</v>
      </c>
      <c r="AS7" s="108" t="str">
        <f t="shared" ref="AS7" si="16">IFERROR(AS6/AN6-1,"NM")</f>
        <v>NM</v>
      </c>
      <c r="AT7" s="102" t="str">
        <f t="shared" ref="AT7:AW7" si="17">IFERROR(AT6/AO6-1,"NM")</f>
        <v>NM</v>
      </c>
      <c r="AU7" s="108" t="str">
        <f t="shared" si="17"/>
        <v>NM</v>
      </c>
      <c r="AV7" s="108" t="str">
        <f t="shared" si="17"/>
        <v>NM</v>
      </c>
      <c r="AW7" s="108" t="str">
        <f t="shared" si="17"/>
        <v>NM</v>
      </c>
      <c r="AX7" s="108" t="str">
        <f t="shared" ref="AX7:BB7" si="18">IFERROR(AX6/AS6-1,"NM")</f>
        <v>NM</v>
      </c>
      <c r="AY7" s="102" t="str">
        <f t="shared" si="18"/>
        <v>NM</v>
      </c>
      <c r="AZ7" s="108" t="str">
        <f t="shared" si="18"/>
        <v>NM</v>
      </c>
      <c r="BA7" s="108" t="str">
        <f t="shared" si="18"/>
        <v>NM</v>
      </c>
      <c r="BB7" s="108" t="str">
        <f t="shared" si="18"/>
        <v>NM</v>
      </c>
      <c r="BC7" s="108" t="str">
        <f t="shared" ref="BC7" si="19">IFERROR(BC6/AX6-1,"NM")</f>
        <v>NM</v>
      </c>
      <c r="BD7" s="102" t="str">
        <f t="shared" ref="BD7:BG7" si="20">IFERROR(BD6/AY6-1,"NM")</f>
        <v>NM</v>
      </c>
      <c r="BE7" s="108" t="str">
        <f t="shared" si="20"/>
        <v>NM</v>
      </c>
      <c r="BF7" s="108" t="str">
        <f t="shared" si="20"/>
        <v>NM</v>
      </c>
      <c r="BG7" s="108" t="str">
        <f t="shared" si="20"/>
        <v>NM</v>
      </c>
      <c r="BH7" s="108" t="str">
        <f t="shared" ref="BH7" si="21">IFERROR(BH6/BC6-1,"NM")</f>
        <v>NM</v>
      </c>
      <c r="BI7" s="102" t="str">
        <f t="shared" ref="BI7" si="22">IFERROR(BI6/BD6-1,"NM")</f>
        <v>NM</v>
      </c>
      <c r="BJ7" s="324"/>
      <c r="BL7" s="488"/>
    </row>
    <row r="8" spans="1:68" hidden="1" outlineLevel="1">
      <c r="A8" s="187"/>
      <c r="B8" s="322"/>
      <c r="C8" s="322"/>
      <c r="D8" s="322"/>
      <c r="E8" s="322"/>
      <c r="F8" s="323"/>
      <c r="G8" s="322"/>
      <c r="H8" s="322"/>
      <c r="I8" s="322"/>
      <c r="J8" s="322"/>
      <c r="K8" s="323"/>
      <c r="L8" s="322"/>
      <c r="M8" s="322"/>
      <c r="N8" s="322"/>
      <c r="O8" s="322"/>
      <c r="P8" s="323"/>
      <c r="Q8" s="322"/>
      <c r="R8" s="322"/>
      <c r="S8" s="322"/>
      <c r="T8" s="322"/>
      <c r="U8" s="323"/>
      <c r="V8" s="322"/>
      <c r="W8" s="322"/>
      <c r="X8" s="322"/>
      <c r="Y8" s="322"/>
      <c r="Z8" s="323"/>
      <c r="AA8" s="322"/>
      <c r="AB8" s="322"/>
      <c r="AC8" s="322"/>
      <c r="AD8" s="322"/>
      <c r="AE8" s="323"/>
      <c r="AF8" s="322"/>
      <c r="AG8" s="322"/>
      <c r="AH8" s="322"/>
      <c r="AI8" s="322"/>
      <c r="AJ8" s="323"/>
      <c r="AK8" s="322"/>
      <c r="AL8" s="322"/>
      <c r="AM8" s="322"/>
      <c r="AN8" s="322"/>
      <c r="AO8" s="323"/>
      <c r="AP8" s="322"/>
      <c r="AQ8" s="322"/>
      <c r="AR8" s="322"/>
      <c r="AS8" s="322"/>
      <c r="AT8" s="323"/>
      <c r="AU8" s="322"/>
      <c r="AV8" s="322"/>
      <c r="AW8" s="322"/>
      <c r="AX8" s="322"/>
      <c r="AY8" s="323"/>
      <c r="AZ8" s="322"/>
      <c r="BA8" s="322"/>
      <c r="BB8" s="322"/>
      <c r="BC8" s="322"/>
      <c r="BD8" s="323"/>
      <c r="BE8" s="322"/>
      <c r="BF8" s="322"/>
      <c r="BG8" s="322"/>
      <c r="BH8" s="322"/>
      <c r="BI8" s="323"/>
      <c r="BJ8" s="324"/>
    </row>
    <row r="9" spans="1:68" hidden="1" outlineLevel="1">
      <c r="A9" s="187" t="s">
        <v>383</v>
      </c>
      <c r="B9" s="322"/>
      <c r="C9" s="322"/>
      <c r="D9" s="322"/>
      <c r="E9" s="322"/>
      <c r="F9" s="323"/>
      <c r="G9" s="322"/>
      <c r="H9" s="322"/>
      <c r="I9" s="322"/>
      <c r="J9" s="322"/>
      <c r="K9" s="323"/>
      <c r="L9" s="322"/>
      <c r="M9" s="322"/>
      <c r="N9" s="322"/>
      <c r="O9" s="322"/>
      <c r="P9" s="323"/>
      <c r="Q9" s="322"/>
      <c r="R9" s="322"/>
      <c r="S9" s="322"/>
      <c r="T9" s="322"/>
      <c r="U9" s="323"/>
      <c r="V9" s="325">
        <f>V12-V3-V6</f>
        <v>1699.9135640417676</v>
      </c>
      <c r="W9" s="325">
        <f>W12-W3-W6</f>
        <v>2033.9135640417676</v>
      </c>
      <c r="X9" s="325">
        <f>X12-X3-X6</f>
        <v>2118.0443362575224</v>
      </c>
      <c r="Y9" s="325">
        <f>Y12-Y3-Y6</f>
        <v>2349.243404942039</v>
      </c>
      <c r="Z9" s="327">
        <f>SUM(V9:Y9)</f>
        <v>8201.1148692830975</v>
      </c>
      <c r="AA9" s="325">
        <f>AA12-AA3-AA6</f>
        <v>2496.9565676461843</v>
      </c>
      <c r="AB9" s="325">
        <f>AB12-AB3-AB6</f>
        <v>1129.9565676461843</v>
      </c>
      <c r="AC9" s="325">
        <f>AC12-AC3-AC6</f>
        <v>1383.9565676461841</v>
      </c>
      <c r="AD9" s="325">
        <f>AD12-AD3-AD6</f>
        <v>2142.9565676461843</v>
      </c>
      <c r="AE9" s="327">
        <f>SUM(AA9:AD9)</f>
        <v>7153.8262705847374</v>
      </c>
      <c r="AF9" s="325">
        <f>AF12-AF3-AF6</f>
        <v>1310.4801937297032</v>
      </c>
      <c r="AG9" s="325">
        <f>AG12-AG3-AG6</f>
        <v>1469.4801937297032</v>
      </c>
      <c r="AH9" s="325">
        <f>AH12-AH3-AH6</f>
        <v>1764.4801937297029</v>
      </c>
      <c r="AI9" s="325">
        <f>AI12-AI3-AI6</f>
        <v>2231.4801937297034</v>
      </c>
      <c r="AJ9" s="327">
        <f>SUM(AF9:AI9)</f>
        <v>6775.9207749188126</v>
      </c>
      <c r="AK9" s="325">
        <f>AK12-AK3-AK6</f>
        <v>1242.1575221956882</v>
      </c>
      <c r="AL9" s="325">
        <f>AL12-AL3-AL6</f>
        <v>1591.1575221956882</v>
      </c>
      <c r="AM9" s="325">
        <f>AM12-AM3-AM6</f>
        <v>1792.1575221956882</v>
      </c>
      <c r="AN9" s="325">
        <f>AN12-AN3-AN6</f>
        <v>2222.1575221956882</v>
      </c>
      <c r="AO9" s="327">
        <f>SUM(AK9:AN9)</f>
        <v>6847.6300887827529</v>
      </c>
      <c r="AP9" s="325">
        <f>AP12-AP3-AP6</f>
        <v>1416.698376764816</v>
      </c>
      <c r="AQ9" s="325">
        <f>AQ12-AQ3-AQ6</f>
        <v>1563.698376764816</v>
      </c>
      <c r="AR9" s="325">
        <f>AR12-AR3-AR6</f>
        <v>-3121.3016232351843</v>
      </c>
      <c r="AS9" s="325">
        <f>AS12-AS3-AS6</f>
        <v>2178.6983767648162</v>
      </c>
      <c r="AT9" s="327">
        <f>SUM(AP9:AS9)</f>
        <v>2037.7935070592639</v>
      </c>
      <c r="AU9" s="325">
        <f>AU12-AU3-AU6</f>
        <v>2108.5908734264954</v>
      </c>
      <c r="AV9" s="325">
        <f>AV12-AV3-AV6</f>
        <v>2000.5908734264951</v>
      </c>
      <c r="AW9" s="325">
        <f>AW12-AW3-AW6</f>
        <v>2270.5908734264958</v>
      </c>
      <c r="AX9" s="325">
        <f>AX12-AX3-AX6</f>
        <v>2542.5908734264954</v>
      </c>
      <c r="AY9" s="327">
        <f>SUM(AU9:AX9)</f>
        <v>8922.3634937059815</v>
      </c>
      <c r="AZ9" s="325">
        <f>AZ12-AZ3-AZ6</f>
        <v>1906.2211992182097</v>
      </c>
      <c r="BA9" s="325">
        <f>BA12-BA3-BA6</f>
        <v>1997.2211992182097</v>
      </c>
      <c r="BB9" s="325">
        <f>BB12-BB3-BB6</f>
        <v>2641.2211992182101</v>
      </c>
      <c r="BC9" s="325">
        <f t="shared" ref="BC9" si="23">BC12-BC3-BC6</f>
        <v>3419.2211992182088</v>
      </c>
      <c r="BD9" s="327">
        <f>SUM(AZ9:BC9)</f>
        <v>9963.8847968728387</v>
      </c>
      <c r="BE9" s="325">
        <f>BE12-BE3-BE6</f>
        <v>2078.3568554480876</v>
      </c>
      <c r="BF9" s="325">
        <f>BF12-BF3-BF6</f>
        <v>2450.3568554480876</v>
      </c>
      <c r="BG9" s="325">
        <f t="shared" ref="BG9" si="24">BG12-BG3-BG6</f>
        <v>2605.0268554480881</v>
      </c>
      <c r="BH9" s="325">
        <f t="shared" ref="BH9" si="25">BH12-BH3-BH6</f>
        <v>2697.8238554480854</v>
      </c>
      <c r="BI9" s="327">
        <f>SUM(BE9:BH9)</f>
        <v>9831.5644217923491</v>
      </c>
      <c r="BJ9" s="324"/>
      <c r="BL9" s="112"/>
    </row>
    <row r="10" spans="1:68" hidden="1" outlineLevel="1">
      <c r="A10" s="3" t="s">
        <v>4</v>
      </c>
      <c r="B10" s="322"/>
      <c r="C10" s="322"/>
      <c r="D10" s="322"/>
      <c r="E10" s="322"/>
      <c r="F10" s="323"/>
      <c r="G10" s="322"/>
      <c r="H10" s="322"/>
      <c r="I10" s="322"/>
      <c r="J10" s="322"/>
      <c r="K10" s="323"/>
      <c r="L10" s="322"/>
      <c r="M10" s="322"/>
      <c r="N10" s="322"/>
      <c r="O10" s="322"/>
      <c r="P10" s="323"/>
      <c r="Q10" s="322"/>
      <c r="R10" s="322"/>
      <c r="S10" s="322"/>
      <c r="T10" s="322"/>
      <c r="U10" s="323"/>
      <c r="V10" s="322"/>
      <c r="W10" s="322"/>
      <c r="X10" s="322"/>
      <c r="Y10" s="322"/>
      <c r="Z10" s="323"/>
      <c r="AA10" s="108">
        <f t="shared" ref="AA10:AH10" si="26">AA9/V9-1</f>
        <v>0.46887266533090211</v>
      </c>
      <c r="AB10" s="108">
        <f t="shared" si="26"/>
        <v>-0.44444218888006781</v>
      </c>
      <c r="AC10" s="108">
        <f t="shared" si="26"/>
        <v>-0.34658753645753915</v>
      </c>
      <c r="AD10" s="108">
        <f t="shared" si="26"/>
        <v>-8.7809903759608177E-2</v>
      </c>
      <c r="AE10" s="115">
        <f t="shared" si="26"/>
        <v>-0.12770075963951344</v>
      </c>
      <c r="AF10" s="108">
        <f t="shared" si="26"/>
        <v>-0.47516900745892487</v>
      </c>
      <c r="AG10" s="108">
        <f t="shared" si="26"/>
        <v>0.30047493488248089</v>
      </c>
      <c r="AH10" s="108">
        <f t="shared" si="26"/>
        <v>0.27495344505695618</v>
      </c>
      <c r="AI10" s="108">
        <f t="shared" ref="AI10" si="27">AI9/AD9-1</f>
        <v>4.1309108835907438E-2</v>
      </c>
      <c r="AJ10" s="115">
        <f t="shared" ref="AJ10:AM10" si="28">AJ9/AE9-1</f>
        <v>-5.2825646216739242E-2</v>
      </c>
      <c r="AK10" s="108">
        <f t="shared" si="28"/>
        <v>-5.2135600263873205E-2</v>
      </c>
      <c r="AL10" s="108">
        <f t="shared" si="28"/>
        <v>8.2802972768999838E-2</v>
      </c>
      <c r="AM10" s="108">
        <f t="shared" si="28"/>
        <v>1.5685825527733455E-2</v>
      </c>
      <c r="AN10" s="108">
        <f t="shared" ref="AN10" si="29">AN9/AI9-1</f>
        <v>-4.1777971232777045E-3</v>
      </c>
      <c r="AO10" s="115">
        <f t="shared" ref="AO10:AR10" si="30">AO9/AJ9-1</f>
        <v>1.0582962263870233E-2</v>
      </c>
      <c r="AP10" s="108">
        <f t="shared" si="30"/>
        <v>0.14051426767565056</v>
      </c>
      <c r="AQ10" s="108">
        <f t="shared" si="30"/>
        <v>-1.7257339419783246E-2</v>
      </c>
      <c r="AR10" s="108">
        <f t="shared" si="30"/>
        <v>-2.7416446850113241</v>
      </c>
      <c r="AS10" s="108">
        <f t="shared" ref="AS10" si="31">AS9/AN9-1</f>
        <v>-1.9557184851562881E-2</v>
      </c>
      <c r="AT10" s="115">
        <f t="shared" ref="AT10:AW10" si="32">AT9/AO9-1</f>
        <v>-0.70240893847385011</v>
      </c>
      <c r="AU10" s="108">
        <f t="shared" si="32"/>
        <v>0.48838377173953629</v>
      </c>
      <c r="AV10" s="108">
        <f t="shared" si="32"/>
        <v>0.27939691129281563</v>
      </c>
      <c r="AW10" s="108">
        <f t="shared" si="32"/>
        <v>-1.7274500024361827</v>
      </c>
      <c r="AX10" s="108">
        <f t="shared" ref="AX10" si="33">AX9/AS9-1</f>
        <v>0.16702288877730243</v>
      </c>
      <c r="AY10" s="115">
        <f t="shared" ref="AY10:BB10" si="34">AY9/AT9-1</f>
        <v>3.3784433814306478</v>
      </c>
      <c r="AZ10" s="108">
        <f t="shared" si="34"/>
        <v>-9.597389268759926E-2</v>
      </c>
      <c r="BA10" s="108">
        <f t="shared" si="34"/>
        <v>-1.6843394884202834E-3</v>
      </c>
      <c r="BB10" s="108">
        <f t="shared" si="34"/>
        <v>0.16323078284570247</v>
      </c>
      <c r="BC10" s="108">
        <f t="shared" ref="BC10" si="35">BC9/AX9-1</f>
        <v>0.34477836562448294</v>
      </c>
      <c r="BD10" s="115">
        <f t="shared" ref="BD10:BG10" si="36">BD9/AY9-1</f>
        <v>0.11673154808157804</v>
      </c>
      <c r="BE10" s="108">
        <f t="shared" si="36"/>
        <v>9.0302036458557389E-2</v>
      </c>
      <c r="BF10" s="108">
        <f t="shared" si="36"/>
        <v>0.22688305952653254</v>
      </c>
      <c r="BG10" s="108">
        <f t="shared" si="36"/>
        <v>-1.3703639733330664E-2</v>
      </c>
      <c r="BH10" s="108">
        <f t="shared" ref="BH10" si="37">BH9/BC9-1</f>
        <v>-0.21098294077466173</v>
      </c>
      <c r="BI10" s="115">
        <f t="shared" ref="BI10" si="38">BI9/BD9-1</f>
        <v>-1.3279998492356948E-2</v>
      </c>
      <c r="BJ10" s="334"/>
      <c r="BK10" s="328"/>
      <c r="BL10" s="488"/>
    </row>
    <row r="11" spans="1:68" hidden="1" outlineLevel="1">
      <c r="A11" s="6"/>
      <c r="B11" s="109"/>
      <c r="C11" s="109"/>
      <c r="D11" s="109"/>
      <c r="E11" s="109"/>
      <c r="F11" s="110"/>
      <c r="G11" s="109"/>
      <c r="H11" s="109"/>
      <c r="I11" s="109"/>
      <c r="J11" s="109"/>
      <c r="K11" s="110"/>
      <c r="L11" s="109"/>
      <c r="M11" s="109"/>
      <c r="N11" s="109"/>
      <c r="O11" s="109"/>
      <c r="P11" s="110"/>
      <c r="Q11" s="109"/>
      <c r="R11" s="109"/>
      <c r="S11" s="109"/>
      <c r="T11" s="109"/>
      <c r="U11" s="110"/>
      <c r="V11" s="109"/>
      <c r="W11" s="109"/>
      <c r="X11" s="109"/>
      <c r="Y11" s="109"/>
      <c r="Z11" s="110"/>
      <c r="AA11" s="109"/>
      <c r="AB11" s="109"/>
      <c r="AC11" s="109"/>
      <c r="AD11" s="109"/>
      <c r="AE11" s="110"/>
      <c r="AF11" s="109"/>
      <c r="AG11" s="109"/>
      <c r="AH11" s="109"/>
      <c r="AI11" s="109"/>
      <c r="AJ11" s="110"/>
      <c r="AK11" s="109"/>
      <c r="AL11" s="109"/>
      <c r="AM11" s="109"/>
      <c r="AN11" s="109"/>
      <c r="AO11" s="110"/>
      <c r="AP11" s="109"/>
      <c r="AQ11" s="109"/>
      <c r="AR11" s="109"/>
      <c r="AS11" s="109"/>
      <c r="AT11" s="110"/>
      <c r="AU11" s="109"/>
      <c r="AV11" s="109"/>
      <c r="AW11" s="109"/>
      <c r="AX11" s="109"/>
      <c r="AY11" s="110"/>
      <c r="AZ11" s="109"/>
      <c r="BA11" s="109"/>
      <c r="BB11" s="109"/>
      <c r="BC11" s="109"/>
      <c r="BD11" s="110"/>
      <c r="BE11" s="109"/>
      <c r="BF11" s="109"/>
      <c r="BG11" s="109"/>
      <c r="BH11" s="109"/>
      <c r="BI11" s="110"/>
      <c r="BJ11" s="314"/>
      <c r="BK11" s="368"/>
    </row>
    <row r="12" spans="1:68" s="4" customFormat="1" collapsed="1">
      <c r="A12" s="299" t="s">
        <v>1</v>
      </c>
      <c r="B12" s="329"/>
      <c r="C12" s="329"/>
      <c r="D12" s="329"/>
      <c r="E12" s="329"/>
      <c r="F12" s="330"/>
      <c r="G12" s="329"/>
      <c r="H12" s="329"/>
      <c r="I12" s="329"/>
      <c r="J12" s="329"/>
      <c r="K12" s="330"/>
      <c r="L12" s="329"/>
      <c r="M12" s="329"/>
      <c r="N12" s="329"/>
      <c r="O12" s="27"/>
      <c r="P12" s="330"/>
      <c r="Q12" s="329"/>
      <c r="R12" s="329"/>
      <c r="S12" s="329"/>
      <c r="T12" s="27"/>
      <c r="U12" s="330"/>
      <c r="V12" s="329">
        <f>6286-W12</f>
        <v>2976</v>
      </c>
      <c r="W12" s="329">
        <v>3310</v>
      </c>
      <c r="X12" s="27">
        <f>W12/W26*X26</f>
        <v>3394.1307722157549</v>
      </c>
      <c r="Y12" s="27">
        <f>X12/X26*Y26</f>
        <v>3625.3298409002714</v>
      </c>
      <c r="Z12" s="28">
        <f>SUM(V12:Y12)</f>
        <v>13305.460613116025</v>
      </c>
      <c r="AA12" s="329">
        <f>5143-AB12</f>
        <v>3255</v>
      </c>
      <c r="AB12" s="329">
        <v>1888</v>
      </c>
      <c r="AC12" s="84">
        <v>2142</v>
      </c>
      <c r="AD12" s="27">
        <f>AE12-AC12-AB12-AA12</f>
        <v>2901</v>
      </c>
      <c r="AE12" s="330">
        <v>10186</v>
      </c>
      <c r="AF12" s="329">
        <v>2423</v>
      </c>
      <c r="AG12" s="329">
        <v>2582</v>
      </c>
      <c r="AH12" s="84">
        <v>2877</v>
      </c>
      <c r="AI12" s="27">
        <f>AJ12-AH12-AG12-AF12</f>
        <v>3344</v>
      </c>
      <c r="AJ12" s="451">
        <v>11226</v>
      </c>
      <c r="AK12" s="329">
        <v>2633</v>
      </c>
      <c r="AL12" s="329">
        <v>2982</v>
      </c>
      <c r="AM12" s="84">
        <v>3183</v>
      </c>
      <c r="AN12" s="27">
        <f>AO12-AM12-AL12-AK12</f>
        <v>3613</v>
      </c>
      <c r="AO12" s="330">
        <v>12411</v>
      </c>
      <c r="AP12" s="329">
        <v>3052</v>
      </c>
      <c r="AQ12" s="329">
        <v>3199</v>
      </c>
      <c r="AR12" s="84">
        <v>-1486</v>
      </c>
      <c r="AS12" s="27">
        <f>AT12-SUM(AP12:AR12)</f>
        <v>3814</v>
      </c>
      <c r="AT12" s="330">
        <v>8579</v>
      </c>
      <c r="AU12" s="84">
        <v>3957</v>
      </c>
      <c r="AV12" s="329">
        <v>3849</v>
      </c>
      <c r="AW12" s="84">
        <v>4119</v>
      </c>
      <c r="AX12" s="27">
        <f>AY12-SUM(AU12:AW12)</f>
        <v>4391</v>
      </c>
      <c r="AY12" s="330">
        <v>16316</v>
      </c>
      <c r="AZ12" s="84">
        <v>4032</v>
      </c>
      <c r="BA12" s="329">
        <v>4123</v>
      </c>
      <c r="BB12" s="84">
        <v>4767</v>
      </c>
      <c r="BC12" s="27">
        <f>BD12-SUM(AZ12:BB12)</f>
        <v>5545</v>
      </c>
      <c r="BD12" s="330">
        <v>18467</v>
      </c>
      <c r="BE12" s="84">
        <v>4288</v>
      </c>
      <c r="BF12" s="329">
        <v>4660</v>
      </c>
      <c r="BG12" s="107">
        <f>(BB12+BB29)*(1+BG13)</f>
        <v>4814.67</v>
      </c>
      <c r="BH12" s="509">
        <f>BI12-SUM(BE12:BG12)</f>
        <v>4907.4669999999987</v>
      </c>
      <c r="BI12" s="28">
        <f>BD12*(1+BI13)</f>
        <v>18670.136999999999</v>
      </c>
      <c r="BJ12" s="508"/>
      <c r="BK12" s="331"/>
      <c r="BL12" s="490"/>
      <c r="BP12" s="490"/>
    </row>
    <row r="13" spans="1:68" s="4" customFormat="1">
      <c r="A13" s="11" t="s">
        <v>4</v>
      </c>
      <c r="B13" s="332"/>
      <c r="C13" s="333"/>
      <c r="D13" s="333"/>
      <c r="E13" s="333"/>
      <c r="F13" s="321"/>
      <c r="G13" s="332"/>
      <c r="H13" s="333"/>
      <c r="I13" s="333"/>
      <c r="J13" s="333"/>
      <c r="K13" s="321"/>
      <c r="L13" s="39"/>
      <c r="M13" s="39"/>
      <c r="N13" s="39"/>
      <c r="O13" s="333"/>
      <c r="P13" s="40"/>
      <c r="Q13" s="332"/>
      <c r="R13" s="333"/>
      <c r="S13" s="333"/>
      <c r="T13" s="333"/>
      <c r="U13" s="321"/>
      <c r="V13" s="332"/>
      <c r="W13" s="333"/>
      <c r="X13" s="333"/>
      <c r="Y13" s="333"/>
      <c r="Z13" s="321"/>
      <c r="AA13" s="332">
        <f t="shared" ref="AA13:AH13" si="39">AA12/V12-1</f>
        <v>9.375E-2</v>
      </c>
      <c r="AB13" s="333">
        <f t="shared" si="39"/>
        <v>-0.42960725075528705</v>
      </c>
      <c r="AC13" s="387">
        <f t="shared" si="39"/>
        <v>-0.36891058602268867</v>
      </c>
      <c r="AD13" s="397">
        <f t="shared" si="39"/>
        <v>-0.19979694888131883</v>
      </c>
      <c r="AE13" s="353">
        <f t="shared" si="39"/>
        <v>-0.23444965220076464</v>
      </c>
      <c r="AF13" s="397">
        <f t="shared" si="39"/>
        <v>-0.25560675883256534</v>
      </c>
      <c r="AG13" s="333">
        <f t="shared" si="39"/>
        <v>0.36758474576271194</v>
      </c>
      <c r="AH13" s="387">
        <f t="shared" si="39"/>
        <v>0.34313725490196068</v>
      </c>
      <c r="AI13" s="397">
        <f t="shared" ref="AI13" si="40">AI12/AD12-1</f>
        <v>0.15270596346087562</v>
      </c>
      <c r="AJ13" s="353">
        <f t="shared" ref="AJ13:AM13" si="41">AJ12/AE12-1</f>
        <v>0.10210092283526406</v>
      </c>
      <c r="AK13" s="397">
        <f t="shared" si="41"/>
        <v>8.6669418076764426E-2</v>
      </c>
      <c r="AL13" s="333">
        <f t="shared" si="41"/>
        <v>0.15491866769945783</v>
      </c>
      <c r="AM13" s="387">
        <f t="shared" si="41"/>
        <v>0.10636079249217945</v>
      </c>
      <c r="AN13" s="397">
        <f t="shared" ref="AN13" si="42">AN12/AI12-1</f>
        <v>8.0442583732057482E-2</v>
      </c>
      <c r="AO13" s="353">
        <f t="shared" ref="AO13:AW13" si="43">AO12/AJ12-1</f>
        <v>0.10555852485301975</v>
      </c>
      <c r="AP13" s="397">
        <f t="shared" si="43"/>
        <v>0.15913406760349402</v>
      </c>
      <c r="AQ13" s="333">
        <f t="shared" si="43"/>
        <v>7.2769953051643244E-2</v>
      </c>
      <c r="AR13" s="387">
        <f t="shared" si="43"/>
        <v>-1.4668551680804272</v>
      </c>
      <c r="AS13" s="387">
        <f t="shared" si="43"/>
        <v>5.5632438416828078E-2</v>
      </c>
      <c r="AT13" s="353">
        <f t="shared" si="43"/>
        <v>-0.30875835951978081</v>
      </c>
      <c r="AU13" s="397">
        <f t="shared" si="43"/>
        <v>0.29652686762778502</v>
      </c>
      <c r="AV13" s="333">
        <f t="shared" si="43"/>
        <v>0.20318849640512671</v>
      </c>
      <c r="AW13" s="387">
        <f t="shared" si="43"/>
        <v>-3.7718707940780618</v>
      </c>
      <c r="AX13" s="387">
        <f t="shared" ref="AX13" si="44">AX12/AS12-1</f>
        <v>0.15128474042999485</v>
      </c>
      <c r="AY13" s="353">
        <f t="shared" ref="AY13:BB13" si="45">AY12/AT12-1</f>
        <v>0.90185336286280449</v>
      </c>
      <c r="AZ13" s="397">
        <f t="shared" si="45"/>
        <v>1.8953752843062999E-2</v>
      </c>
      <c r="BA13" s="333">
        <f t="shared" si="45"/>
        <v>7.1187321382177204E-2</v>
      </c>
      <c r="BB13" s="387">
        <f t="shared" si="45"/>
        <v>0.15731973780043695</v>
      </c>
      <c r="BC13" s="387">
        <f t="shared" ref="BC13" si="46">BC12/AX12-1</f>
        <v>0.26281029378273746</v>
      </c>
      <c r="BD13" s="353">
        <f t="shared" ref="BD13:BF13" si="47">BD12/AY12-1</f>
        <v>0.13183378278989943</v>
      </c>
      <c r="BE13" s="397">
        <f t="shared" si="47"/>
        <v>6.3492063492063489E-2</v>
      </c>
      <c r="BF13" s="333">
        <f t="shared" si="47"/>
        <v>0.13024496725685175</v>
      </c>
      <c r="BG13" s="549">
        <v>0.01</v>
      </c>
      <c r="BH13" s="397">
        <f>BH12/BC12-1</f>
        <v>-0.11497439134355303</v>
      </c>
      <c r="BI13" s="354">
        <v>1.0999999999999999E-2</v>
      </c>
      <c r="BJ13" s="334"/>
      <c r="BK13" s="331"/>
      <c r="BL13" s="491"/>
    </row>
    <row r="14" spans="1:68" s="4" customFormat="1">
      <c r="A14" s="11"/>
      <c r="B14" s="332"/>
      <c r="C14" s="333"/>
      <c r="D14" s="333"/>
      <c r="E14" s="333"/>
      <c r="F14" s="321"/>
      <c r="G14" s="332"/>
      <c r="H14" s="333"/>
      <c r="I14" s="333"/>
      <c r="J14" s="333"/>
      <c r="K14" s="321"/>
      <c r="L14" s="39"/>
      <c r="M14" s="39"/>
      <c r="N14" s="39"/>
      <c r="O14" s="333"/>
      <c r="P14" s="40"/>
      <c r="Q14" s="332"/>
      <c r="R14" s="333"/>
      <c r="S14" s="333"/>
      <c r="T14" s="333"/>
      <c r="U14" s="321"/>
      <c r="V14" s="332"/>
      <c r="W14" s="333"/>
      <c r="X14" s="333"/>
      <c r="Y14" s="333"/>
      <c r="Z14" s="321"/>
      <c r="AA14" s="332"/>
      <c r="AB14" s="333"/>
      <c r="AC14" s="387"/>
      <c r="AD14" s="333"/>
      <c r="AE14" s="321"/>
      <c r="AF14" s="332"/>
      <c r="AG14" s="333"/>
      <c r="AH14" s="387"/>
      <c r="AI14" s="333"/>
      <c r="AJ14" s="321"/>
      <c r="AK14" s="332"/>
      <c r="AL14" s="333"/>
      <c r="AM14" s="387"/>
      <c r="AN14" s="333"/>
      <c r="AO14" s="321"/>
      <c r="AP14" s="332"/>
      <c r="AQ14" s="333"/>
      <c r="AR14" s="387"/>
      <c r="AS14" s="333"/>
      <c r="AT14" s="321"/>
      <c r="AU14" s="332"/>
      <c r="AV14" s="333"/>
      <c r="AW14" s="387"/>
      <c r="AX14" s="333"/>
      <c r="AY14" s="321"/>
      <c r="AZ14" s="332"/>
      <c r="BA14" s="333"/>
      <c r="BB14" s="387"/>
      <c r="BC14" s="333"/>
      <c r="BD14" s="321"/>
      <c r="BE14" s="332"/>
      <c r="BF14" s="333"/>
      <c r="BG14" s="387"/>
      <c r="BH14" s="333"/>
      <c r="BI14" s="321"/>
      <c r="BK14" s="331"/>
      <c r="BL14" s="491"/>
    </row>
    <row r="15" spans="1:68" s="4" customFormat="1" hidden="1" outlineLevel="1">
      <c r="A15" s="187" t="s">
        <v>381</v>
      </c>
      <c r="B15" s="332"/>
      <c r="C15" s="333"/>
      <c r="D15" s="333"/>
      <c r="E15" s="333"/>
      <c r="F15" s="321"/>
      <c r="G15" s="332"/>
      <c r="H15" s="333"/>
      <c r="I15" s="333"/>
      <c r="J15" s="333"/>
      <c r="K15" s="321"/>
      <c r="L15" s="39"/>
      <c r="M15" s="39"/>
      <c r="N15" s="39"/>
      <c r="O15" s="333"/>
      <c r="P15" s="40"/>
      <c r="Q15" s="332"/>
      <c r="R15" s="333"/>
      <c r="S15" s="333"/>
      <c r="T15" s="333"/>
      <c r="U15" s="321"/>
      <c r="V15" s="325">
        <f>Z15/4</f>
        <v>0</v>
      </c>
      <c r="W15" s="325">
        <f>(Z15-V15)/3</f>
        <v>0</v>
      </c>
      <c r="X15" s="325">
        <f>(Z15-W15-V15)/2</f>
        <v>0</v>
      </c>
      <c r="Y15" s="325">
        <f>Z15-X15-W15-V15</f>
        <v>0</v>
      </c>
      <c r="Z15" s="199">
        <v>0</v>
      </c>
      <c r="AA15" s="325">
        <f>AE15/4</f>
        <v>0</v>
      </c>
      <c r="AB15" s="325">
        <f>(AE15-AA15)/3</f>
        <v>0</v>
      </c>
      <c r="AC15" s="42">
        <f>(AF15-AB15)/3</f>
        <v>0</v>
      </c>
      <c r="AD15" s="325">
        <f>AE15-AC15-AB15-AA15</f>
        <v>0</v>
      </c>
      <c r="AE15" s="199">
        <v>0</v>
      </c>
      <c r="AF15" s="325">
        <f>AJ15/4</f>
        <v>0</v>
      </c>
      <c r="AG15" s="325">
        <f>(AJ15-AF15)/3</f>
        <v>0</v>
      </c>
      <c r="AH15" s="42">
        <f>(BJ15-AG15)/3</f>
        <v>0</v>
      </c>
      <c r="AI15" s="325">
        <f>AJ15-AH15-AG15-AF15</f>
        <v>0</v>
      </c>
      <c r="AJ15" s="199">
        <v>0</v>
      </c>
      <c r="AK15" s="325">
        <f>AO15/4</f>
        <v>0</v>
      </c>
      <c r="AL15" s="325">
        <f>(AO15-AK15)/3</f>
        <v>0</v>
      </c>
      <c r="AM15" s="42">
        <f>(BO15-AL15)/3</f>
        <v>0</v>
      </c>
      <c r="AN15" s="325">
        <f>AO15-AM15-AL15-AK15</f>
        <v>0</v>
      </c>
      <c r="AO15" s="199">
        <v>0</v>
      </c>
      <c r="AP15" s="325">
        <f>AT15/4</f>
        <v>0</v>
      </c>
      <c r="AQ15" s="325">
        <f>(AT15-AP15)/3</f>
        <v>0</v>
      </c>
      <c r="AR15" s="42">
        <f>(BT15-AQ15)/3</f>
        <v>0</v>
      </c>
      <c r="AS15" s="325">
        <f>AT15-AR15-AQ15-AP15</f>
        <v>0</v>
      </c>
      <c r="AT15" s="199">
        <v>0</v>
      </c>
      <c r="AU15" s="325">
        <f>AY15/4</f>
        <v>64.694319430072667</v>
      </c>
      <c r="AV15" s="325">
        <f>(AY15-AU15)/3</f>
        <v>64.694319430072667</v>
      </c>
      <c r="AW15" s="42">
        <f>(AY15-AV15)/2</f>
        <v>97.041479145109008</v>
      </c>
      <c r="AX15" s="42">
        <f t="shared" ref="AX15" si="48">AY15-AW15-AV15-AU15</f>
        <v>32.347159715036327</v>
      </c>
      <c r="AY15" s="183">
        <v>258.77727772029067</v>
      </c>
      <c r="AZ15" s="325">
        <f>BD15/4</f>
        <v>126.59869633472346</v>
      </c>
      <c r="BA15" s="325">
        <f>(BD15-AZ15)/3</f>
        <v>126.59869633472346</v>
      </c>
      <c r="BB15" s="42">
        <f>(BD15-BA15)/2</f>
        <v>189.89804450208518</v>
      </c>
      <c r="BC15" s="42">
        <f t="shared" ref="BC15" si="49">BD15-BB15-BA15-AZ15</f>
        <v>63.2993481673617</v>
      </c>
      <c r="BD15" s="183">
        <v>506.39478533889383</v>
      </c>
      <c r="BE15" s="325">
        <f>BI15/4</f>
        <v>305.22537303410422</v>
      </c>
      <c r="BF15" s="325">
        <f>(BI15-BE15)/3</f>
        <v>305.22537303410422</v>
      </c>
      <c r="BG15" s="42">
        <f>BI15/4</f>
        <v>305.22537303410422</v>
      </c>
      <c r="BH15" s="42">
        <f t="shared" ref="BH15" si="50">BI15-BG15-BF15-BE15</f>
        <v>305.22537303410422</v>
      </c>
      <c r="BI15" s="552">
        <v>1220.9014921364169</v>
      </c>
      <c r="BK15" s="331"/>
      <c r="BL15" s="490"/>
    </row>
    <row r="16" spans="1:68" s="4" customFormat="1" hidden="1" outlineLevel="1">
      <c r="A16" s="3" t="s">
        <v>4</v>
      </c>
      <c r="B16" s="332"/>
      <c r="C16" s="333"/>
      <c r="D16" s="333"/>
      <c r="E16" s="333"/>
      <c r="F16" s="321"/>
      <c r="G16" s="332"/>
      <c r="H16" s="333"/>
      <c r="I16" s="333"/>
      <c r="J16" s="333"/>
      <c r="K16" s="321"/>
      <c r="L16" s="39"/>
      <c r="M16" s="39"/>
      <c r="N16" s="39"/>
      <c r="O16" s="333"/>
      <c r="P16" s="40"/>
      <c r="Q16" s="332"/>
      <c r="R16" s="333"/>
      <c r="S16" s="333"/>
      <c r="T16" s="333"/>
      <c r="U16" s="321"/>
      <c r="V16" s="322"/>
      <c r="W16" s="322"/>
      <c r="X16" s="322"/>
      <c r="Y16" s="322"/>
      <c r="Z16" s="323"/>
      <c r="AA16" s="108" t="str">
        <f>IFERROR(AA15/V15-1,"NM")</f>
        <v>NM</v>
      </c>
      <c r="AB16" s="108" t="str">
        <f t="shared" ref="AB16:AH16" si="51">IFERROR(AB15/W15-1,"NM")</f>
        <v>NM</v>
      </c>
      <c r="AC16" s="32" t="str">
        <f t="shared" si="51"/>
        <v>NM</v>
      </c>
      <c r="AD16" s="108" t="str">
        <f t="shared" si="51"/>
        <v>NM</v>
      </c>
      <c r="AE16" s="102" t="str">
        <f t="shared" si="51"/>
        <v>NM</v>
      </c>
      <c r="AF16" s="108" t="str">
        <f t="shared" si="51"/>
        <v>NM</v>
      </c>
      <c r="AG16" s="108" t="str">
        <f t="shared" si="51"/>
        <v>NM</v>
      </c>
      <c r="AH16" s="32" t="str">
        <f t="shared" si="51"/>
        <v>NM</v>
      </c>
      <c r="AI16" s="108" t="str">
        <f t="shared" ref="AI16" si="52">IFERROR(AI15/AD15-1,"NM")</f>
        <v>NM</v>
      </c>
      <c r="AJ16" s="102" t="str">
        <f t="shared" ref="AJ16:AM16" si="53">IFERROR(AJ15/AE15-1,"NM")</f>
        <v>NM</v>
      </c>
      <c r="AK16" s="108" t="str">
        <f t="shared" si="53"/>
        <v>NM</v>
      </c>
      <c r="AL16" s="108" t="str">
        <f t="shared" si="53"/>
        <v>NM</v>
      </c>
      <c r="AM16" s="32" t="str">
        <f t="shared" si="53"/>
        <v>NM</v>
      </c>
      <c r="AN16" s="108" t="str">
        <f t="shared" ref="AN16" si="54">IFERROR(AN15/AI15-1,"NM")</f>
        <v>NM</v>
      </c>
      <c r="AO16" s="102" t="str">
        <f t="shared" ref="AO16:AW16" si="55">IFERROR(AO15/AJ15-1,"NM")</f>
        <v>NM</v>
      </c>
      <c r="AP16" s="108" t="str">
        <f t="shared" si="55"/>
        <v>NM</v>
      </c>
      <c r="AQ16" s="108" t="str">
        <f t="shared" si="55"/>
        <v>NM</v>
      </c>
      <c r="AR16" s="32" t="str">
        <f t="shared" si="55"/>
        <v>NM</v>
      </c>
      <c r="AS16" s="108" t="str">
        <f t="shared" si="55"/>
        <v>NM</v>
      </c>
      <c r="AT16" s="102" t="str">
        <f t="shared" si="55"/>
        <v>NM</v>
      </c>
      <c r="AU16" s="108" t="str">
        <f t="shared" si="55"/>
        <v>NM</v>
      </c>
      <c r="AV16" s="108" t="str">
        <f t="shared" si="55"/>
        <v>NM</v>
      </c>
      <c r="AW16" s="32" t="str">
        <f t="shared" si="55"/>
        <v>NM</v>
      </c>
      <c r="AX16" s="108" t="str">
        <f t="shared" ref="AX16:BB16" si="56">IFERROR(AX15/AS15-1,"NM")</f>
        <v>NM</v>
      </c>
      <c r="AY16" s="102" t="str">
        <f t="shared" si="56"/>
        <v>NM</v>
      </c>
      <c r="AZ16" s="108">
        <f t="shared" si="56"/>
        <v>0.95687500000000014</v>
      </c>
      <c r="BA16" s="108">
        <f t="shared" si="56"/>
        <v>0.95687500000000014</v>
      </c>
      <c r="BB16" s="32">
        <f t="shared" si="56"/>
        <v>0.95687499999999992</v>
      </c>
      <c r="BC16" s="108">
        <f t="shared" ref="BC16" si="57">IFERROR(BC15/AX15-1,"NM")</f>
        <v>0.9568749999999997</v>
      </c>
      <c r="BD16" s="102">
        <f t="shared" ref="BD16:BG16" si="58">IFERROR(BD15/AY15-1,"NM")</f>
        <v>0.95687500000000014</v>
      </c>
      <c r="BE16" s="108">
        <f t="shared" si="58"/>
        <v>1.410967741935484</v>
      </c>
      <c r="BF16" s="108">
        <f t="shared" si="58"/>
        <v>1.410967741935484</v>
      </c>
      <c r="BG16" s="32">
        <f t="shared" si="58"/>
        <v>0.60731182795698913</v>
      </c>
      <c r="BH16" s="108">
        <f t="shared" ref="BH16" si="59">IFERROR(BH15/BC15-1,"NM")</f>
        <v>3.8219354838709698</v>
      </c>
      <c r="BI16" s="102">
        <f t="shared" ref="BI16" si="60">IFERROR(BI15/BD15-1,"NM")</f>
        <v>1.410967741935484</v>
      </c>
      <c r="BK16" s="331"/>
      <c r="BL16" s="491"/>
    </row>
    <row r="17" spans="1:66" s="4" customFormat="1" hidden="1" outlineLevel="1">
      <c r="A17" s="187"/>
      <c r="B17" s="332"/>
      <c r="C17" s="333"/>
      <c r="D17" s="333"/>
      <c r="E17" s="333"/>
      <c r="F17" s="321"/>
      <c r="G17" s="332"/>
      <c r="H17" s="333"/>
      <c r="I17" s="333"/>
      <c r="J17" s="333"/>
      <c r="K17" s="321"/>
      <c r="L17" s="39"/>
      <c r="M17" s="39"/>
      <c r="N17" s="39"/>
      <c r="O17" s="333"/>
      <c r="P17" s="40"/>
      <c r="Q17" s="332"/>
      <c r="R17" s="333"/>
      <c r="S17" s="333"/>
      <c r="T17" s="333"/>
      <c r="U17" s="321"/>
      <c r="V17" s="332"/>
      <c r="W17" s="333"/>
      <c r="X17" s="333"/>
      <c r="Y17" s="333"/>
      <c r="Z17" s="321"/>
      <c r="AA17" s="332"/>
      <c r="AB17" s="333"/>
      <c r="AC17" s="387"/>
      <c r="AD17" s="333"/>
      <c r="AE17" s="321"/>
      <c r="AF17" s="332"/>
      <c r="AG17" s="333"/>
      <c r="AH17" s="387"/>
      <c r="AI17" s="333"/>
      <c r="AJ17" s="321"/>
      <c r="AK17" s="332"/>
      <c r="AL17" s="333"/>
      <c r="AM17" s="387"/>
      <c r="AN17" s="333"/>
      <c r="AO17" s="321"/>
      <c r="AP17" s="332"/>
      <c r="AQ17" s="333"/>
      <c r="AR17" s="387"/>
      <c r="AS17" s="333"/>
      <c r="AT17" s="321"/>
      <c r="AU17" s="332"/>
      <c r="AV17" s="333"/>
      <c r="AW17" s="387"/>
      <c r="AX17" s="333"/>
      <c r="AY17" s="321"/>
      <c r="AZ17" s="332"/>
      <c r="BA17" s="333"/>
      <c r="BB17" s="387"/>
      <c r="BC17" s="333"/>
      <c r="BD17" s="321"/>
      <c r="BE17" s="332"/>
      <c r="BF17" s="333"/>
      <c r="BG17" s="387"/>
      <c r="BH17" s="333"/>
      <c r="BI17" s="321"/>
      <c r="BK17" s="331"/>
      <c r="BL17" s="491"/>
    </row>
    <row r="18" spans="1:66" s="4" customFormat="1" hidden="1" outlineLevel="1">
      <c r="A18" s="187" t="s">
        <v>380</v>
      </c>
      <c r="B18" s="332"/>
      <c r="C18" s="333"/>
      <c r="D18" s="333"/>
      <c r="E18" s="333"/>
      <c r="F18" s="321"/>
      <c r="G18" s="332"/>
      <c r="H18" s="333"/>
      <c r="I18" s="333"/>
      <c r="J18" s="333"/>
      <c r="K18" s="321"/>
      <c r="L18" s="39"/>
      <c r="M18" s="39"/>
      <c r="N18" s="39"/>
      <c r="O18" s="333"/>
      <c r="P18" s="40"/>
      <c r="Q18" s="332"/>
      <c r="R18" s="333"/>
      <c r="S18" s="333"/>
      <c r="T18" s="333"/>
      <c r="U18" s="321"/>
      <c r="V18" s="325">
        <f>V21-V15</f>
        <v>1845</v>
      </c>
      <c r="W18" s="326">
        <f>W21-W15</f>
        <v>1843</v>
      </c>
      <c r="X18" s="326">
        <f>X21-X15</f>
        <v>1889.8438106325184</v>
      </c>
      <c r="Y18" s="326">
        <f>Y21-Y15</f>
        <v>2018.5748932867675</v>
      </c>
      <c r="Z18" s="327">
        <f>SUM(V18:Y18)</f>
        <v>7596.4187039192857</v>
      </c>
      <c r="AA18" s="325">
        <f>AA21-AA15</f>
        <v>2092</v>
      </c>
      <c r="AB18" s="325">
        <f>AB21-AB15</f>
        <v>1602</v>
      </c>
      <c r="AC18" s="42">
        <f>AC21-AC15</f>
        <v>1349</v>
      </c>
      <c r="AD18" s="325">
        <f>AD21-AD15</f>
        <v>1561</v>
      </c>
      <c r="AE18" s="327">
        <f>SUM(AA18:AD18)</f>
        <v>6604</v>
      </c>
      <c r="AF18" s="325">
        <f>AF21-AF15</f>
        <v>1607</v>
      </c>
      <c r="AG18" s="325">
        <f>AG21-AG15</f>
        <v>1698</v>
      </c>
      <c r="AH18" s="42">
        <f>AH21-AH15</f>
        <v>1848</v>
      </c>
      <c r="AI18" s="325">
        <f>AI21-AI15</f>
        <v>1762</v>
      </c>
      <c r="AJ18" s="327">
        <f>SUM(AF18:AI18)</f>
        <v>6915</v>
      </c>
      <c r="AK18" s="325">
        <f>AK21-AK15</f>
        <v>1896</v>
      </c>
      <c r="AL18" s="325">
        <f>AL21-AL15</f>
        <v>1987</v>
      </c>
      <c r="AM18" s="42">
        <f>AM21-AM15</f>
        <v>2195</v>
      </c>
      <c r="AN18" s="325">
        <f>AN21-AN15</f>
        <v>2038</v>
      </c>
      <c r="AO18" s="327">
        <f>SUM(AK18:AN18)</f>
        <v>8116</v>
      </c>
      <c r="AP18" s="325">
        <f>AP21-AP15</f>
        <v>2177</v>
      </c>
      <c r="AQ18" s="325">
        <f>AQ21-AQ15</f>
        <v>2502</v>
      </c>
      <c r="AR18" s="42">
        <f>AR21-AR15</f>
        <v>2412</v>
      </c>
      <c r="AS18" s="325">
        <f>AS21-AS15</f>
        <v>2626</v>
      </c>
      <c r="AT18" s="327">
        <f>SUM(AP18:AS18)</f>
        <v>9717</v>
      </c>
      <c r="AU18" s="325">
        <f>AU21-AU15</f>
        <v>2434.3056805699275</v>
      </c>
      <c r="AV18" s="325">
        <f>AV21-AV15</f>
        <v>2887.3056805699275</v>
      </c>
      <c r="AW18" s="42">
        <f>AW21-AW15</f>
        <v>3022.958520854891</v>
      </c>
      <c r="AX18" s="325">
        <f>AX21-AX15</f>
        <v>3144.6528402849635</v>
      </c>
      <c r="AY18" s="327">
        <f>SUM(AU18:AX18)</f>
        <v>11489.22272227971</v>
      </c>
      <c r="AZ18" s="325">
        <f>AZ21-AZ15</f>
        <v>3206.4013036652764</v>
      </c>
      <c r="BA18" s="325">
        <f>BA21-BA15</f>
        <v>3381.4013036652764</v>
      </c>
      <c r="BB18" s="42">
        <f>BB21-BB15</f>
        <v>3467.1019554979148</v>
      </c>
      <c r="BC18" s="325">
        <f t="shared" ref="BC18" si="61">BC21-BC15</f>
        <v>3887.7006518326384</v>
      </c>
      <c r="BD18" s="327">
        <f>SUM(AZ18:BC18)</f>
        <v>13942.605214661105</v>
      </c>
      <c r="BE18" s="325">
        <f>BE21-BE15</f>
        <v>3579.7746269658955</v>
      </c>
      <c r="BF18" s="325">
        <f>BF21-BF15</f>
        <v>3915.7746269658955</v>
      </c>
      <c r="BG18" s="42">
        <f t="shared" ref="BG18" si="62">BG21-BG15</f>
        <v>3973.4646269658951</v>
      </c>
      <c r="BH18" s="325">
        <f t="shared" ref="BH18" si="63">BH21-BH15</f>
        <v>4287.6596269658976</v>
      </c>
      <c r="BI18" s="327">
        <f>SUM(BE18:BH18)</f>
        <v>15756.673507863583</v>
      </c>
      <c r="BK18" s="331"/>
      <c r="BL18" s="490"/>
    </row>
    <row r="19" spans="1:66" s="4" customFormat="1" hidden="1" outlineLevel="1">
      <c r="A19" s="3" t="s">
        <v>4</v>
      </c>
      <c r="B19" s="332"/>
      <c r="C19" s="333"/>
      <c r="D19" s="333"/>
      <c r="E19" s="333"/>
      <c r="F19" s="321"/>
      <c r="G19" s="332"/>
      <c r="H19" s="333"/>
      <c r="I19" s="333"/>
      <c r="J19" s="333"/>
      <c r="K19" s="321"/>
      <c r="L19" s="39"/>
      <c r="M19" s="39"/>
      <c r="N19" s="39"/>
      <c r="O19" s="333"/>
      <c r="P19" s="40"/>
      <c r="Q19" s="332"/>
      <c r="R19" s="333"/>
      <c r="S19" s="333"/>
      <c r="T19" s="333"/>
      <c r="U19" s="321"/>
      <c r="V19" s="332"/>
      <c r="W19" s="333"/>
      <c r="X19" s="333"/>
      <c r="Y19" s="333"/>
      <c r="Z19" s="321"/>
      <c r="AA19" s="108">
        <f t="shared" ref="AA19:AH19" si="64">IFERROR(AA18/V18-1,"NM")</f>
        <v>0.13387533875338753</v>
      </c>
      <c r="AB19" s="108">
        <f t="shared" si="64"/>
        <v>-0.13076505697232776</v>
      </c>
      <c r="AC19" s="32">
        <f t="shared" si="64"/>
        <v>-0.28618439660973971</v>
      </c>
      <c r="AD19" s="108">
        <f t="shared" si="64"/>
        <v>-0.22668214828616839</v>
      </c>
      <c r="AE19" s="115">
        <f t="shared" si="64"/>
        <v>-0.1306429704048907</v>
      </c>
      <c r="AF19" s="108">
        <f t="shared" si="64"/>
        <v>-0.23183556405353734</v>
      </c>
      <c r="AG19" s="108">
        <f t="shared" si="64"/>
        <v>5.9925093632958726E-2</v>
      </c>
      <c r="AH19" s="32">
        <f t="shared" si="64"/>
        <v>0.36990363232023715</v>
      </c>
      <c r="AI19" s="108">
        <f t="shared" ref="AI19" si="65">IFERROR(AI18/AD18-1,"NM")</f>
        <v>0.12876361306854589</v>
      </c>
      <c r="AJ19" s="115">
        <f t="shared" ref="AJ19:AM19" si="66">IFERROR(AJ18/AE18-1,"NM")</f>
        <v>4.7092671108419193E-2</v>
      </c>
      <c r="AK19" s="108">
        <f t="shared" si="66"/>
        <v>0.17983820784069704</v>
      </c>
      <c r="AL19" s="108">
        <f t="shared" si="66"/>
        <v>0.17020023557126041</v>
      </c>
      <c r="AM19" s="32">
        <f t="shared" si="66"/>
        <v>0.18777056277056281</v>
      </c>
      <c r="AN19" s="108">
        <f t="shared" ref="AN19" si="67">IFERROR(AN18/AI18-1,"NM")</f>
        <v>0.15664018161180482</v>
      </c>
      <c r="AO19" s="115">
        <f t="shared" ref="AO19:AR19" si="68">IFERROR(AO18/AJ18-1,"NM")</f>
        <v>0.17368040491684744</v>
      </c>
      <c r="AP19" s="108">
        <f t="shared" si="68"/>
        <v>0.14820675105485237</v>
      </c>
      <c r="AQ19" s="108">
        <f t="shared" si="68"/>
        <v>0.25918470055359832</v>
      </c>
      <c r="AR19" s="32">
        <f t="shared" si="68"/>
        <v>9.8861047835990812E-2</v>
      </c>
      <c r="AS19" s="108">
        <f t="shared" ref="AS19" si="69">IFERROR(AS18/AN18-1,"NM")</f>
        <v>0.28851815505397438</v>
      </c>
      <c r="AT19" s="115">
        <f t="shared" ref="AT19:AW19" si="70">IFERROR(AT18/AO18-1,"NM")</f>
        <v>0.19726466239526852</v>
      </c>
      <c r="AU19" s="108">
        <f t="shared" si="70"/>
        <v>0.11819277931553862</v>
      </c>
      <c r="AV19" s="108">
        <f t="shared" si="70"/>
        <v>0.15399907296959525</v>
      </c>
      <c r="AW19" s="32">
        <f t="shared" si="70"/>
        <v>0.25329955259323844</v>
      </c>
      <c r="AX19" s="108">
        <f t="shared" ref="AX19" si="71">IFERROR(AX18/AS18-1,"NM")</f>
        <v>0.19750679371095337</v>
      </c>
      <c r="AY19" s="115">
        <f t="shared" ref="AY19:BB19" si="72">IFERROR(AY18/AT18-1,"NM")</f>
        <v>0.18238373183901513</v>
      </c>
      <c r="AZ19" s="108">
        <f t="shared" si="72"/>
        <v>0.31717283053563894</v>
      </c>
      <c r="BA19" s="108">
        <f t="shared" si="72"/>
        <v>0.17112688359267136</v>
      </c>
      <c r="BB19" s="32">
        <f t="shared" si="72"/>
        <v>0.14692343000373698</v>
      </c>
      <c r="BC19" s="108">
        <f t="shared" ref="BC19" si="73">IFERROR(BC18/AX18-1,"NM")</f>
        <v>0.23628929782924502</v>
      </c>
      <c r="BD19" s="115">
        <f t="shared" ref="BD19:BG19" si="74">IFERROR(BD18/AY18-1,"NM")</f>
        <v>0.2135377258919211</v>
      </c>
      <c r="BE19" s="108">
        <f t="shared" si="74"/>
        <v>0.11644622364449875</v>
      </c>
      <c r="BF19" s="108">
        <f t="shared" si="74"/>
        <v>0.15803309791162157</v>
      </c>
      <c r="BG19" s="32">
        <f t="shared" si="74"/>
        <v>0.14604781687051971</v>
      </c>
      <c r="BH19" s="108">
        <f t="shared" ref="BH19" si="75">IFERROR(BH18/BC18-1,"NM")</f>
        <v>0.1028780276446235</v>
      </c>
      <c r="BI19" s="115">
        <f t="shared" ref="BI19" si="76">IFERROR(BI18/BD18-1,"NM")</f>
        <v>0.13010970799739252</v>
      </c>
      <c r="BK19" s="331"/>
      <c r="BL19" s="491"/>
    </row>
    <row r="20" spans="1:66" hidden="1" outlineLevel="1">
      <c r="A20" s="6"/>
      <c r="B20" s="21"/>
      <c r="C20" s="21"/>
      <c r="D20" s="21"/>
      <c r="E20" s="21"/>
      <c r="F20" s="22"/>
      <c r="G20" s="21"/>
      <c r="H20" s="21"/>
      <c r="I20" s="21"/>
      <c r="J20" s="21"/>
      <c r="K20" s="22"/>
      <c r="L20" s="21"/>
      <c r="M20" s="21"/>
      <c r="N20" s="21"/>
      <c r="O20" s="21"/>
      <c r="P20" s="22"/>
      <c r="Q20" s="21"/>
      <c r="R20" s="21"/>
      <c r="S20" s="21"/>
      <c r="T20" s="21"/>
      <c r="U20" s="22"/>
      <c r="V20" s="21"/>
      <c r="W20" s="21"/>
      <c r="X20" s="21"/>
      <c r="Y20" s="21"/>
      <c r="Z20" s="22"/>
      <c r="AA20" s="21"/>
      <c r="AB20" s="21"/>
      <c r="AC20" s="21"/>
      <c r="AD20" s="27"/>
      <c r="AE20" s="22"/>
      <c r="AF20" s="21"/>
      <c r="AG20" s="21"/>
      <c r="AH20" s="21"/>
      <c r="AI20" s="27"/>
      <c r="AJ20" s="22"/>
      <c r="AK20" s="21"/>
      <c r="AL20" s="21"/>
      <c r="AM20" s="21"/>
      <c r="AN20" s="27"/>
      <c r="AO20" s="22"/>
      <c r="AP20" s="21"/>
      <c r="AQ20" s="21"/>
      <c r="AR20" s="21"/>
      <c r="AS20" s="27"/>
      <c r="AT20" s="22"/>
      <c r="AU20" s="21"/>
      <c r="AV20" s="21"/>
      <c r="AW20" s="21"/>
      <c r="AX20" s="27"/>
      <c r="AY20" s="22"/>
      <c r="AZ20" s="21"/>
      <c r="BA20" s="21"/>
      <c r="BB20" s="21"/>
      <c r="BC20" s="21"/>
      <c r="BD20" s="22"/>
      <c r="BE20" s="21"/>
      <c r="BF20" s="21"/>
      <c r="BG20" s="21"/>
      <c r="BH20" s="21"/>
      <c r="BI20" s="22"/>
      <c r="BL20" s="112"/>
    </row>
    <row r="21" spans="1:66" s="4" customFormat="1" collapsed="1">
      <c r="A21" s="299" t="s">
        <v>2</v>
      </c>
      <c r="B21" s="329"/>
      <c r="C21" s="329"/>
      <c r="D21" s="329"/>
      <c r="E21" s="329"/>
      <c r="F21" s="330"/>
      <c r="G21" s="329"/>
      <c r="H21" s="329"/>
      <c r="I21" s="329"/>
      <c r="J21" s="329"/>
      <c r="K21" s="330"/>
      <c r="L21" s="329"/>
      <c r="M21" s="329"/>
      <c r="N21" s="329"/>
      <c r="O21" s="27"/>
      <c r="P21" s="330"/>
      <c r="Q21" s="329"/>
      <c r="R21" s="329"/>
      <c r="S21" s="329"/>
      <c r="T21" s="27"/>
      <c r="U21" s="330"/>
      <c r="V21" s="329">
        <f>3688-W21</f>
        <v>1845</v>
      </c>
      <c r="W21" s="329">
        <v>1843</v>
      </c>
      <c r="X21" s="27">
        <f>W21/W26*X26</f>
        <v>1889.8438106325184</v>
      </c>
      <c r="Y21" s="27">
        <f>X21/X26*Y26</f>
        <v>2018.5748932867675</v>
      </c>
      <c r="Z21" s="28">
        <f>SUM(V21:Y21)</f>
        <v>7596.4187039192857</v>
      </c>
      <c r="AA21" s="329">
        <f>3694-AB21</f>
        <v>2092</v>
      </c>
      <c r="AB21" s="329">
        <v>1602</v>
      </c>
      <c r="AC21" s="84">
        <v>1349</v>
      </c>
      <c r="AD21" s="27">
        <f>AE21-AC21-AB21-AA21</f>
        <v>1561</v>
      </c>
      <c r="AE21" s="330">
        <v>6604</v>
      </c>
      <c r="AF21" s="329">
        <v>1607</v>
      </c>
      <c r="AG21" s="329">
        <v>1698</v>
      </c>
      <c r="AH21" s="84">
        <v>1848</v>
      </c>
      <c r="AI21" s="27">
        <f>AJ21-AH21-AG21-AF21</f>
        <v>1762</v>
      </c>
      <c r="AJ21" s="451">
        <v>6915</v>
      </c>
      <c r="AK21" s="329">
        <v>1896</v>
      </c>
      <c r="AL21" s="329">
        <v>1987</v>
      </c>
      <c r="AM21" s="84">
        <v>2195</v>
      </c>
      <c r="AN21" s="27">
        <f>AO21-AM21-AL21-AK21</f>
        <v>2038</v>
      </c>
      <c r="AO21" s="330">
        <v>8116</v>
      </c>
      <c r="AP21" s="329">
        <v>2177</v>
      </c>
      <c r="AQ21" s="329">
        <v>2502</v>
      </c>
      <c r="AR21" s="84">
        <v>2412</v>
      </c>
      <c r="AS21" s="27">
        <f>AT21-SUM(AP21:AR21)</f>
        <v>2626</v>
      </c>
      <c r="AT21" s="330">
        <v>9717</v>
      </c>
      <c r="AU21" s="84">
        <v>2499</v>
      </c>
      <c r="AV21" s="329">
        <v>2952</v>
      </c>
      <c r="AW21" s="84">
        <v>3120</v>
      </c>
      <c r="AX21" s="27">
        <f>AY21-SUM(AU21:AW21)</f>
        <v>3177</v>
      </c>
      <c r="AY21" s="330">
        <v>11748</v>
      </c>
      <c r="AZ21" s="84">
        <v>3333</v>
      </c>
      <c r="BA21" s="329">
        <v>3508</v>
      </c>
      <c r="BB21" s="84">
        <v>3657</v>
      </c>
      <c r="BC21" s="27">
        <f>BD21-SUM(AZ21:BB21)</f>
        <v>3951</v>
      </c>
      <c r="BD21" s="330">
        <v>14449</v>
      </c>
      <c r="BE21" s="84">
        <v>3885</v>
      </c>
      <c r="BF21" s="329">
        <v>4221</v>
      </c>
      <c r="BG21" s="107">
        <f t="shared" ref="BG21" si="77">BB21*(1+BG22)</f>
        <v>4278.6899999999996</v>
      </c>
      <c r="BH21" s="509">
        <f>BI21-SUM(BE21:BG21)</f>
        <v>4592.885000000002</v>
      </c>
      <c r="BI21" s="531">
        <f>BD21*(1+BI22)</f>
        <v>16977.575000000001</v>
      </c>
      <c r="BJ21" s="508"/>
      <c r="BK21" s="469"/>
      <c r="BL21" s="490"/>
    </row>
    <row r="22" spans="1:66" s="4" customFormat="1">
      <c r="A22" s="11" t="s">
        <v>4</v>
      </c>
      <c r="B22" s="39"/>
      <c r="C22" s="39"/>
      <c r="D22" s="39"/>
      <c r="E22" s="39"/>
      <c r="F22" s="40"/>
      <c r="G22" s="39"/>
      <c r="H22" s="39"/>
      <c r="I22" s="39"/>
      <c r="J22" s="39"/>
      <c r="K22" s="40"/>
      <c r="L22" s="39"/>
      <c r="M22" s="39"/>
      <c r="N22" s="39"/>
      <c r="O22" s="333"/>
      <c r="P22" s="40"/>
      <c r="Q22" s="332"/>
      <c r="R22" s="333"/>
      <c r="S22" s="333"/>
      <c r="T22" s="333"/>
      <c r="U22" s="321"/>
      <c r="V22" s="332"/>
      <c r="W22" s="333"/>
      <c r="X22" s="333"/>
      <c r="Y22" s="333"/>
      <c r="Z22" s="321"/>
      <c r="AA22" s="332">
        <f t="shared" ref="AA22:AH22" si="78">AA21/V21-1</f>
        <v>0.13387533875338753</v>
      </c>
      <c r="AB22" s="333">
        <f t="shared" si="78"/>
        <v>-0.13076505697232776</v>
      </c>
      <c r="AC22" s="387">
        <f t="shared" si="78"/>
        <v>-0.28618439660973971</v>
      </c>
      <c r="AD22" s="387">
        <f t="shared" si="78"/>
        <v>-0.22668214828616839</v>
      </c>
      <c r="AE22" s="353">
        <f t="shared" si="78"/>
        <v>-0.1306429704048907</v>
      </c>
      <c r="AF22" s="397">
        <f t="shared" si="78"/>
        <v>-0.23183556405353734</v>
      </c>
      <c r="AG22" s="333">
        <f t="shared" si="78"/>
        <v>5.9925093632958726E-2</v>
      </c>
      <c r="AH22" s="387">
        <f t="shared" si="78"/>
        <v>0.36990363232023715</v>
      </c>
      <c r="AI22" s="387">
        <f t="shared" ref="AI22" si="79">AI21/AD21-1</f>
        <v>0.12876361306854589</v>
      </c>
      <c r="AJ22" s="353">
        <f t="shared" ref="AJ22:AM22" si="80">AJ21/AE21-1</f>
        <v>4.7092671108419193E-2</v>
      </c>
      <c r="AK22" s="397">
        <f t="shared" si="80"/>
        <v>0.17983820784069704</v>
      </c>
      <c r="AL22" s="333">
        <f t="shared" si="80"/>
        <v>0.17020023557126041</v>
      </c>
      <c r="AM22" s="387">
        <f t="shared" si="80"/>
        <v>0.18777056277056281</v>
      </c>
      <c r="AN22" s="387">
        <f t="shared" ref="AN22" si="81">AN21/AI21-1</f>
        <v>0.15664018161180482</v>
      </c>
      <c r="AO22" s="353">
        <f t="shared" ref="AO22:AR22" si="82">AO21/AJ21-1</f>
        <v>0.17368040491684744</v>
      </c>
      <c r="AP22" s="397">
        <f t="shared" si="82"/>
        <v>0.14820675105485237</v>
      </c>
      <c r="AQ22" s="333">
        <f t="shared" si="82"/>
        <v>0.25918470055359832</v>
      </c>
      <c r="AR22" s="387">
        <f t="shared" si="82"/>
        <v>9.8861047835990812E-2</v>
      </c>
      <c r="AS22" s="387">
        <f t="shared" ref="AS22" si="83">AS21/AN21-1</f>
        <v>0.28851815505397438</v>
      </c>
      <c r="AT22" s="353">
        <f t="shared" ref="AT22:AW22" si="84">AT21/AO21-1</f>
        <v>0.19726466239526852</v>
      </c>
      <c r="AU22" s="397">
        <f t="shared" si="84"/>
        <v>0.14790996784565924</v>
      </c>
      <c r="AV22" s="333">
        <f t="shared" si="84"/>
        <v>0.17985611510791366</v>
      </c>
      <c r="AW22" s="387">
        <f t="shared" si="84"/>
        <v>0.29353233830845782</v>
      </c>
      <c r="AX22" s="387">
        <f t="shared" ref="AX22" si="85">AX21/AS21-1</f>
        <v>0.20982482863670993</v>
      </c>
      <c r="AY22" s="353">
        <f t="shared" ref="AY22:BB22" si="86">AY21/AT21-1</f>
        <v>0.2090151281259649</v>
      </c>
      <c r="AZ22" s="397">
        <f t="shared" si="86"/>
        <v>0.33373349339735903</v>
      </c>
      <c r="BA22" s="333">
        <f t="shared" si="86"/>
        <v>0.18834688346883466</v>
      </c>
      <c r="BB22" s="387">
        <f t="shared" si="86"/>
        <v>0.17211538461538467</v>
      </c>
      <c r="BC22" s="387">
        <f t="shared" ref="BC22" si="87">BC21/AX21-1</f>
        <v>0.24362606232294626</v>
      </c>
      <c r="BD22" s="353">
        <f t="shared" ref="BD22:BF22" si="88">BD21/AY21-1</f>
        <v>0.22991147429349668</v>
      </c>
      <c r="BE22" s="397">
        <f t="shared" si="88"/>
        <v>0.16561656165616556</v>
      </c>
      <c r="BF22" s="333">
        <f t="shared" si="88"/>
        <v>0.20324971493728627</v>
      </c>
      <c r="BG22" s="549">
        <v>0.17</v>
      </c>
      <c r="BH22" s="397">
        <f>BH21/BC21-1</f>
        <v>0.1624614021766646</v>
      </c>
      <c r="BI22" s="354">
        <v>0.17499999999999999</v>
      </c>
      <c r="BJ22" s="490"/>
      <c r="BL22" s="491"/>
    </row>
    <row r="23" spans="1:66">
      <c r="A23" s="1"/>
      <c r="B23" s="21"/>
      <c r="C23" s="21"/>
      <c r="D23" s="21"/>
      <c r="E23" s="21"/>
      <c r="F23" s="22"/>
      <c r="G23" s="21"/>
      <c r="H23" s="21"/>
      <c r="I23" s="21"/>
      <c r="J23" s="21"/>
      <c r="K23" s="22"/>
      <c r="L23" s="21"/>
      <c r="M23" s="21"/>
      <c r="N23" s="21"/>
      <c r="O23" s="21"/>
      <c r="P23" s="22"/>
      <c r="Q23" s="21"/>
      <c r="R23" s="21"/>
      <c r="S23" s="21"/>
      <c r="T23" s="21"/>
      <c r="U23" s="22"/>
      <c r="V23" s="21"/>
      <c r="W23" s="21"/>
      <c r="X23" s="21"/>
      <c r="Y23" s="21"/>
      <c r="Z23" s="22"/>
      <c r="AA23" s="21"/>
      <c r="AB23" s="21"/>
      <c r="AC23" s="21"/>
      <c r="AD23" s="21"/>
      <c r="AE23" s="22"/>
      <c r="AF23" s="21"/>
      <c r="AG23" s="21"/>
      <c r="AH23" s="21"/>
      <c r="AI23" s="21"/>
      <c r="AJ23" s="22"/>
      <c r="AK23" s="21"/>
      <c r="AL23" s="21"/>
      <c r="AM23" s="21"/>
      <c r="AN23" s="21"/>
      <c r="AO23" s="22"/>
      <c r="AP23" s="21"/>
      <c r="AQ23" s="21"/>
      <c r="AR23" s="21"/>
      <c r="AS23" s="21"/>
      <c r="AT23" s="22"/>
      <c r="AU23" s="21"/>
      <c r="AV23" s="21"/>
      <c r="AW23" s="21"/>
      <c r="AX23" s="21"/>
      <c r="AY23" s="22"/>
      <c r="AZ23" s="21"/>
      <c r="BA23" s="21"/>
      <c r="BB23" s="21"/>
      <c r="BC23" s="21"/>
      <c r="BD23" s="22"/>
      <c r="BE23" s="21"/>
      <c r="BF23" s="21"/>
      <c r="BG23" s="21"/>
      <c r="BH23" s="21"/>
      <c r="BI23" s="22"/>
      <c r="BL23" s="112"/>
    </row>
    <row r="24" spans="1:66">
      <c r="A24" s="121" t="s">
        <v>65</v>
      </c>
      <c r="B24" s="18"/>
      <c r="C24" s="18"/>
      <c r="D24" s="18"/>
      <c r="E24" s="18"/>
      <c r="F24" s="20"/>
      <c r="G24" s="18"/>
      <c r="H24" s="18"/>
      <c r="I24" s="18"/>
      <c r="J24" s="18"/>
      <c r="K24" s="20"/>
      <c r="L24" s="18"/>
      <c r="M24" s="18"/>
      <c r="N24" s="18"/>
      <c r="O24" s="19"/>
      <c r="P24" s="20"/>
      <c r="Q24" s="18"/>
      <c r="R24" s="18"/>
      <c r="S24" s="18"/>
      <c r="T24" s="19"/>
      <c r="U24" s="20"/>
      <c r="V24" s="18">
        <f>-2-W24</f>
        <v>-3</v>
      </c>
      <c r="W24" s="18">
        <v>1</v>
      </c>
      <c r="X24" s="19">
        <f>X26-X12-X21</f>
        <v>1.0254171517267423</v>
      </c>
      <c r="Y24" s="19">
        <f>Y26-Y12-Y21</f>
        <v>1.0952658129610882</v>
      </c>
      <c r="Z24" s="194">
        <f>SUM(V24:Y24)</f>
        <v>0.12068296468783046</v>
      </c>
      <c r="AA24" s="18">
        <f>3-AB24</f>
        <v>6</v>
      </c>
      <c r="AB24" s="18">
        <v>-3</v>
      </c>
      <c r="AC24" s="41">
        <v>3</v>
      </c>
      <c r="AD24" s="325">
        <f>AE24-AC24-AB24-AA24</f>
        <v>3</v>
      </c>
      <c r="AE24" s="20">
        <v>9</v>
      </c>
      <c r="AF24" s="18">
        <v>0</v>
      </c>
      <c r="AG24" s="18">
        <v>0</v>
      </c>
      <c r="AH24" s="41">
        <v>0</v>
      </c>
      <c r="AI24" s="325">
        <f>AJ24-AH24-AG24-AF24</f>
        <v>9</v>
      </c>
      <c r="AJ24" s="449">
        <v>9</v>
      </c>
      <c r="AK24" s="18">
        <v>0</v>
      </c>
      <c r="AL24" s="18">
        <v>0</v>
      </c>
      <c r="AM24" s="41">
        <v>2</v>
      </c>
      <c r="AN24" s="325">
        <f>AO24-AM24-AL24-AK24</f>
        <v>1</v>
      </c>
      <c r="AO24" s="20">
        <v>3</v>
      </c>
      <c r="AP24" s="18">
        <v>1</v>
      </c>
      <c r="AQ24" s="18">
        <v>0</v>
      </c>
      <c r="AR24" s="41">
        <v>0</v>
      </c>
      <c r="AS24" s="325">
        <f>AT24-AR24-AQ24-AP24</f>
        <v>-1</v>
      </c>
      <c r="AT24" s="20">
        <v>0</v>
      </c>
      <c r="AU24" s="18">
        <v>0</v>
      </c>
      <c r="AV24" s="18">
        <v>1</v>
      </c>
      <c r="AW24" s="41">
        <v>0</v>
      </c>
      <c r="AX24" s="325">
        <f>AY24-AW24-AV24-AU24</f>
        <v>1</v>
      </c>
      <c r="AY24" s="20">
        <v>2</v>
      </c>
      <c r="AZ24" s="18">
        <v>1</v>
      </c>
      <c r="BA24" s="18">
        <v>0</v>
      </c>
      <c r="BB24" s="41">
        <v>-1</v>
      </c>
      <c r="BC24" s="325">
        <f>BD24-BB24-BA24-AZ24</f>
        <v>0</v>
      </c>
      <c r="BD24" s="20">
        <v>0</v>
      </c>
      <c r="BE24" s="18">
        <v>0</v>
      </c>
      <c r="BF24" s="18">
        <v>0</v>
      </c>
      <c r="BG24" s="41">
        <v>0</v>
      </c>
      <c r="BH24" s="18">
        <v>0</v>
      </c>
      <c r="BI24" s="194">
        <f>SUM(BE24:BH24)</f>
        <v>0</v>
      </c>
      <c r="BL24" s="112"/>
    </row>
    <row r="25" spans="1:66">
      <c r="A25" s="6"/>
      <c r="B25" s="18"/>
      <c r="C25" s="18"/>
      <c r="D25" s="18"/>
      <c r="E25" s="19"/>
      <c r="F25" s="20"/>
      <c r="G25" s="18"/>
      <c r="H25" s="18"/>
      <c r="I25" s="18"/>
      <c r="J25" s="19"/>
      <c r="K25" s="20"/>
      <c r="L25" s="18"/>
      <c r="M25" s="18"/>
      <c r="N25" s="18"/>
      <c r="O25" s="19"/>
      <c r="P25" s="20"/>
      <c r="Q25" s="18"/>
      <c r="R25" s="18"/>
      <c r="S25" s="18"/>
      <c r="T25" s="19"/>
      <c r="U25" s="20"/>
      <c r="V25" s="18"/>
      <c r="W25" s="18"/>
      <c r="X25" s="18"/>
      <c r="Y25" s="19"/>
      <c r="Z25" s="20"/>
      <c r="AA25" s="18"/>
      <c r="AB25" s="21"/>
      <c r="AC25" s="21"/>
      <c r="AD25" s="21"/>
      <c r="AE25" s="22"/>
      <c r="AF25" s="21"/>
      <c r="AG25" s="21"/>
      <c r="AH25" s="21"/>
      <c r="AI25" s="21"/>
      <c r="AJ25" s="22"/>
      <c r="AK25" s="21"/>
      <c r="AL25" s="21"/>
      <c r="AM25" s="21"/>
      <c r="AN25" s="21"/>
      <c r="AO25" s="22"/>
      <c r="AP25" s="21"/>
      <c r="AQ25" s="21"/>
      <c r="AR25" s="21"/>
      <c r="AS25" s="21"/>
      <c r="AT25" s="22"/>
      <c r="AU25" s="21"/>
      <c r="AV25" s="21"/>
      <c r="AW25" s="21"/>
      <c r="AX25" s="21"/>
      <c r="AY25" s="22"/>
      <c r="AZ25" s="21"/>
      <c r="BA25" s="21"/>
      <c r="BB25" s="21"/>
      <c r="BC25" s="21"/>
      <c r="BD25" s="22"/>
      <c r="BE25" s="21"/>
      <c r="BF25" s="21"/>
      <c r="BG25" s="21"/>
      <c r="BH25" s="21"/>
      <c r="BI25" s="22"/>
      <c r="BL25" s="112"/>
    </row>
    <row r="26" spans="1:66">
      <c r="A26" s="8" t="s">
        <v>0</v>
      </c>
      <c r="B26" s="29">
        <v>3332</v>
      </c>
      <c r="C26" s="29">
        <v>3677</v>
      </c>
      <c r="D26" s="29">
        <v>3234</v>
      </c>
      <c r="E26" s="23">
        <f>+F26-SUM(B26,C26,D26)</f>
        <v>3839</v>
      </c>
      <c r="F26" s="30">
        <v>14082</v>
      </c>
      <c r="G26" s="29">
        <v>3588</v>
      </c>
      <c r="H26" s="29">
        <v>3813</v>
      </c>
      <c r="I26" s="29">
        <v>3501</v>
      </c>
      <c r="J26" s="23">
        <f>+K26-SUM(G26,H26,I26)</f>
        <v>3992</v>
      </c>
      <c r="K26" s="30">
        <v>14894</v>
      </c>
      <c r="L26" s="29">
        <v>3758</v>
      </c>
      <c r="M26" s="29">
        <v>4070</v>
      </c>
      <c r="N26" s="29">
        <v>3871</v>
      </c>
      <c r="O26" s="23">
        <f>+P26-SUM(L26,M26,N26)</f>
        <v>4461</v>
      </c>
      <c r="P26" s="30">
        <v>16160</v>
      </c>
      <c r="Q26" s="29">
        <v>4329</v>
      </c>
      <c r="R26" s="29">
        <v>4736</v>
      </c>
      <c r="S26" s="29">
        <v>4789</v>
      </c>
      <c r="T26" s="23">
        <f>+U26-SUM(Q26,R26,S26)</f>
        <v>5543</v>
      </c>
      <c r="U26" s="30">
        <v>19397</v>
      </c>
      <c r="V26" s="23">
        <f>V12+V21+V24</f>
        <v>4818</v>
      </c>
      <c r="W26" s="23">
        <f>W12+W21+W24</f>
        <v>5154</v>
      </c>
      <c r="X26" s="29">
        <v>5285</v>
      </c>
      <c r="Y26" s="23">
        <f>+Z26-SUM(V26,W26,X26)</f>
        <v>5645</v>
      </c>
      <c r="Z26" s="30">
        <v>20902</v>
      </c>
      <c r="AA26" s="23">
        <f>AA12+AA21+AA24</f>
        <v>5353</v>
      </c>
      <c r="AB26" s="23">
        <f>AB12+AB21+AB24</f>
        <v>3487</v>
      </c>
      <c r="AC26" s="23">
        <f>AC12+AC21+AC24</f>
        <v>3494</v>
      </c>
      <c r="AD26" s="95">
        <f>AD12+AD21+AD24</f>
        <v>4465</v>
      </c>
      <c r="AE26" s="24">
        <f>SUM(AA26:AD26)</f>
        <v>16799</v>
      </c>
      <c r="AF26" s="95">
        <f>AF12+AF21+AF24</f>
        <v>4030</v>
      </c>
      <c r="AG26" s="23">
        <f>AG12+AG21+AG24</f>
        <v>4280</v>
      </c>
      <c r="AH26" s="23">
        <f>AH12+AH21+AH24</f>
        <v>4725</v>
      </c>
      <c r="AI26" s="23">
        <f>AI12+AI21+AI24</f>
        <v>5115</v>
      </c>
      <c r="AJ26" s="24">
        <f>SUM(AF26:AI26)</f>
        <v>18150</v>
      </c>
      <c r="AK26" s="23">
        <f>AK12+AK21+AK24</f>
        <v>4529</v>
      </c>
      <c r="AL26" s="23">
        <f>AL12+AL21+AL24</f>
        <v>4969</v>
      </c>
      <c r="AM26" s="23">
        <f>AM12+AM21+AM24</f>
        <v>5380</v>
      </c>
      <c r="AN26" s="23">
        <f>AN12+AN21+AN24</f>
        <v>5652</v>
      </c>
      <c r="AO26" s="24">
        <f>SUM(AK26:AN26)</f>
        <v>20530</v>
      </c>
      <c r="AP26" s="23">
        <f>AP12+AP21+AP24</f>
        <v>5230</v>
      </c>
      <c r="AQ26" s="23">
        <f>AQ12+AQ21+AQ24</f>
        <v>5701</v>
      </c>
      <c r="AR26" s="23">
        <f>AR12+AR21+AR24</f>
        <v>926</v>
      </c>
      <c r="AS26" s="23">
        <f>AS12+AS21+AS24</f>
        <v>6439</v>
      </c>
      <c r="AT26" s="24">
        <f>SUM(AP26:AS26)</f>
        <v>18296</v>
      </c>
      <c r="AU26" s="23">
        <f>AU12+AU21+AU24</f>
        <v>6456</v>
      </c>
      <c r="AV26" s="23">
        <f>AV12+AV21+AV24</f>
        <v>6802</v>
      </c>
      <c r="AW26" s="23">
        <f>AW12+AW21+AW24</f>
        <v>7239</v>
      </c>
      <c r="AX26" s="23">
        <f>AX12+AX21+AX24</f>
        <v>7569</v>
      </c>
      <c r="AY26" s="24">
        <f>SUM(AU26:AX26)</f>
        <v>28066</v>
      </c>
      <c r="AZ26" s="23">
        <f>AZ12+AZ21+AZ24</f>
        <v>7366</v>
      </c>
      <c r="BA26" s="23">
        <f>BA12+BA21+BA24</f>
        <v>7631</v>
      </c>
      <c r="BB26" s="23">
        <f>BB12+BB21+BB24</f>
        <v>8423</v>
      </c>
      <c r="BC26" s="23">
        <f t="shared" ref="BC26" si="89">BC12+BC21+BC24</f>
        <v>9496</v>
      </c>
      <c r="BD26" s="24">
        <f>SUM(AZ26:BC26)</f>
        <v>32916</v>
      </c>
      <c r="BE26" s="23">
        <f>BE12+BE21+BE24</f>
        <v>8173</v>
      </c>
      <c r="BF26" s="23">
        <f>BF12+BF21+BF24</f>
        <v>8881</v>
      </c>
      <c r="BG26" s="23">
        <f t="shared" ref="BG26" si="90">BG12+BG21+BG24</f>
        <v>9093.36</v>
      </c>
      <c r="BH26" s="23">
        <f t="shared" ref="BH26" si="91">BH12+BH21+BH24</f>
        <v>9500.3520000000008</v>
      </c>
      <c r="BI26" s="24">
        <f>SUM(BE26:BH26)</f>
        <v>35647.712</v>
      </c>
      <c r="BJ26" s="472"/>
      <c r="BL26" s="348"/>
      <c r="BN26" s="368"/>
    </row>
    <row r="27" spans="1:66">
      <c r="A27" s="1" t="s">
        <v>4</v>
      </c>
      <c r="B27" s="21"/>
      <c r="C27" s="21"/>
      <c r="D27" s="21"/>
      <c r="E27" s="21"/>
      <c r="F27" s="36">
        <f>F26/'Pratt &amp; Whitney_Annual'!P26-1</f>
        <v>-2.9363110008271298E-2</v>
      </c>
      <c r="G27" s="34">
        <f t="shared" ref="G27:AM27" si="92">G26/B26-1</f>
        <v>7.6830732292917148E-2</v>
      </c>
      <c r="H27" s="35">
        <f t="shared" si="92"/>
        <v>3.6986673918955715E-2</v>
      </c>
      <c r="I27" s="35">
        <f t="shared" si="92"/>
        <v>8.2560296846011072E-2</v>
      </c>
      <c r="J27" s="35">
        <f t="shared" si="92"/>
        <v>3.9854128679343681E-2</v>
      </c>
      <c r="K27" s="36">
        <f t="shared" si="92"/>
        <v>5.7662263882971132E-2</v>
      </c>
      <c r="L27" s="34">
        <f t="shared" si="92"/>
        <v>4.7380156075808255E-2</v>
      </c>
      <c r="M27" s="35">
        <f t="shared" si="92"/>
        <v>6.7400996590611051E-2</v>
      </c>
      <c r="N27" s="35">
        <f t="shared" si="92"/>
        <v>0.10568409025992564</v>
      </c>
      <c r="O27" s="35">
        <f t="shared" si="92"/>
        <v>0.11748496993987967</v>
      </c>
      <c r="P27" s="36">
        <f t="shared" si="92"/>
        <v>8.5000671411306516E-2</v>
      </c>
      <c r="Q27" s="34">
        <f t="shared" si="92"/>
        <v>0.15194252261841412</v>
      </c>
      <c r="R27" s="35">
        <f t="shared" si="92"/>
        <v>0.16363636363636358</v>
      </c>
      <c r="S27" s="35">
        <f t="shared" si="92"/>
        <v>0.23714802376646871</v>
      </c>
      <c r="T27" s="35">
        <f t="shared" si="92"/>
        <v>0.24254651423447648</v>
      </c>
      <c r="U27" s="36">
        <f t="shared" si="92"/>
        <v>0.2003094059405941</v>
      </c>
      <c r="V27" s="34">
        <f t="shared" si="92"/>
        <v>0.11295911295911298</v>
      </c>
      <c r="W27" s="35">
        <f t="shared" si="92"/>
        <v>8.8260135135135087E-2</v>
      </c>
      <c r="X27" s="35">
        <f t="shared" si="92"/>
        <v>0.10357068281478399</v>
      </c>
      <c r="Y27" s="35">
        <f t="shared" si="92"/>
        <v>1.8401587587948853E-2</v>
      </c>
      <c r="Z27" s="36">
        <f t="shared" si="92"/>
        <v>7.758931793576318E-2</v>
      </c>
      <c r="AA27" s="34">
        <f t="shared" si="92"/>
        <v>0.11104192611041919</v>
      </c>
      <c r="AB27" s="35">
        <f t="shared" si="92"/>
        <v>-0.32343810632518433</v>
      </c>
      <c r="AC27" s="35">
        <f t="shared" si="92"/>
        <v>-0.33888363292336798</v>
      </c>
      <c r="AD27" s="35">
        <f t="shared" si="92"/>
        <v>-0.2090345438441098</v>
      </c>
      <c r="AE27" s="36">
        <f t="shared" si="92"/>
        <v>-0.196297005071285</v>
      </c>
      <c r="AF27" s="35">
        <f t="shared" si="92"/>
        <v>-0.24715113020736035</v>
      </c>
      <c r="AG27" s="35">
        <f t="shared" si="92"/>
        <v>0.22741611700602227</v>
      </c>
      <c r="AH27" s="35">
        <f t="shared" si="92"/>
        <v>0.35231825987406973</v>
      </c>
      <c r="AI27" s="35">
        <f t="shared" si="92"/>
        <v>0.14557670772676379</v>
      </c>
      <c r="AJ27" s="36">
        <f t="shared" si="92"/>
        <v>8.0421453657955722E-2</v>
      </c>
      <c r="AK27" s="35">
        <f t="shared" si="92"/>
        <v>0.12382133995037226</v>
      </c>
      <c r="AL27" s="35">
        <f t="shared" si="92"/>
        <v>0.16098130841121505</v>
      </c>
      <c r="AM27" s="35">
        <f t="shared" si="92"/>
        <v>0.13862433862433865</v>
      </c>
      <c r="AN27" s="35">
        <f t="shared" ref="AN27" si="93">AN26/AI26-1</f>
        <v>0.10498533724340176</v>
      </c>
      <c r="AO27" s="36">
        <f t="shared" ref="AO27:AR27" si="94">AO26/AJ26-1</f>
        <v>0.13112947658402208</v>
      </c>
      <c r="AP27" s="35">
        <f t="shared" si="94"/>
        <v>0.15478030470302495</v>
      </c>
      <c r="AQ27" s="35">
        <f t="shared" si="94"/>
        <v>0.14731334272489427</v>
      </c>
      <c r="AR27" s="35">
        <f t="shared" si="94"/>
        <v>-0.82788104089219328</v>
      </c>
      <c r="AS27" s="35">
        <f t="shared" ref="AS27" si="95">AS26/AN26-1</f>
        <v>0.13924274593064401</v>
      </c>
      <c r="AT27" s="36">
        <f t="shared" ref="AT27:AW27" si="96">AT26/AO26-1</f>
        <v>-0.10881636629322944</v>
      </c>
      <c r="AU27" s="35">
        <f t="shared" si="96"/>
        <v>0.23441682600382419</v>
      </c>
      <c r="AV27" s="35">
        <f t="shared" si="96"/>
        <v>0.1931240133309946</v>
      </c>
      <c r="AW27" s="35">
        <f t="shared" si="96"/>
        <v>6.8174946004319654</v>
      </c>
      <c r="AX27" s="35">
        <f t="shared" ref="AX27" si="97">AX26/AS26-1</f>
        <v>0.17549308898897342</v>
      </c>
      <c r="AY27" s="36">
        <f t="shared" ref="AY27:BB27" si="98">AY26/AT26-1</f>
        <v>0.53399650196764314</v>
      </c>
      <c r="AZ27" s="35">
        <f t="shared" si="98"/>
        <v>0.14095415117719945</v>
      </c>
      <c r="BA27" s="35">
        <f t="shared" si="98"/>
        <v>0.1218759188473979</v>
      </c>
      <c r="BB27" s="35">
        <f t="shared" si="98"/>
        <v>0.16355850255560167</v>
      </c>
      <c r="BC27" s="35">
        <f t="shared" ref="BC27" si="99">BC26/AX26-1</f>
        <v>0.25459109525696921</v>
      </c>
      <c r="BD27" s="36">
        <f t="shared" ref="BD27:BG27" si="100">BD26/AY26-1</f>
        <v>0.17280695503456145</v>
      </c>
      <c r="BE27" s="35">
        <f t="shared" si="100"/>
        <v>0.10955742601140384</v>
      </c>
      <c r="BF27" s="35">
        <f t="shared" si="100"/>
        <v>0.16380553007469523</v>
      </c>
      <c r="BG27" s="35">
        <f t="shared" si="100"/>
        <v>7.9586845541968598E-2</v>
      </c>
      <c r="BH27" s="35">
        <f t="shared" ref="BH27" si="101">BH26/BC26-1</f>
        <v>4.5829823083409771E-4</v>
      </c>
      <c r="BI27" s="36">
        <f t="shared" ref="BI27" si="102">BI26/BD26-1</f>
        <v>8.2990399805565662E-2</v>
      </c>
      <c r="BL27" s="488"/>
    </row>
    <row r="28" spans="1:66">
      <c r="A28" s="1"/>
      <c r="B28" s="21"/>
      <c r="C28" s="21"/>
      <c r="D28" s="21"/>
      <c r="E28" s="21"/>
      <c r="F28" s="36"/>
      <c r="G28" s="34"/>
      <c r="H28" s="35"/>
      <c r="I28" s="35"/>
      <c r="J28" s="35"/>
      <c r="K28" s="36"/>
      <c r="L28" s="34"/>
      <c r="M28" s="35"/>
      <c r="N28" s="35"/>
      <c r="O28" s="35"/>
      <c r="P28" s="36"/>
      <c r="Q28" s="34"/>
      <c r="R28" s="35"/>
      <c r="S28" s="35"/>
      <c r="T28" s="35"/>
      <c r="U28" s="36"/>
      <c r="V28" s="34"/>
      <c r="W28" s="35"/>
      <c r="X28" s="35"/>
      <c r="Y28" s="35"/>
      <c r="Z28" s="36"/>
      <c r="AA28" s="34"/>
      <c r="AB28" s="35"/>
      <c r="AC28" s="35"/>
      <c r="AD28" s="35"/>
      <c r="AE28" s="36"/>
      <c r="AF28" s="35"/>
      <c r="AG28" s="35"/>
      <c r="AH28" s="35"/>
      <c r="AI28" s="35"/>
      <c r="AJ28" s="36"/>
      <c r="AK28" s="35"/>
      <c r="AL28" s="35"/>
      <c r="AM28" s="35"/>
      <c r="AN28" s="35"/>
      <c r="AO28" s="36"/>
      <c r="AP28" s="35"/>
      <c r="AQ28" s="35"/>
      <c r="AR28" s="35"/>
      <c r="AS28" s="35"/>
      <c r="AT28" s="36"/>
      <c r="AU28" s="35"/>
      <c r="AV28" s="35"/>
      <c r="AW28" s="35"/>
      <c r="AX28" s="35"/>
      <c r="AY28" s="36"/>
      <c r="AZ28" s="35"/>
      <c r="BA28" s="35"/>
      <c r="BB28" s="35"/>
      <c r="BC28" s="35"/>
      <c r="BD28" s="36"/>
      <c r="BE28" s="35"/>
      <c r="BF28" s="35"/>
      <c r="BG28" s="35"/>
      <c r="BH28" s="35"/>
      <c r="BI28" s="36"/>
    </row>
    <row r="29" spans="1:66">
      <c r="A29" s="6" t="s">
        <v>233</v>
      </c>
      <c r="B29" s="18">
        <v>0</v>
      </c>
      <c r="C29" s="18">
        <v>0</v>
      </c>
      <c r="D29" s="18">
        <v>0</v>
      </c>
      <c r="E29" s="19">
        <f>+F29-SUM(B29,C29,D29)</f>
        <v>142</v>
      </c>
      <c r="F29" s="20">
        <v>142</v>
      </c>
      <c r="G29" s="18">
        <v>0</v>
      </c>
      <c r="H29" s="18">
        <v>0</v>
      </c>
      <c r="I29" s="18">
        <v>184</v>
      </c>
      <c r="J29" s="19">
        <f>+K29-SUM(G29,H29,I29)</f>
        <v>0</v>
      </c>
      <c r="K29" s="20">
        <v>184</v>
      </c>
      <c r="L29" s="18">
        <v>0</v>
      </c>
      <c r="M29" s="18">
        <v>0</v>
      </c>
      <c r="N29" s="18">
        <v>385</v>
      </c>
      <c r="O29" s="19">
        <f>+P29-SUM(L29,M29,N29)</f>
        <v>0</v>
      </c>
      <c r="P29" s="20">
        <v>385</v>
      </c>
      <c r="Q29" s="18">
        <v>0</v>
      </c>
      <c r="R29" s="18">
        <v>0</v>
      </c>
      <c r="S29" s="18">
        <v>0</v>
      </c>
      <c r="T29" s="19">
        <f>+U29-SUM(Q29,R29,S29)</f>
        <v>0</v>
      </c>
      <c r="U29" s="20">
        <v>0</v>
      </c>
      <c r="V29" s="18">
        <v>0</v>
      </c>
      <c r="W29" s="18">
        <v>0</v>
      </c>
      <c r="X29" s="18">
        <v>0</v>
      </c>
      <c r="Y29" s="19">
        <f>+Z29-SUM(V29,W29,X29)</f>
        <v>0</v>
      </c>
      <c r="Z29" s="20">
        <v>0</v>
      </c>
      <c r="AA29" s="41">
        <v>-22</v>
      </c>
      <c r="AB29" s="41">
        <v>120</v>
      </c>
      <c r="AC29" s="41">
        <v>296</v>
      </c>
      <c r="AD29" s="41">
        <v>31</v>
      </c>
      <c r="AE29" s="22">
        <f>SUM(AA29:AD29)</f>
        <v>425</v>
      </c>
      <c r="AF29" s="41">
        <v>0</v>
      </c>
      <c r="AG29" s="41">
        <v>0</v>
      </c>
      <c r="AH29" s="41">
        <v>0</v>
      </c>
      <c r="AI29" s="41">
        <v>0</v>
      </c>
      <c r="AJ29" s="22">
        <f>SUM(AF29:AI29)</f>
        <v>0</v>
      </c>
      <c r="AK29" s="41">
        <v>0</v>
      </c>
      <c r="AL29" s="41">
        <v>0</v>
      </c>
      <c r="AM29" s="41">
        <v>0</v>
      </c>
      <c r="AN29" s="41">
        <v>0</v>
      </c>
      <c r="AO29" s="22">
        <f>SUM(AK29:AN29)</f>
        <v>0</v>
      </c>
      <c r="AP29" s="41">
        <v>0</v>
      </c>
      <c r="AQ29" s="41">
        <v>0</v>
      </c>
      <c r="AR29" s="41">
        <v>5401</v>
      </c>
      <c r="AS29" s="41">
        <v>0</v>
      </c>
      <c r="AT29" s="22">
        <f>SUM(AP29:AS29)</f>
        <v>5401</v>
      </c>
      <c r="AU29" s="41">
        <v>0</v>
      </c>
      <c r="AV29" s="41">
        <v>0</v>
      </c>
      <c r="AW29" s="41">
        <v>0</v>
      </c>
      <c r="AX29" s="41">
        <v>0</v>
      </c>
      <c r="AY29" s="22">
        <f>SUM(AU29:AX29)</f>
        <v>0</v>
      </c>
      <c r="AZ29" s="41">
        <v>0</v>
      </c>
      <c r="BA29" s="41">
        <v>0</v>
      </c>
      <c r="BB29" s="41">
        <v>0</v>
      </c>
      <c r="BC29" s="41">
        <v>0</v>
      </c>
      <c r="BD29" s="22">
        <f>SUM(AZ29:BC29)</f>
        <v>0</v>
      </c>
      <c r="BE29" s="41">
        <v>0</v>
      </c>
      <c r="BF29" s="41">
        <v>0</v>
      </c>
      <c r="BG29" s="41">
        <v>0</v>
      </c>
      <c r="BH29" s="41">
        <v>0</v>
      </c>
      <c r="BI29" s="22">
        <f>SUM(BE29:BH29)</f>
        <v>0</v>
      </c>
    </row>
    <row r="30" spans="1:66">
      <c r="A30" s="8" t="s">
        <v>293</v>
      </c>
      <c r="B30" s="23">
        <f>B26+B29</f>
        <v>3332</v>
      </c>
      <c r="C30" s="23">
        <f>C26+C29</f>
        <v>3677</v>
      </c>
      <c r="D30" s="23">
        <f>D26+D29</f>
        <v>3234</v>
      </c>
      <c r="E30" s="23">
        <f>+F30-SUM(B30,C30,D30)</f>
        <v>3981</v>
      </c>
      <c r="F30" s="24">
        <f>F26+F29</f>
        <v>14224</v>
      </c>
      <c r="G30" s="23">
        <f>G26+G29</f>
        <v>3588</v>
      </c>
      <c r="H30" s="23">
        <f>H26+H29</f>
        <v>3813</v>
      </c>
      <c r="I30" s="23">
        <f>I26+I29</f>
        <v>3685</v>
      </c>
      <c r="J30" s="23">
        <f>+K30-SUM(G30,H30,I30)</f>
        <v>3992</v>
      </c>
      <c r="K30" s="24">
        <f>K26+K29</f>
        <v>15078</v>
      </c>
      <c r="L30" s="23">
        <f>L26+L29</f>
        <v>3758</v>
      </c>
      <c r="M30" s="23">
        <f>M26+M29</f>
        <v>4070</v>
      </c>
      <c r="N30" s="23">
        <f>N26+N29</f>
        <v>4256</v>
      </c>
      <c r="O30" s="23">
        <f>+P30-SUM(L30,M30,N30)</f>
        <v>4461</v>
      </c>
      <c r="P30" s="24">
        <f>P26+P29</f>
        <v>16545</v>
      </c>
      <c r="Q30" s="23">
        <f>Q26+Q29</f>
        <v>4329</v>
      </c>
      <c r="R30" s="23">
        <f>R26+R29</f>
        <v>4736</v>
      </c>
      <c r="S30" s="23">
        <f>S26+S29</f>
        <v>4789</v>
      </c>
      <c r="T30" s="23">
        <f>+U30-SUM(Q30,R30,S30)</f>
        <v>5543</v>
      </c>
      <c r="U30" s="24">
        <f>U26+U29</f>
        <v>19397</v>
      </c>
      <c r="V30" s="23">
        <f t="shared" ref="V30:AA30" si="103">V26+V29</f>
        <v>4818</v>
      </c>
      <c r="W30" s="23">
        <f t="shared" si="103"/>
        <v>5154</v>
      </c>
      <c r="X30" s="23">
        <f t="shared" si="103"/>
        <v>5285</v>
      </c>
      <c r="Y30" s="23">
        <f t="shared" si="103"/>
        <v>5645</v>
      </c>
      <c r="Z30" s="24">
        <f t="shared" si="103"/>
        <v>20902</v>
      </c>
      <c r="AA30" s="23">
        <f t="shared" si="103"/>
        <v>5331</v>
      </c>
      <c r="AB30" s="23">
        <f>AB26+AB29</f>
        <v>3607</v>
      </c>
      <c r="AC30" s="23">
        <f>AC26+AC29</f>
        <v>3790</v>
      </c>
      <c r="AD30" s="23">
        <f>AD26+AD29</f>
        <v>4496</v>
      </c>
      <c r="AE30" s="24">
        <f t="shared" ref="AE30:AJ30" si="104">AE26+AE29</f>
        <v>17224</v>
      </c>
      <c r="AF30" s="23">
        <f t="shared" si="104"/>
        <v>4030</v>
      </c>
      <c r="AG30" s="23">
        <f>AG26+AG29</f>
        <v>4280</v>
      </c>
      <c r="AH30" s="23">
        <f>AH26+AH29</f>
        <v>4725</v>
      </c>
      <c r="AI30" s="23">
        <f>AI26+AI29</f>
        <v>5115</v>
      </c>
      <c r="AJ30" s="24">
        <f t="shared" si="104"/>
        <v>18150</v>
      </c>
      <c r="AK30" s="23">
        <f t="shared" ref="AK30" si="105">AK26+AK29</f>
        <v>4529</v>
      </c>
      <c r="AL30" s="23">
        <f>AL26+AL29</f>
        <v>4969</v>
      </c>
      <c r="AM30" s="23">
        <f>AM26+AM29</f>
        <v>5380</v>
      </c>
      <c r="AN30" s="23">
        <f>AN26+AN29</f>
        <v>5652</v>
      </c>
      <c r="AO30" s="24">
        <f t="shared" ref="AO30:AP30" si="106">AO26+AO29</f>
        <v>20530</v>
      </c>
      <c r="AP30" s="23">
        <f t="shared" si="106"/>
        <v>5230</v>
      </c>
      <c r="AQ30" s="23">
        <f>AQ26+AQ29</f>
        <v>5701</v>
      </c>
      <c r="AR30" s="23">
        <f>AR26+AR29</f>
        <v>6327</v>
      </c>
      <c r="AS30" s="23">
        <f>AS26+AS29</f>
        <v>6439</v>
      </c>
      <c r="AT30" s="24">
        <f t="shared" ref="AT30:AU30" si="107">AT26+AT29</f>
        <v>23697</v>
      </c>
      <c r="AU30" s="23">
        <f t="shared" si="107"/>
        <v>6456</v>
      </c>
      <c r="AV30" s="23">
        <f>AV26+AV29</f>
        <v>6802</v>
      </c>
      <c r="AW30" s="23">
        <f>AW26+AW29</f>
        <v>7239</v>
      </c>
      <c r="AX30" s="23">
        <f>AX26+AX29</f>
        <v>7569</v>
      </c>
      <c r="AY30" s="24">
        <f t="shared" ref="AY30:AZ30" si="108">AY26+AY29</f>
        <v>28066</v>
      </c>
      <c r="AZ30" s="23">
        <f t="shared" si="108"/>
        <v>7366</v>
      </c>
      <c r="BA30" s="23">
        <f>BA26+BA29</f>
        <v>7631</v>
      </c>
      <c r="BB30" s="23">
        <f>BB26+BB29</f>
        <v>8423</v>
      </c>
      <c r="BC30" s="23">
        <f t="shared" ref="BC30:BG30" si="109">BC26+BC29</f>
        <v>9496</v>
      </c>
      <c r="BD30" s="24">
        <f t="shared" si="109"/>
        <v>32916</v>
      </c>
      <c r="BE30" s="23">
        <f t="shared" si="109"/>
        <v>8173</v>
      </c>
      <c r="BF30" s="23">
        <f t="shared" si="109"/>
        <v>8881</v>
      </c>
      <c r="BG30" s="23">
        <f t="shared" si="109"/>
        <v>9093.36</v>
      </c>
      <c r="BH30" s="23">
        <f t="shared" ref="BH30:BI30" si="110">BH26+BH29</f>
        <v>9500.3520000000008</v>
      </c>
      <c r="BI30" s="24">
        <f t="shared" si="110"/>
        <v>35647.712</v>
      </c>
      <c r="BK30" s="257"/>
    </row>
    <row r="31" spans="1:66">
      <c r="A31" s="1" t="s">
        <v>4</v>
      </c>
      <c r="B31" s="21"/>
      <c r="C31" s="21"/>
      <c r="D31" s="21"/>
      <c r="E31" s="21"/>
      <c r="F31" s="36">
        <f>F30/'Pratt &amp; Whitney_Annual'!P30-1</f>
        <v>-1.9575406672180828E-2</v>
      </c>
      <c r="G31" s="34">
        <f t="shared" ref="G31:U31" si="111">G30/B30-1</f>
        <v>7.6830732292917148E-2</v>
      </c>
      <c r="H31" s="35">
        <f t="shared" si="111"/>
        <v>3.6986673918955715E-2</v>
      </c>
      <c r="I31" s="35">
        <f t="shared" si="111"/>
        <v>0.13945578231292521</v>
      </c>
      <c r="J31" s="35">
        <f t="shared" si="111"/>
        <v>2.7631248430042277E-3</v>
      </c>
      <c r="K31" s="36">
        <f t="shared" si="111"/>
        <v>6.0039370078740051E-2</v>
      </c>
      <c r="L31" s="34">
        <f t="shared" si="111"/>
        <v>4.7380156075808255E-2</v>
      </c>
      <c r="M31" s="35">
        <f t="shared" si="111"/>
        <v>6.7400996590611051E-2</v>
      </c>
      <c r="N31" s="35">
        <f t="shared" si="111"/>
        <v>0.15495251017639067</v>
      </c>
      <c r="O31" s="35">
        <f t="shared" si="111"/>
        <v>0.11748496993987967</v>
      </c>
      <c r="P31" s="36">
        <f t="shared" si="111"/>
        <v>9.7294070831675183E-2</v>
      </c>
      <c r="Q31" s="34">
        <f t="shared" si="111"/>
        <v>0.15194252261841412</v>
      </c>
      <c r="R31" s="35">
        <f t="shared" si="111"/>
        <v>0.16363636363636358</v>
      </c>
      <c r="S31" s="35">
        <f t="shared" si="111"/>
        <v>0.12523496240601495</v>
      </c>
      <c r="T31" s="35">
        <f t="shared" si="111"/>
        <v>0.24254651423447648</v>
      </c>
      <c r="U31" s="36">
        <f t="shared" si="111"/>
        <v>0.17237836204291335</v>
      </c>
      <c r="V31" s="34">
        <f t="shared" ref="V31:AM31" si="112">V30/Q30-1</f>
        <v>0.11295911295911298</v>
      </c>
      <c r="W31" s="35">
        <f t="shared" si="112"/>
        <v>8.8260135135135087E-2</v>
      </c>
      <c r="X31" s="35">
        <f t="shared" si="112"/>
        <v>0.10357068281478399</v>
      </c>
      <c r="Y31" s="35">
        <f t="shared" si="112"/>
        <v>1.8401587587948853E-2</v>
      </c>
      <c r="Z31" s="36">
        <f t="shared" si="112"/>
        <v>7.758931793576318E-2</v>
      </c>
      <c r="AA31" s="232">
        <f t="shared" si="112"/>
        <v>0.10647571606475714</v>
      </c>
      <c r="AB31" s="33">
        <f t="shared" si="112"/>
        <v>-0.30015521924718669</v>
      </c>
      <c r="AC31" s="33">
        <f t="shared" si="112"/>
        <v>-0.28287606433301793</v>
      </c>
      <c r="AD31" s="33">
        <f t="shared" si="112"/>
        <v>-0.20354295837023917</v>
      </c>
      <c r="AE31" s="137">
        <f t="shared" si="112"/>
        <v>-0.17596402258157118</v>
      </c>
      <c r="AF31" s="232">
        <f t="shared" si="112"/>
        <v>-0.2440442693678484</v>
      </c>
      <c r="AG31" s="35">
        <f t="shared" si="112"/>
        <v>0.18658164679789291</v>
      </c>
      <c r="AH31" s="33">
        <f t="shared" si="112"/>
        <v>0.24670184696569919</v>
      </c>
      <c r="AI31" s="35">
        <f t="shared" si="112"/>
        <v>0.13767793594306044</v>
      </c>
      <c r="AJ31" s="36">
        <f t="shared" si="112"/>
        <v>5.3762192289828148E-2</v>
      </c>
      <c r="AK31" s="232">
        <f t="shared" si="112"/>
        <v>0.12382133995037226</v>
      </c>
      <c r="AL31" s="35">
        <f t="shared" si="112"/>
        <v>0.16098130841121505</v>
      </c>
      <c r="AM31" s="33">
        <f t="shared" si="112"/>
        <v>0.13862433862433865</v>
      </c>
      <c r="AN31" s="35">
        <f t="shared" ref="AN31" si="113">AN30/AI30-1</f>
        <v>0.10498533724340176</v>
      </c>
      <c r="AO31" s="36">
        <f t="shared" ref="AO31:AR31" si="114">AO30/AJ30-1</f>
        <v>0.13112947658402208</v>
      </c>
      <c r="AP31" s="232">
        <f t="shared" si="114"/>
        <v>0.15478030470302495</v>
      </c>
      <c r="AQ31" s="35">
        <f t="shared" si="114"/>
        <v>0.14731334272489427</v>
      </c>
      <c r="AR31" s="33">
        <f t="shared" si="114"/>
        <v>0.17602230483271386</v>
      </c>
      <c r="AS31" s="35">
        <f t="shared" ref="AS31" si="115">AS30/AN30-1</f>
        <v>0.13924274593064401</v>
      </c>
      <c r="AT31" s="36">
        <f t="shared" ref="AT31:AW31" si="116">AT30/AO30-1</f>
        <v>0.15426205552849481</v>
      </c>
      <c r="AU31" s="232">
        <f t="shared" si="116"/>
        <v>0.23441682600382419</v>
      </c>
      <c r="AV31" s="35">
        <f t="shared" si="116"/>
        <v>0.1931240133309946</v>
      </c>
      <c r="AW31" s="33">
        <f t="shared" si="116"/>
        <v>0.14414414414414423</v>
      </c>
      <c r="AX31" s="35">
        <f t="shared" ref="AX31" si="117">AX30/AS30-1</f>
        <v>0.17549308898897342</v>
      </c>
      <c r="AY31" s="36">
        <f t="shared" ref="AY31:BB31" si="118">AY30/AT30-1</f>
        <v>0.18436932945098539</v>
      </c>
      <c r="AZ31" s="232">
        <f t="shared" si="118"/>
        <v>0.14095415117719945</v>
      </c>
      <c r="BA31" s="35">
        <f t="shared" si="118"/>
        <v>0.1218759188473979</v>
      </c>
      <c r="BB31" s="33">
        <f t="shared" si="118"/>
        <v>0.16355850255560167</v>
      </c>
      <c r="BC31" s="35">
        <f t="shared" ref="BC31" si="119">BC30/AX30-1</f>
        <v>0.25459109525696921</v>
      </c>
      <c r="BD31" s="36">
        <f t="shared" ref="BD31:BG31" si="120">BD30/AY30-1</f>
        <v>0.17280695503456145</v>
      </c>
      <c r="BE31" s="232">
        <f t="shared" si="120"/>
        <v>0.10955742601140384</v>
      </c>
      <c r="BF31" s="33">
        <f t="shared" si="120"/>
        <v>0.16380553007469523</v>
      </c>
      <c r="BG31" s="33">
        <f t="shared" si="120"/>
        <v>7.9586845541968598E-2</v>
      </c>
      <c r="BH31" s="35">
        <f t="shared" ref="BH31" si="121">BH30/BC30-1</f>
        <v>4.5829823083409771E-4</v>
      </c>
      <c r="BI31" s="36">
        <f t="shared" ref="BI31" si="122">BI30/BD30-1</f>
        <v>8.2990399805565662E-2</v>
      </c>
      <c r="BJ31" s="316" t="s">
        <v>514</v>
      </c>
    </row>
    <row r="32" spans="1:66">
      <c r="A32" s="1"/>
      <c r="B32" s="21"/>
      <c r="C32" s="21"/>
      <c r="D32" s="21"/>
      <c r="E32" s="21"/>
      <c r="F32" s="22"/>
      <c r="G32" s="21"/>
      <c r="H32" s="21"/>
      <c r="I32" s="21"/>
      <c r="J32" s="21"/>
      <c r="K32" s="22"/>
      <c r="L32" s="21"/>
      <c r="M32" s="21"/>
      <c r="N32" s="21"/>
      <c r="O32" s="21"/>
      <c r="P32" s="22"/>
      <c r="Q32" s="21"/>
      <c r="R32" s="21"/>
      <c r="S32" s="21"/>
      <c r="T32" s="21"/>
      <c r="U32" s="22"/>
      <c r="V32" s="21"/>
      <c r="W32" s="21"/>
      <c r="X32" s="21"/>
      <c r="Y32" s="21"/>
      <c r="Z32" s="22"/>
      <c r="AA32" s="21"/>
      <c r="AB32" s="21"/>
      <c r="AC32" s="21"/>
      <c r="AD32" s="21"/>
      <c r="AE32" s="22"/>
      <c r="AF32" s="21"/>
      <c r="AG32" s="21"/>
      <c r="AH32" s="21"/>
      <c r="AI32" s="21"/>
      <c r="AJ32" s="22"/>
      <c r="AK32" s="21"/>
      <c r="AL32" s="21"/>
      <c r="AM32" s="21"/>
      <c r="AN32" s="21"/>
      <c r="AO32" s="22"/>
      <c r="AP32" s="21"/>
      <c r="AQ32" s="21"/>
      <c r="AR32" s="21"/>
      <c r="AS32" s="21"/>
      <c r="AT32" s="22"/>
      <c r="AU32" s="21"/>
      <c r="AV32" s="21"/>
      <c r="AW32" s="21"/>
      <c r="AX32" s="21"/>
      <c r="AY32" s="22"/>
      <c r="AZ32" s="21"/>
      <c r="BA32" s="21"/>
      <c r="BB32" s="21"/>
      <c r="BC32" s="21"/>
      <c r="BD32" s="22"/>
      <c r="BE32" s="21"/>
      <c r="BF32" s="21"/>
      <c r="BG32" s="21"/>
      <c r="BH32" s="21"/>
      <c r="BI32" s="22"/>
      <c r="BJ32" s="315"/>
    </row>
    <row r="33" spans="1:65">
      <c r="A33" s="9" t="s">
        <v>10</v>
      </c>
      <c r="B33" s="27">
        <f t="shared" ref="B33:AJ33" si="123">+-B26+B36</f>
        <v>-2913</v>
      </c>
      <c r="C33" s="27">
        <f t="shared" si="123"/>
        <v>-3190</v>
      </c>
      <c r="D33" s="27">
        <f t="shared" si="123"/>
        <v>-2815</v>
      </c>
      <c r="E33" s="27">
        <f t="shared" si="123"/>
        <v>-4303</v>
      </c>
      <c r="F33" s="28">
        <f t="shared" si="123"/>
        <v>-13221</v>
      </c>
      <c r="G33" s="27">
        <f t="shared" si="123"/>
        <v>-3178</v>
      </c>
      <c r="H33" s="27">
        <f t="shared" si="123"/>
        <v>-3427</v>
      </c>
      <c r="I33" s="27">
        <f t="shared" si="123"/>
        <v>-3161</v>
      </c>
      <c r="J33" s="27">
        <f t="shared" si="123"/>
        <v>-3583</v>
      </c>
      <c r="K33" s="28">
        <f t="shared" si="123"/>
        <v>-13349</v>
      </c>
      <c r="L33" s="27">
        <f t="shared" si="123"/>
        <v>-3402</v>
      </c>
      <c r="M33" s="27">
        <f t="shared" si="123"/>
        <v>-3706</v>
      </c>
      <c r="N33" s="27">
        <f t="shared" si="123"/>
        <v>-3683</v>
      </c>
      <c r="O33" s="27">
        <f t="shared" si="123"/>
        <v>-4069</v>
      </c>
      <c r="P33" s="28">
        <f t="shared" si="123"/>
        <v>-14860</v>
      </c>
      <c r="Q33" s="27">
        <f t="shared" si="123"/>
        <v>-3916</v>
      </c>
      <c r="R33" s="27">
        <f t="shared" si="123"/>
        <v>-4339</v>
      </c>
      <c r="S33" s="27">
        <f t="shared" si="123"/>
        <v>-4680</v>
      </c>
      <c r="T33" s="27">
        <f t="shared" si="123"/>
        <v>-5193</v>
      </c>
      <c r="U33" s="28">
        <f t="shared" si="123"/>
        <v>-18128</v>
      </c>
      <c r="V33" s="27">
        <f t="shared" si="123"/>
        <v>-4340</v>
      </c>
      <c r="W33" s="27">
        <f t="shared" si="123"/>
        <v>-4705</v>
      </c>
      <c r="X33" s="27">
        <f t="shared" si="123"/>
        <v>-4765</v>
      </c>
      <c r="Y33" s="27">
        <f t="shared" si="123"/>
        <v>-5291</v>
      </c>
      <c r="Z33" s="28">
        <f t="shared" si="123"/>
        <v>-19101</v>
      </c>
      <c r="AA33" s="39">
        <f t="shared" si="123"/>
        <v>-4878</v>
      </c>
      <c r="AB33" s="39">
        <f t="shared" si="123"/>
        <v>-3944</v>
      </c>
      <c r="AC33" s="39">
        <f t="shared" si="123"/>
        <v>-4109</v>
      </c>
      <c r="AD33" s="39">
        <f t="shared" si="123"/>
        <v>-4432</v>
      </c>
      <c r="AE33" s="40">
        <f t="shared" si="123"/>
        <v>-17363</v>
      </c>
      <c r="AF33" s="39">
        <f t="shared" si="123"/>
        <v>-4010</v>
      </c>
      <c r="AG33" s="27">
        <f t="shared" si="123"/>
        <v>-4168</v>
      </c>
      <c r="AH33" s="39">
        <f t="shared" ref="AH33" si="124">+-AH26+AH36</f>
        <v>-4538</v>
      </c>
      <c r="AI33" s="27">
        <f t="shared" si="123"/>
        <v>-4980</v>
      </c>
      <c r="AJ33" s="28">
        <f t="shared" si="123"/>
        <v>-17696</v>
      </c>
      <c r="AK33" s="39">
        <f t="shared" ref="AK33:AO33" si="125">+-AK26+AK36</f>
        <v>-4378</v>
      </c>
      <c r="AL33" s="27">
        <f t="shared" si="125"/>
        <v>-4667</v>
      </c>
      <c r="AM33" s="39">
        <f t="shared" si="125"/>
        <v>-5064</v>
      </c>
      <c r="AN33" s="27">
        <f t="shared" si="125"/>
        <v>-5346</v>
      </c>
      <c r="AO33" s="28">
        <f t="shared" si="125"/>
        <v>-19455</v>
      </c>
      <c r="AP33" s="39">
        <f t="shared" ref="AP33:AT33" si="126">+-AP26+AP36</f>
        <v>-4815</v>
      </c>
      <c r="AQ33" s="27">
        <f t="shared" si="126"/>
        <v>-5471</v>
      </c>
      <c r="AR33" s="39">
        <f t="shared" si="126"/>
        <v>-3408</v>
      </c>
      <c r="AS33" s="27">
        <f t="shared" si="126"/>
        <v>-6057</v>
      </c>
      <c r="AT33" s="28">
        <f t="shared" si="126"/>
        <v>-19751</v>
      </c>
      <c r="AU33" s="39">
        <f t="shared" ref="AU33:AY33" si="127">+-AU26+AU36</f>
        <v>-6044</v>
      </c>
      <c r="AV33" s="27">
        <f t="shared" si="127"/>
        <v>-6260</v>
      </c>
      <c r="AW33" s="39">
        <f t="shared" si="127"/>
        <v>-6682</v>
      </c>
      <c r="AX33" s="27">
        <f t="shared" si="127"/>
        <v>-7065</v>
      </c>
      <c r="AY33" s="28">
        <f t="shared" si="127"/>
        <v>-26051</v>
      </c>
      <c r="AZ33" s="39">
        <f t="shared" ref="AZ33:BB33" si="128">+-AZ26+AZ36</f>
        <v>-6786</v>
      </c>
      <c r="BA33" s="27">
        <f t="shared" si="128"/>
        <v>-7139</v>
      </c>
      <c r="BB33" s="39">
        <f t="shared" si="128"/>
        <v>-7672</v>
      </c>
      <c r="BC33" s="27">
        <f t="shared" ref="BC33:BG33" si="129">+-BC26+BC36</f>
        <v>-8723</v>
      </c>
      <c r="BD33" s="28">
        <f t="shared" si="129"/>
        <v>-30320</v>
      </c>
      <c r="BE33" s="39">
        <f t="shared" si="129"/>
        <v>-7463</v>
      </c>
      <c r="BF33" s="39">
        <f t="shared" si="129"/>
        <v>-8143</v>
      </c>
      <c r="BG33" s="39">
        <f t="shared" si="129"/>
        <v>-8302.2376800000002</v>
      </c>
      <c r="BH33" s="27">
        <f t="shared" ref="BH33:BI33" si="130">+-BH26+BH36</f>
        <v>-8676.7710880000013</v>
      </c>
      <c r="BI33" s="28">
        <f t="shared" si="130"/>
        <v>-32585.008768</v>
      </c>
      <c r="BJ33" s="315"/>
    </row>
    <row r="34" spans="1:65">
      <c r="A34" s="1" t="s">
        <v>4</v>
      </c>
      <c r="F34" s="36">
        <f>F33/'Pratt &amp; Whitney_Annual'!P33-1</f>
        <v>5.7003517748640764E-2</v>
      </c>
      <c r="G34" s="34">
        <f t="shared" ref="G34:AM34" si="131">G33/B33-1</f>
        <v>9.0971507037418409E-2</v>
      </c>
      <c r="H34" s="35">
        <f t="shared" si="131"/>
        <v>7.4294670846394961E-2</v>
      </c>
      <c r="I34" s="35">
        <f t="shared" si="131"/>
        <v>0.12291296625222015</v>
      </c>
      <c r="J34" s="35">
        <f t="shared" si="131"/>
        <v>-0.16732512200790151</v>
      </c>
      <c r="K34" s="36">
        <f t="shared" si="131"/>
        <v>9.6815672036911771E-3</v>
      </c>
      <c r="L34" s="34">
        <f t="shared" si="131"/>
        <v>7.0484581497797461E-2</v>
      </c>
      <c r="M34" s="35">
        <f t="shared" si="131"/>
        <v>8.1412313977239581E-2</v>
      </c>
      <c r="N34" s="35">
        <f t="shared" si="131"/>
        <v>0.16513761467889898</v>
      </c>
      <c r="O34" s="35">
        <f t="shared" si="131"/>
        <v>0.13564052469997212</v>
      </c>
      <c r="P34" s="36">
        <f t="shared" si="131"/>
        <v>0.11319199940070424</v>
      </c>
      <c r="Q34" s="34">
        <f t="shared" si="131"/>
        <v>0.15108759553203988</v>
      </c>
      <c r="R34" s="35">
        <f t="shared" si="131"/>
        <v>0.17080410145709668</v>
      </c>
      <c r="S34" s="35">
        <f t="shared" si="131"/>
        <v>0.27070323106163463</v>
      </c>
      <c r="T34" s="35">
        <f t="shared" si="131"/>
        <v>0.27623494716146468</v>
      </c>
      <c r="U34" s="36">
        <f t="shared" si="131"/>
        <v>0.21991924629878867</v>
      </c>
      <c r="V34" s="34">
        <f t="shared" si="131"/>
        <v>0.10827374872318685</v>
      </c>
      <c r="W34" s="35">
        <f t="shared" si="131"/>
        <v>8.4351233002996073E-2</v>
      </c>
      <c r="X34" s="35">
        <f t="shared" si="131"/>
        <v>1.8162393162393098E-2</v>
      </c>
      <c r="Y34" s="35">
        <f t="shared" si="131"/>
        <v>1.8871557866358524E-2</v>
      </c>
      <c r="Z34" s="36">
        <f t="shared" si="131"/>
        <v>5.3673874669020405E-2</v>
      </c>
      <c r="AA34" s="232">
        <f t="shared" si="131"/>
        <v>0.12396313364055289</v>
      </c>
      <c r="AB34" s="33">
        <f t="shared" si="131"/>
        <v>-0.16174282678002128</v>
      </c>
      <c r="AC34" s="33">
        <f t="shared" si="131"/>
        <v>-0.13767051416579223</v>
      </c>
      <c r="AD34" s="33">
        <f t="shared" si="131"/>
        <v>-0.16235116235116231</v>
      </c>
      <c r="AE34" s="137">
        <f t="shared" si="131"/>
        <v>-9.0990000523532788E-2</v>
      </c>
      <c r="AF34" s="232">
        <f t="shared" si="131"/>
        <v>-0.17794177941779421</v>
      </c>
      <c r="AG34" s="35">
        <f t="shared" si="131"/>
        <v>5.6795131845841729E-2</v>
      </c>
      <c r="AH34" s="33">
        <f t="shared" si="131"/>
        <v>0.10440496471160876</v>
      </c>
      <c r="AI34" s="35">
        <f t="shared" si="131"/>
        <v>0.12364620938628157</v>
      </c>
      <c r="AJ34" s="36">
        <f t="shared" si="131"/>
        <v>1.9178713355986865E-2</v>
      </c>
      <c r="AK34" s="232">
        <f t="shared" si="131"/>
        <v>9.1770573566084757E-2</v>
      </c>
      <c r="AL34" s="35">
        <f t="shared" si="131"/>
        <v>0.11972168905950098</v>
      </c>
      <c r="AM34" s="33">
        <f t="shared" si="131"/>
        <v>0.11591009255178486</v>
      </c>
      <c r="AN34" s="35">
        <f t="shared" ref="AN34" si="132">AN33/AI33-1</f>
        <v>7.3493975903614395E-2</v>
      </c>
      <c r="AO34" s="36">
        <f t="shared" ref="AO34:AR34" si="133">AO33/AJ33-1</f>
        <v>9.9400994575045143E-2</v>
      </c>
      <c r="AP34" s="232">
        <f t="shared" si="133"/>
        <v>9.9817268158976624E-2</v>
      </c>
      <c r="AQ34" s="35">
        <f t="shared" si="133"/>
        <v>0.17227340904221133</v>
      </c>
      <c r="AR34" s="33">
        <f t="shared" si="133"/>
        <v>-0.32701421800947872</v>
      </c>
      <c r="AS34" s="35">
        <f t="shared" ref="AS34" si="134">AS33/AN33-1</f>
        <v>0.132996632996633</v>
      </c>
      <c r="AT34" s="36">
        <f t="shared" ref="AT34:AW34" si="135">AT33/AO33-1</f>
        <v>1.52145977897713E-2</v>
      </c>
      <c r="AU34" s="232">
        <f t="shared" si="135"/>
        <v>0.25524402907580468</v>
      </c>
      <c r="AV34" s="35">
        <f t="shared" si="135"/>
        <v>0.14421495156278552</v>
      </c>
      <c r="AW34" s="33">
        <f t="shared" si="135"/>
        <v>0.96068075117370899</v>
      </c>
      <c r="AX34" s="35">
        <f t="shared" ref="AX34" si="136">AX33/AS33-1</f>
        <v>0.16641901931649339</v>
      </c>
      <c r="AY34" s="36">
        <f t="shared" ref="AY34:BB34" si="137">AY33/AT33-1</f>
        <v>0.31897119133208451</v>
      </c>
      <c r="AZ34" s="232">
        <f t="shared" si="137"/>
        <v>0.12276637988087358</v>
      </c>
      <c r="BA34" s="35">
        <f t="shared" si="137"/>
        <v>0.14041533546325868</v>
      </c>
      <c r="BB34" s="33">
        <f t="shared" si="137"/>
        <v>0.14815923376234652</v>
      </c>
      <c r="BC34" s="35">
        <f t="shared" ref="BC34" si="138">BC33/AX33-1</f>
        <v>0.23467799009200285</v>
      </c>
      <c r="BD34" s="36">
        <f t="shared" ref="BD34:BG34" si="139">BD33/AY33-1</f>
        <v>0.16387086868066492</v>
      </c>
      <c r="BE34" s="232">
        <f t="shared" si="139"/>
        <v>9.9764220453875563E-2</v>
      </c>
      <c r="BF34" s="33">
        <f t="shared" si="139"/>
        <v>0.14063594340944108</v>
      </c>
      <c r="BG34" s="33">
        <f t="shared" si="139"/>
        <v>8.2147768508863406E-2</v>
      </c>
      <c r="BH34" s="35">
        <f t="shared" ref="BH34" si="140">BH33/BC33-1</f>
        <v>-5.2996574572966582E-3</v>
      </c>
      <c r="BI34" s="36">
        <f t="shared" ref="BI34" si="141">BI33/BD33-1</f>
        <v>7.4703455408970942E-2</v>
      </c>
      <c r="BJ34" s="315"/>
    </row>
    <row r="35" spans="1:65">
      <c r="A35" s="1"/>
      <c r="F35" s="36"/>
      <c r="G35" s="34"/>
      <c r="H35" s="35"/>
      <c r="I35" s="35"/>
      <c r="J35" s="35"/>
      <c r="K35" s="36"/>
      <c r="L35" s="34"/>
      <c r="M35" s="35"/>
      <c r="N35" s="35"/>
      <c r="O35" s="35"/>
      <c r="P35" s="36"/>
      <c r="Q35" s="34"/>
      <c r="R35" s="35"/>
      <c r="S35" s="35"/>
      <c r="T35" s="35"/>
      <c r="U35" s="36"/>
      <c r="V35" s="34"/>
      <c r="W35" s="35"/>
      <c r="X35" s="35"/>
      <c r="Y35" s="35"/>
      <c r="Z35" s="36"/>
      <c r="AA35" s="232"/>
      <c r="AB35" s="33"/>
      <c r="AE35" s="26"/>
      <c r="AF35" s="232"/>
      <c r="AJ35" s="26"/>
      <c r="AK35" s="232"/>
      <c r="AO35" s="26"/>
      <c r="AP35" s="232"/>
      <c r="AT35" s="26"/>
      <c r="AU35" s="232"/>
      <c r="AY35" s="26"/>
      <c r="AZ35" s="232"/>
      <c r="BD35" s="26"/>
      <c r="BE35" s="232"/>
      <c r="BI35" s="26"/>
      <c r="BJ35" s="315"/>
    </row>
    <row r="36" spans="1:65">
      <c r="A36" s="8" t="s">
        <v>9</v>
      </c>
      <c r="B36" s="29">
        <v>419</v>
      </c>
      <c r="C36" s="29">
        <v>487</v>
      </c>
      <c r="D36" s="29">
        <v>419</v>
      </c>
      <c r="E36" s="23">
        <f>+F36-SUM(B36,C36,D36)</f>
        <v>-464</v>
      </c>
      <c r="F36" s="30">
        <v>861</v>
      </c>
      <c r="G36" s="29">
        <v>410</v>
      </c>
      <c r="H36" s="29">
        <v>386</v>
      </c>
      <c r="I36" s="29">
        <v>340</v>
      </c>
      <c r="J36" s="23">
        <f>+K36-SUM(G36,H36,I36)</f>
        <v>409</v>
      </c>
      <c r="K36" s="30">
        <v>1545</v>
      </c>
      <c r="L36" s="29">
        <v>356</v>
      </c>
      <c r="M36" s="29">
        <v>364</v>
      </c>
      <c r="N36" s="29">
        <v>188</v>
      </c>
      <c r="O36" s="23">
        <f>+P36-SUM(L36,M36,N36)</f>
        <v>392</v>
      </c>
      <c r="P36" s="30">
        <v>1300</v>
      </c>
      <c r="Q36" s="29">
        <v>413</v>
      </c>
      <c r="R36" s="29">
        <v>397</v>
      </c>
      <c r="S36" s="29">
        <v>109</v>
      </c>
      <c r="T36" s="23">
        <f>+U36-SUM(Q36,R36,S36)</f>
        <v>350</v>
      </c>
      <c r="U36" s="30">
        <v>1269</v>
      </c>
      <c r="V36" s="29">
        <v>478</v>
      </c>
      <c r="W36" s="29">
        <v>449</v>
      </c>
      <c r="X36" s="29">
        <v>520</v>
      </c>
      <c r="Y36" s="23">
        <f>+Z36-SUM(V36,W36,X36)</f>
        <v>354</v>
      </c>
      <c r="Z36" s="30">
        <v>1801</v>
      </c>
      <c r="AA36" s="29">
        <v>475</v>
      </c>
      <c r="AB36" s="29">
        <v>-457</v>
      </c>
      <c r="AC36" s="29">
        <v>-615</v>
      </c>
      <c r="AD36" s="29">
        <v>33</v>
      </c>
      <c r="AE36" s="24">
        <f>SUM(AA36:AD36)</f>
        <v>-564</v>
      </c>
      <c r="AF36" s="29">
        <v>20</v>
      </c>
      <c r="AG36" s="29">
        <v>112</v>
      </c>
      <c r="AH36" s="29">
        <v>187</v>
      </c>
      <c r="AI36" s="23">
        <f>AJ36-AF36-AG36-AH36</f>
        <v>135</v>
      </c>
      <c r="AJ36" s="30">
        <v>454</v>
      </c>
      <c r="AK36" s="29">
        <v>151</v>
      </c>
      <c r="AL36" s="29">
        <v>302</v>
      </c>
      <c r="AM36" s="29">
        <v>316</v>
      </c>
      <c r="AN36" s="23">
        <f>AO36-AK36-AL36-AM36</f>
        <v>306</v>
      </c>
      <c r="AO36" s="30">
        <v>1075</v>
      </c>
      <c r="AP36" s="29">
        <v>415</v>
      </c>
      <c r="AQ36" s="29">
        <v>230</v>
      </c>
      <c r="AR36" s="29">
        <v>-2482</v>
      </c>
      <c r="AS36" s="23">
        <f>AT36-AP36-AQ36-AR36</f>
        <v>382</v>
      </c>
      <c r="AT36" s="30">
        <v>-1455</v>
      </c>
      <c r="AU36" s="29">
        <v>412</v>
      </c>
      <c r="AV36" s="29">
        <v>542</v>
      </c>
      <c r="AW36" s="29">
        <v>557</v>
      </c>
      <c r="AX36" s="23">
        <f>AY36-AU36-AV36-AW36</f>
        <v>504</v>
      </c>
      <c r="AY36" s="30">
        <v>2015</v>
      </c>
      <c r="AZ36" s="29">
        <v>580</v>
      </c>
      <c r="BA36" s="29">
        <v>492</v>
      </c>
      <c r="BB36" s="29">
        <v>751</v>
      </c>
      <c r="BC36" s="23">
        <f>BD36-AZ36-BA36-BB36</f>
        <v>773</v>
      </c>
      <c r="BD36" s="30">
        <v>2596</v>
      </c>
      <c r="BE36" s="29">
        <v>710</v>
      </c>
      <c r="BF36" s="29">
        <v>738</v>
      </c>
      <c r="BG36" s="95">
        <f t="shared" ref="BG36" si="142">BG43-BG41-BG40</f>
        <v>791.12231999999995</v>
      </c>
      <c r="BH36" s="23">
        <f t="shared" ref="BH36" si="143">BH43-BH41-BH40</f>
        <v>823.5809119999999</v>
      </c>
      <c r="BI36" s="24">
        <f>SUM(BE36:BH36)</f>
        <v>3062.7032319999998</v>
      </c>
      <c r="BJ36" s="315"/>
    </row>
    <row r="37" spans="1:65">
      <c r="A37" s="1" t="s">
        <v>4</v>
      </c>
      <c r="F37" s="36">
        <f>F36/'Pratt &amp; Whitney_Annual'!P36-1</f>
        <v>-0.56950000000000001</v>
      </c>
      <c r="G37" s="34">
        <f t="shared" ref="G37:Z37" si="144">G36/B36-1</f>
        <v>-2.1479713603818618E-2</v>
      </c>
      <c r="H37" s="35">
        <f t="shared" si="144"/>
        <v>-0.20739219712525669</v>
      </c>
      <c r="I37" s="35">
        <f t="shared" si="144"/>
        <v>-0.1885441527446301</v>
      </c>
      <c r="J37" s="35">
        <f t="shared" si="144"/>
        <v>-1.8814655172413794</v>
      </c>
      <c r="K37" s="36">
        <f t="shared" si="144"/>
        <v>0.79442508710801385</v>
      </c>
      <c r="L37" s="34">
        <f t="shared" si="144"/>
        <v>-0.13170731707317074</v>
      </c>
      <c r="M37" s="35">
        <f t="shared" si="144"/>
        <v>-5.6994818652849721E-2</v>
      </c>
      <c r="N37" s="35">
        <f t="shared" si="144"/>
        <v>-0.44705882352941173</v>
      </c>
      <c r="O37" s="35">
        <f t="shared" si="144"/>
        <v>-4.1564792176039145E-2</v>
      </c>
      <c r="P37" s="36">
        <f t="shared" si="144"/>
        <v>-0.15857605177993528</v>
      </c>
      <c r="Q37" s="34">
        <f t="shared" si="144"/>
        <v>0.1601123595505618</v>
      </c>
      <c r="R37" s="35">
        <f t="shared" si="144"/>
        <v>9.0659340659340559E-2</v>
      </c>
      <c r="S37" s="35">
        <f t="shared" si="144"/>
        <v>-0.42021276595744683</v>
      </c>
      <c r="T37" s="35">
        <f t="shared" si="144"/>
        <v>-0.1071428571428571</v>
      </c>
      <c r="U37" s="36">
        <f t="shared" si="144"/>
        <v>-2.384615384615385E-2</v>
      </c>
      <c r="V37" s="34">
        <f t="shared" si="144"/>
        <v>0.15738498789346256</v>
      </c>
      <c r="W37" s="35">
        <f t="shared" si="144"/>
        <v>0.1309823677581865</v>
      </c>
      <c r="X37" s="35">
        <f t="shared" si="144"/>
        <v>3.7706422018348622</v>
      </c>
      <c r="Y37" s="35">
        <f t="shared" si="144"/>
        <v>1.1428571428571344E-2</v>
      </c>
      <c r="Z37" s="36">
        <f t="shared" si="144"/>
        <v>0.41922773837667449</v>
      </c>
      <c r="AA37" s="232">
        <f>AA36/V36-1</f>
        <v>-6.2761506276151069E-3</v>
      </c>
      <c r="AB37" s="33">
        <f t="shared" ref="AB37:AM37" si="145">AB36/W36-1</f>
        <v>-2.0178173719376389</v>
      </c>
      <c r="AC37" s="33">
        <f t="shared" si="145"/>
        <v>-2.1826923076923075</v>
      </c>
      <c r="AD37" s="33">
        <f t="shared" si="145"/>
        <v>-0.90677966101694918</v>
      </c>
      <c r="AE37" s="137">
        <f t="shared" si="145"/>
        <v>-1.3131593559133814</v>
      </c>
      <c r="AF37" s="232">
        <f>AF36/AA36-1</f>
        <v>-0.95789473684210524</v>
      </c>
      <c r="AG37" s="33">
        <f t="shared" si="145"/>
        <v>-1.2450765864332605</v>
      </c>
      <c r="AH37" s="33">
        <f t="shared" si="145"/>
        <v>-1.3040650406504066</v>
      </c>
      <c r="AI37" s="35">
        <f t="shared" si="145"/>
        <v>3.0909090909090908</v>
      </c>
      <c r="AJ37" s="36">
        <f t="shared" si="145"/>
        <v>-1.8049645390070923</v>
      </c>
      <c r="AK37" s="232">
        <f>AK36/AF36-1</f>
        <v>6.55</v>
      </c>
      <c r="AL37" s="33">
        <f t="shared" si="145"/>
        <v>1.6964285714285716</v>
      </c>
      <c r="AM37" s="33">
        <f t="shared" si="145"/>
        <v>0.68983957219251346</v>
      </c>
      <c r="AN37" s="35">
        <f t="shared" ref="AN37" si="146">AN36/AI36-1</f>
        <v>1.2666666666666666</v>
      </c>
      <c r="AO37" s="36">
        <f t="shared" ref="AO37" si="147">AO36/AJ36-1</f>
        <v>1.3678414096916298</v>
      </c>
      <c r="AP37" s="232">
        <f>AP36/AK36-1</f>
        <v>1.7483443708609272</v>
      </c>
      <c r="AQ37" s="33">
        <f t="shared" ref="AQ37:AR37" si="148">AQ36/AL36-1</f>
        <v>-0.23841059602649006</v>
      </c>
      <c r="AR37" s="33">
        <f t="shared" si="148"/>
        <v>-8.8544303797468356</v>
      </c>
      <c r="AS37" s="35">
        <f t="shared" ref="AS37" si="149">AS36/AN36-1</f>
        <v>0.24836601307189543</v>
      </c>
      <c r="AT37" s="36">
        <f t="shared" ref="AT37" si="150">AT36/AO36-1</f>
        <v>-2.3534883720930235</v>
      </c>
      <c r="AU37" s="232">
        <f>AU36/AP36-1</f>
        <v>-7.2289156626506035E-3</v>
      </c>
      <c r="AV37" s="33">
        <f t="shared" ref="AV37:AW37" si="151">AV36/AQ36-1</f>
        <v>1.3565217391304349</v>
      </c>
      <c r="AW37" s="33">
        <f t="shared" si="151"/>
        <v>-1.2244157937147462</v>
      </c>
      <c r="AX37" s="35">
        <f t="shared" ref="AX37" si="152">AX36/AS36-1</f>
        <v>0.31937172774869116</v>
      </c>
      <c r="AY37" s="36">
        <f t="shared" ref="AY37" si="153">AY36/AT36-1</f>
        <v>-2.3848797250859106</v>
      </c>
      <c r="AZ37" s="232">
        <f>AZ36/AU36-1</f>
        <v>0.40776699029126218</v>
      </c>
      <c r="BA37" s="33">
        <f t="shared" ref="BA37:BB37" si="154">BA36/AV36-1</f>
        <v>-9.2250922509225064E-2</v>
      </c>
      <c r="BB37" s="33">
        <f t="shared" si="154"/>
        <v>0.34829443447037711</v>
      </c>
      <c r="BC37" s="35">
        <f t="shared" ref="BC37" si="155">BC36/AX36-1</f>
        <v>0.53373015873015883</v>
      </c>
      <c r="BD37" s="36">
        <f t="shared" ref="BD37" si="156">BD36/AY36-1</f>
        <v>0.28833746898263035</v>
      </c>
      <c r="BE37" s="232">
        <f>BE36/AZ36-1</f>
        <v>0.22413793103448265</v>
      </c>
      <c r="BF37" s="33">
        <f t="shared" ref="BF37" si="157">BF36/BA36-1</f>
        <v>0.5</v>
      </c>
      <c r="BG37" s="33">
        <f t="shared" ref="BG37" si="158">BG36/BB36-1</f>
        <v>5.3425193075898658E-2</v>
      </c>
      <c r="BH37" s="35">
        <f t="shared" ref="BH37" si="159">BH36/BC36-1</f>
        <v>6.5434556274255984E-2</v>
      </c>
      <c r="BI37" s="36">
        <f t="shared" ref="BI37" si="160">BI36/BD36-1</f>
        <v>0.17977782434514622</v>
      </c>
      <c r="BJ37" s="315"/>
    </row>
    <row r="38" spans="1:65">
      <c r="A38" s="1" t="s">
        <v>225</v>
      </c>
      <c r="B38" s="34">
        <f t="shared" ref="B38:AJ38" si="161">B36/B26</f>
        <v>0.12575030012004801</v>
      </c>
      <c r="C38" s="35">
        <f t="shared" si="161"/>
        <v>0.13244492793037801</v>
      </c>
      <c r="D38" s="35">
        <f t="shared" si="161"/>
        <v>0.129560915275201</v>
      </c>
      <c r="E38" s="35">
        <f t="shared" si="161"/>
        <v>-0.12086480854389164</v>
      </c>
      <c r="F38" s="36">
        <f t="shared" si="161"/>
        <v>6.114188325521943E-2</v>
      </c>
      <c r="G38" s="34">
        <f t="shared" si="161"/>
        <v>0.11426978818283166</v>
      </c>
      <c r="H38" s="35">
        <f t="shared" si="161"/>
        <v>0.1012326252294781</v>
      </c>
      <c r="I38" s="35">
        <f t="shared" si="161"/>
        <v>9.7115109968580401E-2</v>
      </c>
      <c r="J38" s="35">
        <f t="shared" si="161"/>
        <v>0.10245490981963928</v>
      </c>
      <c r="K38" s="36">
        <f t="shared" si="161"/>
        <v>0.1037330468645092</v>
      </c>
      <c r="L38" s="34">
        <f t="shared" si="161"/>
        <v>9.4731240021287924E-2</v>
      </c>
      <c r="M38" s="35">
        <f t="shared" si="161"/>
        <v>8.9434889434889434E-2</v>
      </c>
      <c r="N38" s="35">
        <f t="shared" si="161"/>
        <v>4.8566261947817102E-2</v>
      </c>
      <c r="O38" s="35">
        <f t="shared" si="161"/>
        <v>8.7872674288276165E-2</v>
      </c>
      <c r="P38" s="36">
        <f t="shared" si="161"/>
        <v>8.0445544554455448E-2</v>
      </c>
      <c r="Q38" s="34">
        <f t="shared" si="161"/>
        <v>9.5403095403095398E-2</v>
      </c>
      <c r="R38" s="35">
        <f t="shared" si="161"/>
        <v>8.3826013513513514E-2</v>
      </c>
      <c r="S38" s="35">
        <f t="shared" si="161"/>
        <v>2.2760492795990812E-2</v>
      </c>
      <c r="T38" s="35">
        <f t="shared" si="161"/>
        <v>6.3142702507667334E-2</v>
      </c>
      <c r="U38" s="36">
        <f t="shared" si="161"/>
        <v>6.542248801361035E-2</v>
      </c>
      <c r="V38" s="34">
        <f t="shared" si="161"/>
        <v>9.9211290992112913E-2</v>
      </c>
      <c r="W38" s="35">
        <f t="shared" si="161"/>
        <v>8.7116802483507949E-2</v>
      </c>
      <c r="X38" s="35">
        <f t="shared" si="161"/>
        <v>9.8391674550614955E-2</v>
      </c>
      <c r="Y38" s="35">
        <f t="shared" si="161"/>
        <v>6.2710363153232945E-2</v>
      </c>
      <c r="Z38" s="36">
        <f t="shared" si="161"/>
        <v>8.6164003444646448E-2</v>
      </c>
      <c r="AA38" s="232">
        <f t="shared" si="161"/>
        <v>8.8735288623201944E-2</v>
      </c>
      <c r="AB38" s="33">
        <f t="shared" si="161"/>
        <v>-0.13105821623171782</v>
      </c>
      <c r="AC38" s="33">
        <f t="shared" ref="AC38" si="162">AC36/AC26</f>
        <v>-0.17601602747567258</v>
      </c>
      <c r="AD38" s="33">
        <f t="shared" si="161"/>
        <v>7.3908174692049276E-3</v>
      </c>
      <c r="AE38" s="137">
        <f t="shared" si="161"/>
        <v>-3.3573426989701768E-2</v>
      </c>
      <c r="AF38" s="232">
        <f t="shared" si="161"/>
        <v>4.9627791563275434E-3</v>
      </c>
      <c r="AG38" s="33">
        <f t="shared" ref="AG38:AH38" si="163">AG36/AG26</f>
        <v>2.6168224299065422E-2</v>
      </c>
      <c r="AH38" s="33">
        <f t="shared" si="163"/>
        <v>3.9576719576719578E-2</v>
      </c>
      <c r="AI38" s="35">
        <f t="shared" si="161"/>
        <v>2.6392961876832845E-2</v>
      </c>
      <c r="AJ38" s="36">
        <f t="shared" si="161"/>
        <v>2.5013774104683195E-2</v>
      </c>
      <c r="AK38" s="232">
        <f t="shared" ref="AK38:AO38" si="164">AK36/AK26</f>
        <v>3.3340693309781406E-2</v>
      </c>
      <c r="AL38" s="33">
        <f t="shared" si="164"/>
        <v>6.0776816260817067E-2</v>
      </c>
      <c r="AM38" s="33">
        <f t="shared" si="164"/>
        <v>5.8736059479553904E-2</v>
      </c>
      <c r="AN38" s="35">
        <f t="shared" si="164"/>
        <v>5.4140127388535034E-2</v>
      </c>
      <c r="AO38" s="36">
        <f t="shared" si="164"/>
        <v>5.2362396492937162E-2</v>
      </c>
      <c r="AP38" s="232">
        <f t="shared" ref="AP38:AT38" si="165">AP36/AP26</f>
        <v>7.9349904397705548E-2</v>
      </c>
      <c r="AQ38" s="33">
        <f t="shared" si="165"/>
        <v>4.0343799333450274E-2</v>
      </c>
      <c r="AR38" s="33">
        <f t="shared" si="165"/>
        <v>-2.6803455723542116</v>
      </c>
      <c r="AS38" s="35">
        <f t="shared" si="165"/>
        <v>5.9325982295387485E-2</v>
      </c>
      <c r="AT38" s="36">
        <f t="shared" si="165"/>
        <v>-7.9525579361609089E-2</v>
      </c>
      <c r="AU38" s="232">
        <f t="shared" ref="AU38:AY38" si="166">AU36/AU26</f>
        <v>6.3816604708798019E-2</v>
      </c>
      <c r="AV38" s="33">
        <f t="shared" si="166"/>
        <v>7.9682446339311971E-2</v>
      </c>
      <c r="AW38" s="33">
        <f t="shared" si="166"/>
        <v>7.6944329327255145E-2</v>
      </c>
      <c r="AX38" s="35">
        <f t="shared" si="166"/>
        <v>6.6587395957193818E-2</v>
      </c>
      <c r="AY38" s="36">
        <f t="shared" si="166"/>
        <v>7.1795054514359011E-2</v>
      </c>
      <c r="AZ38" s="232">
        <f t="shared" ref="AZ38:BD38" si="167">AZ36/AZ26</f>
        <v>7.874015748031496E-2</v>
      </c>
      <c r="BA38" s="33">
        <f t="shared" si="167"/>
        <v>6.4473856637400073E-2</v>
      </c>
      <c r="BB38" s="33">
        <f t="shared" si="167"/>
        <v>8.9160631603941595E-2</v>
      </c>
      <c r="BC38" s="35">
        <f t="shared" si="167"/>
        <v>8.1402695871946082E-2</v>
      </c>
      <c r="BD38" s="36">
        <f t="shared" si="167"/>
        <v>7.8867420099647589E-2</v>
      </c>
      <c r="BE38" s="232">
        <f t="shared" ref="BE38:BF38" si="168">BE36/BE26</f>
        <v>8.6871405848525637E-2</v>
      </c>
      <c r="BF38" s="33">
        <f t="shared" si="168"/>
        <v>8.3098750140749911E-2</v>
      </c>
      <c r="BG38" s="33">
        <f t="shared" ref="BG38" si="169">BG36/BG26</f>
        <v>8.6999999999999994E-2</v>
      </c>
      <c r="BH38" s="35">
        <f t="shared" ref="BH38:BI38" si="170">BH36/BH26</f>
        <v>8.6689515504267609E-2</v>
      </c>
      <c r="BI38" s="36">
        <f t="shared" si="170"/>
        <v>8.5915843126201194E-2</v>
      </c>
      <c r="BJ38" s="315"/>
    </row>
    <row r="39" spans="1:65">
      <c r="F39" s="26"/>
      <c r="K39" s="26"/>
      <c r="P39" s="26"/>
      <c r="U39" s="26"/>
      <c r="Z39" s="26"/>
      <c r="AE39" s="26"/>
      <c r="AJ39" s="26"/>
      <c r="AO39" s="26"/>
      <c r="AT39" s="26"/>
      <c r="AY39" s="26"/>
      <c r="BD39" s="26"/>
      <c r="BI39" s="26"/>
      <c r="BJ39" s="315"/>
    </row>
    <row r="40" spans="1:65">
      <c r="A40" s="121" t="s">
        <v>292</v>
      </c>
      <c r="B40" s="18">
        <v>13</v>
      </c>
      <c r="C40" s="18">
        <v>2</v>
      </c>
      <c r="D40" s="18">
        <v>22</v>
      </c>
      <c r="E40" s="19">
        <f>+F40-SUM(B40,C40,D40)</f>
        <v>68</v>
      </c>
      <c r="F40" s="20">
        <v>105</v>
      </c>
      <c r="G40" s="18">
        <v>5</v>
      </c>
      <c r="H40" s="18">
        <v>66</v>
      </c>
      <c r="I40" s="18">
        <v>-21</v>
      </c>
      <c r="J40" s="19">
        <f>+K40-SUM(G40,H40,I40)</f>
        <v>61</v>
      </c>
      <c r="K40" s="20">
        <v>111</v>
      </c>
      <c r="L40" s="18">
        <v>0</v>
      </c>
      <c r="M40" s="18">
        <v>6</v>
      </c>
      <c r="N40" s="18">
        <v>-2</v>
      </c>
      <c r="O40" s="19">
        <f>+P40-SUM(L40,M40,N40)</f>
        <v>1</v>
      </c>
      <c r="P40" s="20">
        <v>5</v>
      </c>
      <c r="Q40" s="18">
        <v>0</v>
      </c>
      <c r="R40" s="18">
        <v>3</v>
      </c>
      <c r="S40" s="18">
        <v>0</v>
      </c>
      <c r="T40" s="19">
        <f>+U40-SUM(Q40,R40,S40)</f>
        <v>-10</v>
      </c>
      <c r="U40" s="20">
        <v>-7</v>
      </c>
      <c r="V40" s="18">
        <v>14</v>
      </c>
      <c r="W40" s="18">
        <v>3</v>
      </c>
      <c r="X40" s="18">
        <v>0</v>
      </c>
      <c r="Y40" s="19">
        <f>+Z40-SUM(V40,W40,X40)</f>
        <v>116</v>
      </c>
      <c r="Z40" s="20">
        <v>133</v>
      </c>
      <c r="AA40" s="41">
        <f>107-AB40</f>
        <v>0</v>
      </c>
      <c r="AB40" s="41">
        <v>107</v>
      </c>
      <c r="AC40" s="41">
        <v>63</v>
      </c>
      <c r="AD40" s="41">
        <v>10</v>
      </c>
      <c r="AE40" s="22">
        <f>SUM(AA40:AD40)</f>
        <v>180</v>
      </c>
      <c r="AF40" s="41">
        <v>20</v>
      </c>
      <c r="AG40" s="41">
        <v>-16</v>
      </c>
      <c r="AH40" s="41">
        <v>2</v>
      </c>
      <c r="AI40" s="21">
        <f>AJ40-AH40-AG40-AF40</f>
        <v>27</v>
      </c>
      <c r="AJ40" s="43">
        <v>33</v>
      </c>
      <c r="AK40" s="41">
        <v>2</v>
      </c>
      <c r="AL40" s="41">
        <v>1</v>
      </c>
      <c r="AM40" s="41">
        <v>2</v>
      </c>
      <c r="AN40" s="21">
        <f>AO40-AM40-AL40-AK40</f>
        <v>170</v>
      </c>
      <c r="AO40" s="487">
        <v>175</v>
      </c>
      <c r="AP40" s="41">
        <v>19</v>
      </c>
      <c r="AQ40" s="41">
        <v>25</v>
      </c>
      <c r="AR40" s="41">
        <v>7</v>
      </c>
      <c r="AS40" s="21">
        <f>AT40-AR40-AQ40-AP40</f>
        <v>23</v>
      </c>
      <c r="AT40" s="43">
        <v>74</v>
      </c>
      <c r="AU40" s="41">
        <v>18</v>
      </c>
      <c r="AV40" s="41">
        <v>15</v>
      </c>
      <c r="AW40" s="41">
        <v>13</v>
      </c>
      <c r="AX40" s="21">
        <f>AY40-AW40-AV40-AU40</f>
        <v>56</v>
      </c>
      <c r="AY40" s="43">
        <v>102</v>
      </c>
      <c r="AZ40" s="41">
        <v>10</v>
      </c>
      <c r="BA40" s="41">
        <v>8</v>
      </c>
      <c r="BB40" s="41">
        <v>0</v>
      </c>
      <c r="BC40" s="21">
        <f>BD40-BB40-BA40-AZ40</f>
        <v>3</v>
      </c>
      <c r="BD40" s="43">
        <v>21</v>
      </c>
      <c r="BE40" s="41">
        <v>1</v>
      </c>
      <c r="BF40" s="41">
        <v>2</v>
      </c>
      <c r="BG40" s="41">
        <v>0</v>
      </c>
      <c r="BH40" s="41">
        <v>0</v>
      </c>
      <c r="BI40" s="22">
        <f>SUM(BE40:BH40)</f>
        <v>3</v>
      </c>
      <c r="BJ40" s="315"/>
      <c r="BK40" s="334"/>
    </row>
    <row r="41" spans="1:65">
      <c r="A41" s="6" t="s">
        <v>299</v>
      </c>
      <c r="B41" s="18">
        <v>0</v>
      </c>
      <c r="C41" s="18">
        <v>0</v>
      </c>
      <c r="D41" s="18">
        <v>0</v>
      </c>
      <c r="E41" s="19">
        <f>+F41-SUM(B41,C41,D41)</f>
        <v>947</v>
      </c>
      <c r="F41" s="20">
        <f>867+80</f>
        <v>947</v>
      </c>
      <c r="G41" s="18">
        <v>0</v>
      </c>
      <c r="H41" s="18">
        <v>0</v>
      </c>
      <c r="I41" s="18">
        <v>95</v>
      </c>
      <c r="J41" s="19">
        <f>+K41-SUM(G41,H41,I41)</f>
        <v>0</v>
      </c>
      <c r="K41" s="20">
        <v>95</v>
      </c>
      <c r="L41" s="18">
        <v>0</v>
      </c>
      <c r="M41" s="18">
        <v>0</v>
      </c>
      <c r="N41" s="18">
        <v>196</v>
      </c>
      <c r="O41" s="19">
        <f>+P41-SUM(L41,M41,N41)</f>
        <v>0</v>
      </c>
      <c r="P41" s="20">
        <v>196</v>
      </c>
      <c r="Q41" s="18">
        <v>0</v>
      </c>
      <c r="R41" s="18">
        <v>0</v>
      </c>
      <c r="S41" s="18">
        <v>300</v>
      </c>
      <c r="T41" s="19">
        <f>+U41-SUM(Q41,R41,S41)</f>
        <v>0</v>
      </c>
      <c r="U41" s="20">
        <v>300</v>
      </c>
      <c r="V41" s="18">
        <v>0</v>
      </c>
      <c r="W41" s="18">
        <v>0</v>
      </c>
      <c r="X41" s="18">
        <v>0</v>
      </c>
      <c r="Y41" s="19">
        <f>+Z41-SUM(V41,W41,X41)</f>
        <v>0</v>
      </c>
      <c r="Z41" s="20">
        <v>0</v>
      </c>
      <c r="AA41" s="41">
        <f>210+110-59-22-AB41</f>
        <v>40</v>
      </c>
      <c r="AB41" s="41">
        <f>148+110-59</f>
        <v>199</v>
      </c>
      <c r="AC41" s="41">
        <f>24+543-58</f>
        <v>509</v>
      </c>
      <c r="AD41" s="41">
        <f>28+27-36+43</f>
        <v>62</v>
      </c>
      <c r="AE41" s="22">
        <f>SUM(AA41:AD41)</f>
        <v>810</v>
      </c>
      <c r="AF41" s="41">
        <v>0</v>
      </c>
      <c r="AG41" s="41">
        <v>0</v>
      </c>
      <c r="AH41" s="41">
        <v>0</v>
      </c>
      <c r="AI41" s="21">
        <f>AJ41-AH41-AG41-AF41</f>
        <v>0</v>
      </c>
      <c r="AJ41" s="43">
        <v>0</v>
      </c>
      <c r="AK41" s="41">
        <v>155</v>
      </c>
      <c r="AL41" s="41">
        <v>0</v>
      </c>
      <c r="AM41" s="41">
        <v>0</v>
      </c>
      <c r="AN41" s="21">
        <f>AO41-AM41-AL41-AK41</f>
        <v>-155</v>
      </c>
      <c r="AO41" s="487">
        <v>0</v>
      </c>
      <c r="AP41" s="41">
        <v>0</v>
      </c>
      <c r="AQ41" s="41">
        <v>181</v>
      </c>
      <c r="AR41" s="41">
        <v>2888</v>
      </c>
      <c r="AS41" s="21">
        <f>AT41-AR41-AQ41-AP41</f>
        <v>0</v>
      </c>
      <c r="AT41" s="43">
        <f>2888+181</f>
        <v>3069</v>
      </c>
      <c r="AU41" s="41">
        <v>0</v>
      </c>
      <c r="AV41" s="41">
        <v>-20</v>
      </c>
      <c r="AW41" s="41">
        <f>-7+34</f>
        <v>27</v>
      </c>
      <c r="AX41" s="21">
        <f>AY41-AW41-AV41-AU41</f>
        <v>157</v>
      </c>
      <c r="AY41" s="43">
        <f>-27+34+157</f>
        <v>164</v>
      </c>
      <c r="AZ41" s="41">
        <v>0</v>
      </c>
      <c r="BA41" s="41">
        <v>108</v>
      </c>
      <c r="BB41" s="41">
        <v>0</v>
      </c>
      <c r="BC41" s="21">
        <f>BD41-BB41-BA41-AZ41</f>
        <v>0</v>
      </c>
      <c r="BD41" s="43">
        <v>108</v>
      </c>
      <c r="BE41" s="41">
        <v>0</v>
      </c>
      <c r="BF41" s="41">
        <v>0</v>
      </c>
      <c r="BG41" s="41">
        <v>0</v>
      </c>
      <c r="BH41" s="41">
        <v>0</v>
      </c>
      <c r="BI41" s="194">
        <f>SUM(BE41:BH41)</f>
        <v>0</v>
      </c>
      <c r="BJ41" s="315"/>
    </row>
    <row r="42" spans="1:65">
      <c r="F42" s="26"/>
      <c r="K42" s="26"/>
      <c r="P42" s="26"/>
      <c r="U42" s="26"/>
      <c r="Z42" s="26"/>
      <c r="AE42" s="26"/>
      <c r="AJ42" s="26"/>
      <c r="AO42" s="26"/>
      <c r="AT42" s="26"/>
      <c r="AY42" s="26"/>
      <c r="BD42" s="26"/>
      <c r="BI42" s="26"/>
      <c r="BJ42" s="315"/>
    </row>
    <row r="43" spans="1:65">
      <c r="A43" s="8" t="s">
        <v>223</v>
      </c>
      <c r="B43" s="23">
        <f t="shared" ref="B43:AA43" si="171">B36+B41+B40</f>
        <v>432</v>
      </c>
      <c r="C43" s="23">
        <f t="shared" si="171"/>
        <v>489</v>
      </c>
      <c r="D43" s="23">
        <f t="shared" si="171"/>
        <v>441</v>
      </c>
      <c r="E43" s="23">
        <f t="shared" si="171"/>
        <v>551</v>
      </c>
      <c r="F43" s="24">
        <f t="shared" si="171"/>
        <v>1913</v>
      </c>
      <c r="G43" s="23">
        <f t="shared" si="171"/>
        <v>415</v>
      </c>
      <c r="H43" s="23">
        <f t="shared" si="171"/>
        <v>452</v>
      </c>
      <c r="I43" s="23">
        <f t="shared" si="171"/>
        <v>414</v>
      </c>
      <c r="J43" s="23">
        <f t="shared" si="171"/>
        <v>470</v>
      </c>
      <c r="K43" s="24">
        <f t="shared" si="171"/>
        <v>1751</v>
      </c>
      <c r="L43" s="23">
        <f t="shared" si="171"/>
        <v>356</v>
      </c>
      <c r="M43" s="23">
        <f t="shared" si="171"/>
        <v>370</v>
      </c>
      <c r="N43" s="23">
        <f t="shared" si="171"/>
        <v>382</v>
      </c>
      <c r="O43" s="23">
        <f t="shared" si="171"/>
        <v>393</v>
      </c>
      <c r="P43" s="24">
        <f t="shared" si="171"/>
        <v>1501</v>
      </c>
      <c r="Q43" s="23">
        <f t="shared" si="171"/>
        <v>413</v>
      </c>
      <c r="R43" s="23">
        <f t="shared" si="171"/>
        <v>400</v>
      </c>
      <c r="S43" s="23">
        <f t="shared" si="171"/>
        <v>409</v>
      </c>
      <c r="T43" s="23">
        <f t="shared" si="171"/>
        <v>340</v>
      </c>
      <c r="U43" s="24">
        <f t="shared" si="171"/>
        <v>1562</v>
      </c>
      <c r="V43" s="23">
        <f t="shared" si="171"/>
        <v>492</v>
      </c>
      <c r="W43" s="23">
        <f t="shared" si="171"/>
        <v>452</v>
      </c>
      <c r="X43" s="23">
        <f t="shared" si="171"/>
        <v>520</v>
      </c>
      <c r="Y43" s="23">
        <f t="shared" si="171"/>
        <v>470</v>
      </c>
      <c r="Z43" s="24">
        <f t="shared" si="171"/>
        <v>1934</v>
      </c>
      <c r="AA43" s="23">
        <f t="shared" si="171"/>
        <v>515</v>
      </c>
      <c r="AB43" s="23">
        <f>AB36+AB41+AB40</f>
        <v>-151</v>
      </c>
      <c r="AC43" s="23">
        <f>AC36+AC41+AC40</f>
        <v>-43</v>
      </c>
      <c r="AD43" s="23">
        <f>AD36+AD41+AD40</f>
        <v>105</v>
      </c>
      <c r="AE43" s="24">
        <f>SUM(AA43:AD43)</f>
        <v>426</v>
      </c>
      <c r="AF43" s="23">
        <f t="shared" ref="AF43" si="172">AF36+AF41+AF40</f>
        <v>40</v>
      </c>
      <c r="AG43" s="23">
        <f>AG36+AG41+AG40</f>
        <v>96</v>
      </c>
      <c r="AH43" s="23">
        <f>AH36+AH41+AH40</f>
        <v>189</v>
      </c>
      <c r="AI43" s="23">
        <f>AI36+AI41+AI40</f>
        <v>162</v>
      </c>
      <c r="AJ43" s="24">
        <f>SUM(AF43:AI43)</f>
        <v>487</v>
      </c>
      <c r="AK43" s="23">
        <f t="shared" ref="AK43" si="173">AK36+AK41+AK40</f>
        <v>308</v>
      </c>
      <c r="AL43" s="23">
        <f>AL36+AL41+AL40</f>
        <v>303</v>
      </c>
      <c r="AM43" s="23">
        <f>AM36+AM41+AM40</f>
        <v>318</v>
      </c>
      <c r="AN43" s="23">
        <f>AN36+AN41+AN40</f>
        <v>321</v>
      </c>
      <c r="AO43" s="24">
        <f>SUM(AK43:AN43)</f>
        <v>1250</v>
      </c>
      <c r="AP43" s="23">
        <f t="shared" ref="AP43" si="174">AP36+AP41+AP40</f>
        <v>434</v>
      </c>
      <c r="AQ43" s="23">
        <f>AQ36+AQ41+AQ40</f>
        <v>436</v>
      </c>
      <c r="AR43" s="23">
        <f>AR36+AR41+AR40</f>
        <v>413</v>
      </c>
      <c r="AS43" s="23">
        <f>AS36+AS41+AS40</f>
        <v>405</v>
      </c>
      <c r="AT43" s="24">
        <f>SUM(AP43:AS43)</f>
        <v>1688</v>
      </c>
      <c r="AU43" s="23">
        <f t="shared" ref="AU43" si="175">AU36+AU41+AU40</f>
        <v>430</v>
      </c>
      <c r="AV43" s="23">
        <f>AV36+AV41+AV40</f>
        <v>537</v>
      </c>
      <c r="AW43" s="23">
        <f>AW36+AW41+AW40</f>
        <v>597</v>
      </c>
      <c r="AX43" s="23">
        <f>AX36+AX41+AX40</f>
        <v>717</v>
      </c>
      <c r="AY43" s="24">
        <f>SUM(AU43:AX43)</f>
        <v>2281</v>
      </c>
      <c r="AZ43" s="23">
        <f t="shared" ref="AZ43" si="176">AZ36+AZ41+AZ40</f>
        <v>590</v>
      </c>
      <c r="BA43" s="23">
        <f>BA36+BA41+BA40</f>
        <v>608</v>
      </c>
      <c r="BB43" s="23">
        <f>BB36+BB41+BB40</f>
        <v>751</v>
      </c>
      <c r="BC43" s="23">
        <f>BC36+BC41+BC40</f>
        <v>776</v>
      </c>
      <c r="BD43" s="24">
        <f>SUM(AZ43:BC43)</f>
        <v>2725</v>
      </c>
      <c r="BE43" s="23">
        <f t="shared" ref="BE43" si="177">BE36+BE41+BE40</f>
        <v>711</v>
      </c>
      <c r="BF43" s="23">
        <f>BF36+BF41+BF40</f>
        <v>740</v>
      </c>
      <c r="BG43" s="23">
        <f t="shared" ref="BG43" si="178">BG46*BG30</f>
        <v>791.12231999999995</v>
      </c>
      <c r="BH43" s="23">
        <f>BI43-SUM(BE43:BG43)</f>
        <v>823.5809119999999</v>
      </c>
      <c r="BI43" s="24">
        <f>BI30*BI46</f>
        <v>3065.7032319999998</v>
      </c>
      <c r="BJ43" s="454" t="s">
        <v>521</v>
      </c>
      <c r="BK43" s="348">
        <f>BI43-BD43</f>
        <v>340.70323199999984</v>
      </c>
    </row>
    <row r="44" spans="1:65">
      <c r="A44" s="1" t="s">
        <v>4</v>
      </c>
      <c r="B44" s="34"/>
      <c r="C44" s="35"/>
      <c r="D44" s="35"/>
      <c r="E44" s="35"/>
      <c r="F44" s="36">
        <f>F43/'Pratt &amp; Whitney_Annual'!P43-1</f>
        <v>-7.2709646146388751E-2</v>
      </c>
      <c r="G44" s="34">
        <f t="shared" ref="G44:AH44" si="179">G43/B43-1</f>
        <v>-3.935185185185186E-2</v>
      </c>
      <c r="H44" s="35">
        <f t="shared" si="179"/>
        <v>-7.5664621676891586E-2</v>
      </c>
      <c r="I44" s="35">
        <f t="shared" si="179"/>
        <v>-6.1224489795918324E-2</v>
      </c>
      <c r="J44" s="35">
        <f t="shared" si="179"/>
        <v>-0.14700544464609799</v>
      </c>
      <c r="K44" s="36">
        <f t="shared" si="179"/>
        <v>-8.4683742812336593E-2</v>
      </c>
      <c r="L44" s="34">
        <f t="shared" si="179"/>
        <v>-0.14216867469879513</v>
      </c>
      <c r="M44" s="35">
        <f t="shared" si="179"/>
        <v>-0.18141592920353977</v>
      </c>
      <c r="N44" s="35">
        <f t="shared" si="179"/>
        <v>-7.7294685990338174E-2</v>
      </c>
      <c r="O44" s="35">
        <f t="shared" si="179"/>
        <v>-0.16382978723404251</v>
      </c>
      <c r="P44" s="36">
        <f t="shared" si="179"/>
        <v>-0.14277555682467158</v>
      </c>
      <c r="Q44" s="34">
        <f t="shared" si="179"/>
        <v>0.1601123595505618</v>
      </c>
      <c r="R44" s="35">
        <f t="shared" si="179"/>
        <v>8.1081081081081141E-2</v>
      </c>
      <c r="S44" s="35">
        <f t="shared" si="179"/>
        <v>7.0680628272251411E-2</v>
      </c>
      <c r="T44" s="35">
        <f t="shared" si="179"/>
        <v>-0.13486005089058528</v>
      </c>
      <c r="U44" s="36">
        <f t="shared" si="179"/>
        <v>4.0639573617588187E-2</v>
      </c>
      <c r="V44" s="34">
        <f t="shared" si="179"/>
        <v>0.19128329297820823</v>
      </c>
      <c r="W44" s="35">
        <f t="shared" si="179"/>
        <v>0.12999999999999989</v>
      </c>
      <c r="X44" s="35">
        <f t="shared" si="179"/>
        <v>0.27139364303178493</v>
      </c>
      <c r="Y44" s="35">
        <f t="shared" si="179"/>
        <v>0.38235294117647056</v>
      </c>
      <c r="Z44" s="36">
        <f t="shared" si="179"/>
        <v>0.23815620998719589</v>
      </c>
      <c r="AA44" s="232">
        <f t="shared" si="179"/>
        <v>4.674796747967469E-2</v>
      </c>
      <c r="AB44" s="33">
        <f t="shared" si="179"/>
        <v>-1.334070796460177</v>
      </c>
      <c r="AC44" s="33">
        <f t="shared" si="179"/>
        <v>-1.0826923076923076</v>
      </c>
      <c r="AD44" s="33">
        <f t="shared" si="179"/>
        <v>-0.77659574468085113</v>
      </c>
      <c r="AE44" s="137">
        <f t="shared" si="179"/>
        <v>-0.77973112719751814</v>
      </c>
      <c r="AF44" s="232">
        <f t="shared" si="179"/>
        <v>-0.92233009708737868</v>
      </c>
      <c r="AG44" s="33">
        <f t="shared" si="179"/>
        <v>-1.6357615894039736</v>
      </c>
      <c r="AH44" s="33">
        <f t="shared" si="179"/>
        <v>-5.3953488372093021</v>
      </c>
      <c r="AI44" s="33">
        <f t="shared" ref="AI44" si="180">AI43/AD43-1</f>
        <v>0.54285714285714293</v>
      </c>
      <c r="AJ44" s="137">
        <f t="shared" ref="AJ44:AM44" si="181">AJ43/AE43-1</f>
        <v>0.14319248826291076</v>
      </c>
      <c r="AK44" s="232">
        <f t="shared" si="181"/>
        <v>6.7</v>
      </c>
      <c r="AL44" s="33">
        <f t="shared" si="181"/>
        <v>2.15625</v>
      </c>
      <c r="AM44" s="33">
        <f t="shared" si="181"/>
        <v>0.68253968253968256</v>
      </c>
      <c r="AN44" s="33">
        <f t="shared" ref="AN44" si="182">AN43/AI43-1</f>
        <v>0.9814814814814814</v>
      </c>
      <c r="AO44" s="137">
        <f t="shared" ref="AO44:AR44" si="183">AO43/AJ43-1</f>
        <v>1.5667351129363452</v>
      </c>
      <c r="AP44" s="232">
        <f t="shared" si="183"/>
        <v>0.40909090909090917</v>
      </c>
      <c r="AQ44" s="33">
        <f t="shared" si="183"/>
        <v>0.43894389438943904</v>
      </c>
      <c r="AR44" s="33">
        <f t="shared" si="183"/>
        <v>0.29874213836477992</v>
      </c>
      <c r="AS44" s="33">
        <f t="shared" ref="AS44" si="184">AS43/AN43-1</f>
        <v>0.26168224299065423</v>
      </c>
      <c r="AT44" s="137">
        <f t="shared" ref="AT44:AW44" si="185">AT43/AO43-1</f>
        <v>0.35040000000000004</v>
      </c>
      <c r="AU44" s="232">
        <f t="shared" si="185"/>
        <v>-9.2165898617511122E-3</v>
      </c>
      <c r="AV44" s="33">
        <f t="shared" si="185"/>
        <v>0.2316513761467891</v>
      </c>
      <c r="AW44" s="33">
        <f t="shared" si="185"/>
        <v>0.44552058111380144</v>
      </c>
      <c r="AX44" s="33">
        <f t="shared" ref="AX44" si="186">AX43/AS43-1</f>
        <v>0.77037037037037037</v>
      </c>
      <c r="AY44" s="137">
        <f t="shared" ref="AY44:BB44" si="187">AY43/AT43-1</f>
        <v>0.35130331753554511</v>
      </c>
      <c r="AZ44" s="232">
        <f t="shared" si="187"/>
        <v>0.37209302325581395</v>
      </c>
      <c r="BA44" s="33">
        <f t="shared" si="187"/>
        <v>0.13221601489757906</v>
      </c>
      <c r="BB44" s="33">
        <f t="shared" si="187"/>
        <v>0.25795644891122271</v>
      </c>
      <c r="BC44" s="33">
        <f t="shared" ref="BC44" si="188">BC43/AX43-1</f>
        <v>8.228730822873076E-2</v>
      </c>
      <c r="BD44" s="137">
        <f t="shared" ref="BD44:BF44" si="189">BD43/AY43-1</f>
        <v>0.19465146865409899</v>
      </c>
      <c r="BE44" s="232">
        <f t="shared" si="189"/>
        <v>0.20508474576271185</v>
      </c>
      <c r="BF44" s="33">
        <f t="shared" si="189"/>
        <v>0.21710526315789469</v>
      </c>
      <c r="BG44" s="33">
        <f t="shared" ref="BG44" si="190">IFERROR(BG43/BB43-1,"NM")</f>
        <v>5.3425193075898658E-2</v>
      </c>
      <c r="BH44" s="35">
        <f t="shared" ref="BH44" si="191">IFERROR(BH43/BC43-1,"NM")</f>
        <v>6.1315608247422659E-2</v>
      </c>
      <c r="BI44" s="36">
        <f>IFERROR(BI43/BD43-1,"NM")</f>
        <v>0.12502870899082552</v>
      </c>
    </row>
    <row r="45" spans="1:65">
      <c r="F45" s="26"/>
      <c r="K45" s="26"/>
      <c r="P45" s="26"/>
      <c r="U45" s="26"/>
      <c r="Z45" s="26"/>
      <c r="AE45" s="26"/>
      <c r="AJ45" s="26"/>
      <c r="AO45" s="26"/>
      <c r="AT45" s="26"/>
      <c r="AX45" s="77">
        <f>AX43-70</f>
        <v>647</v>
      </c>
      <c r="AY45" s="26"/>
      <c r="BC45" s="77">
        <f>BC43-70</f>
        <v>706</v>
      </c>
      <c r="BD45" s="26"/>
      <c r="BI45" s="26"/>
    </row>
    <row r="46" spans="1:65" s="4" customFormat="1">
      <c r="A46" s="8" t="s">
        <v>224</v>
      </c>
      <c r="B46" s="122">
        <f t="shared" ref="B46:AA46" si="192">+B43/B30</f>
        <v>0.12965186074429771</v>
      </c>
      <c r="C46" s="122">
        <f t="shared" si="192"/>
        <v>0.13298884960565679</v>
      </c>
      <c r="D46" s="122">
        <f t="shared" si="192"/>
        <v>0.13636363636363635</v>
      </c>
      <c r="E46" s="122">
        <f t="shared" si="192"/>
        <v>0.13840743531775937</v>
      </c>
      <c r="F46" s="123">
        <f t="shared" si="192"/>
        <v>0.1344910011248594</v>
      </c>
      <c r="G46" s="122">
        <f t="shared" si="192"/>
        <v>0.11566332218506131</v>
      </c>
      <c r="H46" s="122">
        <f t="shared" si="192"/>
        <v>0.11854183057959612</v>
      </c>
      <c r="I46" s="122">
        <f t="shared" si="192"/>
        <v>0.11234735413839891</v>
      </c>
      <c r="J46" s="122">
        <f t="shared" si="192"/>
        <v>0.11773547094188377</v>
      </c>
      <c r="K46" s="123">
        <f t="shared" si="192"/>
        <v>0.1161294601406022</v>
      </c>
      <c r="L46" s="122">
        <f t="shared" si="192"/>
        <v>9.4731240021287924E-2</v>
      </c>
      <c r="M46" s="122">
        <f t="shared" si="192"/>
        <v>9.0909090909090912E-2</v>
      </c>
      <c r="N46" s="122">
        <f t="shared" si="192"/>
        <v>8.9755639097744366E-2</v>
      </c>
      <c r="O46" s="122">
        <f t="shared" si="192"/>
        <v>8.8096839273705443E-2</v>
      </c>
      <c r="P46" s="123">
        <f t="shared" si="192"/>
        <v>9.0722272589906311E-2</v>
      </c>
      <c r="Q46" s="122">
        <f t="shared" si="192"/>
        <v>9.5403095403095398E-2</v>
      </c>
      <c r="R46" s="122">
        <f t="shared" si="192"/>
        <v>8.4459459459459457E-2</v>
      </c>
      <c r="S46" s="122">
        <f t="shared" si="192"/>
        <v>8.5404050950093971E-2</v>
      </c>
      <c r="T46" s="122">
        <f t="shared" si="192"/>
        <v>6.1338625293162551E-2</v>
      </c>
      <c r="U46" s="123">
        <f t="shared" si="192"/>
        <v>8.0527916688147655E-2</v>
      </c>
      <c r="V46" s="122">
        <f t="shared" si="192"/>
        <v>0.10211706102117062</v>
      </c>
      <c r="W46" s="122">
        <f t="shared" si="192"/>
        <v>8.7698874660457893E-2</v>
      </c>
      <c r="X46" s="122">
        <f t="shared" si="192"/>
        <v>9.8391674550614955E-2</v>
      </c>
      <c r="Y46" s="122">
        <f t="shared" si="192"/>
        <v>8.3259521700620023E-2</v>
      </c>
      <c r="Z46" s="123">
        <f t="shared" si="192"/>
        <v>9.2527030906133387E-2</v>
      </c>
      <c r="AA46" s="122">
        <f t="shared" si="192"/>
        <v>9.6604764584505717E-2</v>
      </c>
      <c r="AB46" s="122">
        <f>+AB43/AB30</f>
        <v>-4.1863044080953704E-2</v>
      </c>
      <c r="AC46" s="122">
        <f>+AC43/AC30</f>
        <v>-1.1345646437994723E-2</v>
      </c>
      <c r="AD46" s="122">
        <f>+AD43/AD30</f>
        <v>2.3354092526690393E-2</v>
      </c>
      <c r="AE46" s="123">
        <f>+AE43/AE30</f>
        <v>2.4732930794240594E-2</v>
      </c>
      <c r="AF46" s="122">
        <f t="shared" ref="AF46" si="193">+AF43/AF30</f>
        <v>9.9255583126550868E-3</v>
      </c>
      <c r="AG46" s="122">
        <f>+AG43/AG30</f>
        <v>2.2429906542056073E-2</v>
      </c>
      <c r="AH46" s="122">
        <f>+AH43/AH30</f>
        <v>0.04</v>
      </c>
      <c r="AI46" s="122">
        <f>+AI43/AI30</f>
        <v>3.1671554252199412E-2</v>
      </c>
      <c r="AJ46" s="123">
        <f>+AJ43/AJ30</f>
        <v>2.6831955922865015E-2</v>
      </c>
      <c r="AK46" s="122">
        <f t="shared" ref="AK46" si="194">+AK43/AK30</f>
        <v>6.8006182380216385E-2</v>
      </c>
      <c r="AL46" s="122">
        <f>+AL43/AL30</f>
        <v>6.0978063996780039E-2</v>
      </c>
      <c r="AM46" s="122">
        <f>+AM43/AM30</f>
        <v>5.9107806691449813E-2</v>
      </c>
      <c r="AN46" s="122">
        <f>+AN43/AN30</f>
        <v>5.6794055201698515E-2</v>
      </c>
      <c r="AO46" s="123">
        <f>+AO43/AO30</f>
        <v>6.0886507549926937E-2</v>
      </c>
      <c r="AP46" s="122">
        <f t="shared" ref="AP46" si="195">+AP43/AP30</f>
        <v>8.2982791586998089E-2</v>
      </c>
      <c r="AQ46" s="122">
        <f>+AQ43/AQ30</f>
        <v>7.6477810910366609E-2</v>
      </c>
      <c r="AR46" s="122">
        <f>+AR43/AR30</f>
        <v>6.5275802117907386E-2</v>
      </c>
      <c r="AS46" s="122">
        <f>+AS43/AS30</f>
        <v>6.2897965522596674E-2</v>
      </c>
      <c r="AT46" s="123">
        <f>+AT43/AT30</f>
        <v>7.1232645482550538E-2</v>
      </c>
      <c r="AU46" s="122">
        <f t="shared" ref="AU46" si="196">+AU43/AU30</f>
        <v>6.6604708798017345E-2</v>
      </c>
      <c r="AV46" s="122">
        <f>+AV43/AV30</f>
        <v>7.8947368421052627E-2</v>
      </c>
      <c r="AW46" s="122">
        <f>+AW43/AW30</f>
        <v>8.2469954413593033E-2</v>
      </c>
      <c r="AX46" s="122">
        <f>+AX43/AX30</f>
        <v>9.4728497820055491E-2</v>
      </c>
      <c r="AY46" s="123">
        <f>+AY43/AY30</f>
        <v>8.1272714316254546E-2</v>
      </c>
      <c r="AZ46" s="122">
        <f t="shared" ref="AZ46" si="197">+AZ43/AZ30</f>
        <v>8.0097746402389355E-2</v>
      </c>
      <c r="BA46" s="122">
        <f>+BA43/BA30</f>
        <v>7.9675009828331811E-2</v>
      </c>
      <c r="BB46" s="122">
        <f>+BB43/BB30</f>
        <v>8.9160631603941595E-2</v>
      </c>
      <c r="BC46" s="122">
        <f>+BC43/BC30</f>
        <v>8.1718618365627632E-2</v>
      </c>
      <c r="BD46" s="123">
        <f>+BD43/BD30</f>
        <v>8.278648681492283E-2</v>
      </c>
      <c r="BE46" s="122">
        <f t="shared" ref="BE46" si="198">+BE43/BE30</f>
        <v>8.6993759941270038E-2</v>
      </c>
      <c r="BF46" s="122">
        <f>+BF43/BF30</f>
        <v>8.332395000562999E-2</v>
      </c>
      <c r="BG46" s="195">
        <v>8.6999999999999994E-2</v>
      </c>
      <c r="BH46" s="448">
        <f>BH43/BH30</f>
        <v>8.6689515504267609E-2</v>
      </c>
      <c r="BI46" s="208">
        <v>8.5999999999999993E-2</v>
      </c>
      <c r="BK46" s="439"/>
      <c r="BL46" s="439"/>
      <c r="BM46" s="439"/>
    </row>
    <row r="47" spans="1:65">
      <c r="A47" s="1" t="s">
        <v>4</v>
      </c>
      <c r="F47" s="36">
        <f>F46/'Pratt &amp; Whitney_Annual'!P46-1</f>
        <v>-5.4195131207241842E-2</v>
      </c>
      <c r="G47" s="34">
        <f t="shared" ref="G47:AH47" si="199">G46/B46-1</f>
        <v>-0.10789307981336971</v>
      </c>
      <c r="H47" s="35">
        <f t="shared" si="199"/>
        <v>-0.10863331075424354</v>
      </c>
      <c r="I47" s="35">
        <f t="shared" si="199"/>
        <v>-0.17611940298507456</v>
      </c>
      <c r="J47" s="35">
        <f t="shared" si="199"/>
        <v>-0.14935588054511928</v>
      </c>
      <c r="K47" s="36">
        <f t="shared" si="199"/>
        <v>-0.13652616777839743</v>
      </c>
      <c r="L47" s="34">
        <f t="shared" si="199"/>
        <v>-0.18097424290028652</v>
      </c>
      <c r="M47" s="35">
        <f t="shared" si="199"/>
        <v>-0.23310539018503618</v>
      </c>
      <c r="N47" s="35">
        <f t="shared" si="199"/>
        <v>-0.20108809160582608</v>
      </c>
      <c r="O47" s="35">
        <f t="shared" si="199"/>
        <v>-0.25173918642418702</v>
      </c>
      <c r="P47" s="36">
        <f t="shared" si="199"/>
        <v>-0.2187833089031368</v>
      </c>
      <c r="Q47" s="34">
        <f t="shared" si="199"/>
        <v>7.0922261933497044E-3</v>
      </c>
      <c r="R47" s="35">
        <f t="shared" si="199"/>
        <v>-7.0945945945945943E-2</v>
      </c>
      <c r="S47" s="35">
        <f t="shared" si="199"/>
        <v>-4.8482615592670419E-2</v>
      </c>
      <c r="T47" s="35">
        <f t="shared" si="199"/>
        <v>-0.30373636785547542</v>
      </c>
      <c r="U47" s="36">
        <f t="shared" si="199"/>
        <v>-0.11236883304103729</v>
      </c>
      <c r="V47" s="34">
        <f t="shared" si="199"/>
        <v>7.0374714674691585E-2</v>
      </c>
      <c r="W47" s="35">
        <f t="shared" si="199"/>
        <v>3.8354675979821451E-2</v>
      </c>
      <c r="X47" s="35">
        <f t="shared" si="199"/>
        <v>0.15207268807553787</v>
      </c>
      <c r="Y47" s="35">
        <f t="shared" si="199"/>
        <v>0.35737508466628465</v>
      </c>
      <c r="Z47" s="36">
        <f t="shared" si="199"/>
        <v>0.14900564563781638</v>
      </c>
      <c r="AA47" s="232">
        <f t="shared" si="199"/>
        <v>-5.3980171202950178E-2</v>
      </c>
      <c r="AB47" s="33">
        <f t="shared" si="199"/>
        <v>-1.477349843347866</v>
      </c>
      <c r="AC47" s="33">
        <f t="shared" si="199"/>
        <v>-1.1153110412015426</v>
      </c>
      <c r="AD47" s="33">
        <f t="shared" si="199"/>
        <v>-0.71950244188687817</v>
      </c>
      <c r="AE47" s="137">
        <f t="shared" si="199"/>
        <v>-0.7326950778380471</v>
      </c>
      <c r="AF47" s="232">
        <f t="shared" si="199"/>
        <v>-0.89725601676744804</v>
      </c>
      <c r="AG47" s="33">
        <f t="shared" si="199"/>
        <v>-1.5357925357430215</v>
      </c>
      <c r="AH47" s="33">
        <f t="shared" si="199"/>
        <v>-4.5255813953488371</v>
      </c>
      <c r="AI47" s="33">
        <f t="shared" ref="AI47" si="200">AI46/AD46-1</f>
        <v>0.35614578969417665</v>
      </c>
      <c r="AJ47" s="137">
        <f t="shared" ref="AJ47:AM47" si="201">AJ46/AE46-1</f>
        <v>8.4867626327293388E-2</v>
      </c>
      <c r="AK47" s="232">
        <f t="shared" si="201"/>
        <v>5.8516228748068011</v>
      </c>
      <c r="AL47" s="33">
        <f t="shared" si="201"/>
        <v>1.7186053531897771</v>
      </c>
      <c r="AM47" s="33">
        <f t="shared" si="201"/>
        <v>0.47769516728624528</v>
      </c>
      <c r="AN47" s="33">
        <f t="shared" ref="AN47" si="202">AN46/AI46-1</f>
        <v>0.79321970590548108</v>
      </c>
      <c r="AO47" s="137">
        <f t="shared" ref="AO47:AR47" si="203">AO46/AJ46-1</f>
        <v>1.2691788748073387</v>
      </c>
      <c r="AP47" s="232">
        <f t="shared" si="203"/>
        <v>0.22022423083608555</v>
      </c>
      <c r="AQ47" s="33">
        <f t="shared" si="203"/>
        <v>0.25418561852677124</v>
      </c>
      <c r="AR47" s="33">
        <f t="shared" si="203"/>
        <v>0.10435162073692372</v>
      </c>
      <c r="AS47" s="33">
        <f t="shared" ref="AS47" si="204">AS46/AN46-1</f>
        <v>0.10747445836048719</v>
      </c>
      <c r="AT47" s="137">
        <f t="shared" ref="AT47:AW47" si="205">AT46/AO46-1</f>
        <v>0.16992496940541013</v>
      </c>
      <c r="AU47" s="232">
        <f t="shared" si="205"/>
        <v>-0.197367218862602</v>
      </c>
      <c r="AV47" s="33">
        <f t="shared" si="205"/>
        <v>3.229116368903906E-2</v>
      </c>
      <c r="AW47" s="33">
        <f t="shared" si="205"/>
        <v>0.26340775199710187</v>
      </c>
      <c r="AX47" s="33">
        <f t="shared" ref="AX47" si="206">AX46/AS46-1</f>
        <v>0.50606616657614145</v>
      </c>
      <c r="AY47" s="137">
        <f t="shared" ref="AY47:BB47" si="207">AY46/AT46-1</f>
        <v>0.14094757769685073</v>
      </c>
      <c r="AZ47" s="232">
        <f t="shared" si="207"/>
        <v>0.20258383900889698</v>
      </c>
      <c r="BA47" s="33">
        <f t="shared" si="207"/>
        <v>9.2167911588696416E-3</v>
      </c>
      <c r="BB47" s="33">
        <f t="shared" si="207"/>
        <v>8.1128663619653762E-2</v>
      </c>
      <c r="BC47" s="33">
        <f t="shared" ref="BC47" si="208">BC46/AX46-1</f>
        <v>-0.13733860193942049</v>
      </c>
      <c r="BD47" s="137">
        <f t="shared" ref="BD47:BF47" si="209">BD46/AY46-1</f>
        <v>1.8625839082693663E-2</v>
      </c>
      <c r="BE47" s="232">
        <f t="shared" si="209"/>
        <v>8.609497580914427E-2</v>
      </c>
      <c r="BF47" s="33">
        <f t="shared" si="209"/>
        <v>4.5797800152898693E-2</v>
      </c>
      <c r="BG47" s="33">
        <f t="shared" ref="BG47" si="210">IFERROR(BG46/BB46-1,"NM")</f>
        <v>-2.4233022636484858E-2</v>
      </c>
      <c r="BH47" s="35">
        <f t="shared" ref="BH47" si="211">IFERROR(BH46/BC46-1,"NM")</f>
        <v>6.0829431995522265E-2</v>
      </c>
      <c r="BI47" s="36">
        <f>IFERROR(BI46/BD46-1,"NM")</f>
        <v>3.8816880733944847E-2</v>
      </c>
      <c r="BK47" s="380"/>
    </row>
    <row r="48" spans="1:65">
      <c r="A48" s="1"/>
      <c r="F48" s="26"/>
      <c r="K48" s="26"/>
      <c r="P48" s="26"/>
      <c r="U48" s="26"/>
      <c r="Z48" s="26"/>
      <c r="AE48" s="26"/>
      <c r="AJ48" s="26"/>
      <c r="AO48" s="26"/>
      <c r="AT48" s="26"/>
      <c r="AY48" s="378">
        <f>(AY43-AT43)/(AY30-AT30)</f>
        <v>0.13572899977111466</v>
      </c>
      <c r="BD48" s="378">
        <f>(BD43-AY43)/(BD30-AY30)</f>
        <v>9.1546391752577325E-2</v>
      </c>
      <c r="BI48" s="378">
        <f>(BI43-BD43)/(BI30-BD30)</f>
        <v>0.12472150504884845</v>
      </c>
    </row>
    <row r="49" spans="1:61">
      <c r="A49" s="13" t="s">
        <v>66</v>
      </c>
      <c r="F49" s="26"/>
      <c r="K49" s="26"/>
      <c r="P49" s="26"/>
      <c r="U49" s="26"/>
      <c r="Z49" s="26"/>
      <c r="AE49" s="26"/>
      <c r="AJ49" s="26"/>
      <c r="AO49" s="26"/>
      <c r="AT49" s="26"/>
      <c r="AY49" s="26"/>
      <c r="BD49" s="26"/>
      <c r="BI49" s="26"/>
    </row>
    <row r="50" spans="1:61">
      <c r="A50" s="1" t="s">
        <v>1</v>
      </c>
      <c r="B50" s="113"/>
      <c r="C50" s="114"/>
      <c r="D50" s="114"/>
      <c r="E50" s="114"/>
      <c r="F50" s="115"/>
      <c r="G50" s="113"/>
      <c r="H50" s="114"/>
      <c r="I50" s="114"/>
      <c r="J50" s="114"/>
      <c r="K50" s="115"/>
      <c r="L50" s="113"/>
      <c r="M50" s="114"/>
      <c r="N50" s="114"/>
      <c r="O50" s="114"/>
      <c r="P50" s="115"/>
      <c r="Q50" s="113"/>
      <c r="R50" s="114"/>
      <c r="S50" s="114"/>
      <c r="T50" s="114"/>
      <c r="U50" s="115"/>
      <c r="V50" s="113">
        <f t="shared" ref="V50:AH50" si="212">V12/V$26</f>
        <v>0.61768368617683689</v>
      </c>
      <c r="W50" s="114">
        <f t="shared" si="212"/>
        <v>0.6422196352347691</v>
      </c>
      <c r="X50" s="114">
        <f t="shared" si="212"/>
        <v>0.6422196352347691</v>
      </c>
      <c r="Y50" s="114">
        <f t="shared" si="212"/>
        <v>0.6422196352347691</v>
      </c>
      <c r="Z50" s="115">
        <f t="shared" si="212"/>
        <v>0.63656399450368506</v>
      </c>
      <c r="AA50" s="119">
        <f t="shared" si="212"/>
        <v>0.60807024098636275</v>
      </c>
      <c r="AB50" s="120">
        <f t="shared" si="212"/>
        <v>0.54143963292228281</v>
      </c>
      <c r="AC50" s="120">
        <f t="shared" ref="AC50" si="213">AC12/AC$26</f>
        <v>0.61305094447624497</v>
      </c>
      <c r="AD50" s="120">
        <f t="shared" si="212"/>
        <v>0.64972004479283318</v>
      </c>
      <c r="AE50" s="227">
        <f t="shared" si="212"/>
        <v>0.60634561581046487</v>
      </c>
      <c r="AF50" s="119">
        <f t="shared" si="212"/>
        <v>0.60124069478908193</v>
      </c>
      <c r="AG50" s="114">
        <f t="shared" si="212"/>
        <v>0.60327102803738319</v>
      </c>
      <c r="AH50" s="120">
        <f t="shared" si="212"/>
        <v>0.60888888888888892</v>
      </c>
      <c r="AI50" s="120">
        <f t="shared" ref="AI50:AM50" si="214">AI12/AI$26</f>
        <v>0.65376344086021509</v>
      </c>
      <c r="AJ50" s="227">
        <f t="shared" si="214"/>
        <v>0.61851239669421487</v>
      </c>
      <c r="AK50" s="119">
        <f t="shared" si="214"/>
        <v>0.58136453963347312</v>
      </c>
      <c r="AL50" s="114">
        <f t="shared" si="214"/>
        <v>0.60012074864157783</v>
      </c>
      <c r="AM50" s="120">
        <f t="shared" si="214"/>
        <v>0.59163568773234199</v>
      </c>
      <c r="AN50" s="120">
        <f t="shared" ref="AN50:AR50" si="215">AN12/AN$26</f>
        <v>0.63924274593064401</v>
      </c>
      <c r="AO50" s="227">
        <f t="shared" si="215"/>
        <v>0.60452995616171457</v>
      </c>
      <c r="AP50" s="119">
        <f t="shared" si="215"/>
        <v>0.58355640535372844</v>
      </c>
      <c r="AQ50" s="114">
        <f t="shared" si="215"/>
        <v>0.56112962638133657</v>
      </c>
      <c r="AR50" s="120">
        <f t="shared" si="215"/>
        <v>-1.6047516198704104</v>
      </c>
      <c r="AS50" s="120">
        <f t="shared" ref="AS50:AU50" si="216">AS12/AS$26</f>
        <v>0.5923280012424289</v>
      </c>
      <c r="AT50" s="227">
        <f t="shared" si="216"/>
        <v>0.46890030607783123</v>
      </c>
      <c r="AU50" s="119">
        <f t="shared" si="216"/>
        <v>0.61291821561338289</v>
      </c>
      <c r="AV50" s="120">
        <f t="shared" ref="AV50" si="217">AV12/AV$26</f>
        <v>0.56586298147603642</v>
      </c>
      <c r="AW50" s="120">
        <f t="shared" ref="AW50:BB50" si="218">AW12/AW$26</f>
        <v>0.56900124326564439</v>
      </c>
      <c r="AX50" s="114">
        <f t="shared" si="218"/>
        <v>0.580129475492139</v>
      </c>
      <c r="AY50" s="115">
        <f t="shared" si="218"/>
        <v>0.58134397491626877</v>
      </c>
      <c r="AZ50" s="119">
        <f t="shared" si="218"/>
        <v>0.54737985338039641</v>
      </c>
      <c r="BA50" s="120">
        <f t="shared" si="218"/>
        <v>0.54029616039837502</v>
      </c>
      <c r="BB50" s="120">
        <f t="shared" si="218"/>
        <v>0.565950373976018</v>
      </c>
      <c r="BC50" s="114">
        <f t="shared" ref="BC50:BD50" si="219">BC12/BC$26</f>
        <v>0.58393007582139844</v>
      </c>
      <c r="BD50" s="115">
        <f t="shared" si="219"/>
        <v>0.56103414752703851</v>
      </c>
      <c r="BE50" s="120">
        <f t="shared" ref="BE50:BG50" si="220">BE12/BE$26</f>
        <v>0.52465434968799707</v>
      </c>
      <c r="BF50" s="120">
        <f t="shared" si="220"/>
        <v>0.52471568517058886</v>
      </c>
      <c r="BG50" s="120">
        <f t="shared" si="220"/>
        <v>0.52947095463063154</v>
      </c>
      <c r="BH50" s="114">
        <f t="shared" ref="BH50:BI50" si="221">BH12/BH$26</f>
        <v>0.51655633391268008</v>
      </c>
      <c r="BI50" s="115">
        <f t="shared" si="221"/>
        <v>0.52374012110510759</v>
      </c>
    </row>
    <row r="51" spans="1:61">
      <c r="A51" s="1" t="s">
        <v>2</v>
      </c>
      <c r="B51" s="113"/>
      <c r="C51" s="114"/>
      <c r="D51" s="114"/>
      <c r="E51" s="114"/>
      <c r="F51" s="115"/>
      <c r="G51" s="113"/>
      <c r="H51" s="114"/>
      <c r="I51" s="114"/>
      <c r="J51" s="114"/>
      <c r="K51" s="115"/>
      <c r="L51" s="113"/>
      <c r="M51" s="114"/>
      <c r="N51" s="114"/>
      <c r="O51" s="114"/>
      <c r="P51" s="115"/>
      <c r="Q51" s="113"/>
      <c r="R51" s="114"/>
      <c r="S51" s="114"/>
      <c r="T51" s="114"/>
      <c r="U51" s="115"/>
      <c r="V51" s="113">
        <f t="shared" ref="V51:AH51" si="222">V21/V$26</f>
        <v>0.38293897882938976</v>
      </c>
      <c r="W51" s="114">
        <f t="shared" si="222"/>
        <v>0.35758634070624756</v>
      </c>
      <c r="X51" s="114">
        <f t="shared" si="222"/>
        <v>0.35758634070624756</v>
      </c>
      <c r="Y51" s="114">
        <f t="shared" si="222"/>
        <v>0.35758634070624756</v>
      </c>
      <c r="Z51" s="115">
        <f t="shared" si="222"/>
        <v>0.36343023174429651</v>
      </c>
      <c r="AA51" s="119">
        <f t="shared" si="222"/>
        <v>0.39080889220997572</v>
      </c>
      <c r="AB51" s="120">
        <f t="shared" si="222"/>
        <v>0.45942070547748781</v>
      </c>
      <c r="AC51" s="120">
        <f t="shared" ref="AC51" si="223">AC21/AC$26</f>
        <v>0.38609044075558102</v>
      </c>
      <c r="AD51" s="120">
        <f t="shared" si="222"/>
        <v>0.34960806270996642</v>
      </c>
      <c r="AE51" s="227">
        <f t="shared" si="222"/>
        <v>0.39311863801416752</v>
      </c>
      <c r="AF51" s="119">
        <f t="shared" si="222"/>
        <v>0.39875930521091812</v>
      </c>
      <c r="AG51" s="114">
        <f t="shared" si="222"/>
        <v>0.39672897196261681</v>
      </c>
      <c r="AH51" s="120">
        <f t="shared" si="222"/>
        <v>0.39111111111111113</v>
      </c>
      <c r="AI51" s="120">
        <f t="shared" ref="AI51:AM51" si="224">AI21/AI$26</f>
        <v>0.34447702834799609</v>
      </c>
      <c r="AJ51" s="227">
        <f t="shared" si="224"/>
        <v>0.38099173553719007</v>
      </c>
      <c r="AK51" s="119">
        <f t="shared" si="224"/>
        <v>0.41863546036652682</v>
      </c>
      <c r="AL51" s="114">
        <f t="shared" si="224"/>
        <v>0.39987925135842223</v>
      </c>
      <c r="AM51" s="120">
        <f t="shared" si="224"/>
        <v>0.40799256505576209</v>
      </c>
      <c r="AN51" s="120">
        <f t="shared" ref="AN51:AR51" si="225">AN21/AN$26</f>
        <v>0.36058032554847841</v>
      </c>
      <c r="AO51" s="227">
        <f t="shared" si="225"/>
        <v>0.39532391622016561</v>
      </c>
      <c r="AP51" s="119">
        <f t="shared" si="225"/>
        <v>0.41625239005736137</v>
      </c>
      <c r="AQ51" s="114">
        <f t="shared" si="225"/>
        <v>0.43887037361866338</v>
      </c>
      <c r="AR51" s="120">
        <f t="shared" si="225"/>
        <v>2.6047516198704104</v>
      </c>
      <c r="AS51" s="120">
        <f t="shared" ref="AS51:AU51" si="226">AS21/AS$26</f>
        <v>0.40782730237614534</v>
      </c>
      <c r="AT51" s="227">
        <f t="shared" si="226"/>
        <v>0.53109969392216883</v>
      </c>
      <c r="AU51" s="119">
        <f t="shared" si="226"/>
        <v>0.38708178438661711</v>
      </c>
      <c r="AV51" s="120">
        <f t="shared" ref="AV51" si="227">AV21/AV$26</f>
        <v>0.43399000294031165</v>
      </c>
      <c r="AW51" s="120">
        <f t="shared" ref="AW51:BB51" si="228">AW21/AW$26</f>
        <v>0.43099875673435556</v>
      </c>
      <c r="AX51" s="114">
        <f t="shared" si="228"/>
        <v>0.41973840665873957</v>
      </c>
      <c r="AY51" s="115">
        <f t="shared" si="228"/>
        <v>0.41858476448371695</v>
      </c>
      <c r="AZ51" s="119">
        <f t="shared" si="228"/>
        <v>0.45248438772739613</v>
      </c>
      <c r="BA51" s="120">
        <f t="shared" si="228"/>
        <v>0.45970383960162498</v>
      </c>
      <c r="BB51" s="120">
        <f t="shared" si="228"/>
        <v>0.43416834856939335</v>
      </c>
      <c r="BC51" s="114">
        <f t="shared" ref="BC51:BD51" si="229">BC21/BC$26</f>
        <v>0.4160699241786015</v>
      </c>
      <c r="BD51" s="115">
        <f t="shared" si="229"/>
        <v>0.43896585247296149</v>
      </c>
      <c r="BE51" s="120">
        <f t="shared" ref="BE51:BG51" si="230">BE21/BE$26</f>
        <v>0.47534565031200293</v>
      </c>
      <c r="BF51" s="120">
        <f t="shared" si="230"/>
        <v>0.47528431482941108</v>
      </c>
      <c r="BG51" s="120">
        <f t="shared" si="230"/>
        <v>0.47052904536936835</v>
      </c>
      <c r="BH51" s="114">
        <f t="shared" ref="BH51:BI51" si="231">BH21/BH$26</f>
        <v>0.48344366608731987</v>
      </c>
      <c r="BI51" s="115">
        <f t="shared" si="231"/>
        <v>0.47625987889489235</v>
      </c>
    </row>
    <row r="52" spans="1:61">
      <c r="A52" s="1"/>
      <c r="F52" s="26"/>
      <c r="K52" s="26"/>
      <c r="P52" s="26"/>
      <c r="U52" s="26"/>
      <c r="Z52" s="26"/>
      <c r="AE52" s="26"/>
      <c r="AJ52" s="26"/>
      <c r="AO52" s="26"/>
      <c r="AT52" s="26"/>
      <c r="AY52" s="26"/>
      <c r="BD52" s="26"/>
      <c r="BI52" s="26"/>
    </row>
    <row r="53" spans="1:61">
      <c r="A53" s="13" t="s">
        <v>67</v>
      </c>
      <c r="F53" s="26"/>
      <c r="K53" s="26"/>
      <c r="P53" s="26"/>
      <c r="U53" s="26"/>
      <c r="Z53" s="26"/>
      <c r="AE53" s="26"/>
      <c r="AJ53" s="26"/>
      <c r="AO53" s="26"/>
      <c r="AT53" s="26"/>
      <c r="AY53" s="26"/>
      <c r="BD53" s="26"/>
      <c r="BI53" s="26"/>
    </row>
    <row r="54" spans="1:61">
      <c r="A54" s="1" t="s">
        <v>1</v>
      </c>
      <c r="B54" s="31" t="str">
        <f>IFERROR(B12/$F$12,"NM")</f>
        <v>NM</v>
      </c>
      <c r="C54" s="32" t="str">
        <f>IFERROR(C12/$F$12,"NM")</f>
        <v>NM</v>
      </c>
      <c r="D54" s="32" t="str">
        <f>IFERROR(D12/$F$12,"NM")</f>
        <v>NM</v>
      </c>
      <c r="E54" s="32" t="str">
        <f>IFERROR(E12/$F$12,"NM")</f>
        <v>NM</v>
      </c>
      <c r="F54" s="118"/>
      <c r="G54" s="31" t="str">
        <f>IFERROR(G12/$K$12,"NM")</f>
        <v>NM</v>
      </c>
      <c r="H54" s="32" t="str">
        <f>IFERROR(H12/$K$12,"NM")</f>
        <v>NM</v>
      </c>
      <c r="I54" s="32" t="str">
        <f>IFERROR(I12/$K$12,"NM")</f>
        <v>NM</v>
      </c>
      <c r="J54" s="32" t="str">
        <f>IFERROR(J12/$K$12,"NM")</f>
        <v>NM</v>
      </c>
      <c r="K54" s="118"/>
      <c r="L54" s="31" t="str">
        <f>IFERROR(L12/$P$12,"NM")</f>
        <v>NM</v>
      </c>
      <c r="M54" s="32" t="str">
        <f>IFERROR(M12/$P$12,"NM")</f>
        <v>NM</v>
      </c>
      <c r="N54" s="32" t="str">
        <f>IFERROR(N12/$P$12,"NM")</f>
        <v>NM</v>
      </c>
      <c r="O54" s="32" t="str">
        <f>IFERROR(O12/$P$12,"NM")</f>
        <v>NM</v>
      </c>
      <c r="P54" s="118"/>
      <c r="Q54" s="31" t="str">
        <f>IFERROR(Q12/$U$12,"NM")</f>
        <v>NM</v>
      </c>
      <c r="R54" s="32" t="str">
        <f>IFERROR(R12/$U$12,"NM")</f>
        <v>NM</v>
      </c>
      <c r="S54" s="32" t="str">
        <f>IFERROR(S12/$U$12,"NM")</f>
        <v>NM</v>
      </c>
      <c r="T54" s="32" t="str">
        <f>IFERROR(T12/$U$12,"NM")</f>
        <v>NM</v>
      </c>
      <c r="U54" s="118"/>
      <c r="V54" s="31">
        <f>V12/$Z$12</f>
        <v>0.22366756676325586</v>
      </c>
      <c r="W54" s="32">
        <f>W12/$Z$12</f>
        <v>0.24877004233413202</v>
      </c>
      <c r="X54" s="32">
        <f>X12/$Z$12</f>
        <v>0.25509306824522465</v>
      </c>
      <c r="Y54" s="32">
        <f>Y12/$Z$12</f>
        <v>0.27246932265738749</v>
      </c>
      <c r="Z54" s="118" t="b">
        <f>1=SUM(V54:Y54)</f>
        <v>1</v>
      </c>
      <c r="AA54" s="31">
        <f>AA12/$AE$12</f>
        <v>0.31955625368152368</v>
      </c>
      <c r="AB54" s="31">
        <f>AB12/$AE$12</f>
        <v>0.18535244453171018</v>
      </c>
      <c r="AC54" s="31">
        <f>AC12/$AE$12</f>
        <v>0.21028863145493815</v>
      </c>
      <c r="AD54" s="31">
        <f>AD12/$AE$12</f>
        <v>0.28480267033182799</v>
      </c>
      <c r="AE54" s="398" t="b">
        <f>1=SUM(AA54:AD54)</f>
        <v>1</v>
      </c>
      <c r="AF54" s="31">
        <f>AF12/$AJ$12</f>
        <v>0.21583823267414928</v>
      </c>
      <c r="AG54" s="31">
        <f>AG12/$AJ$12</f>
        <v>0.23000178157847853</v>
      </c>
      <c r="AH54" s="31">
        <f>AH12/$AJ$12</f>
        <v>0.25628006413682525</v>
      </c>
      <c r="AI54" s="31">
        <f>AI12/$AJ$12</f>
        <v>0.29787992161054694</v>
      </c>
      <c r="AJ54" s="118" t="b">
        <f>1=SUM(AF54:AI54)</f>
        <v>1</v>
      </c>
      <c r="AK54" s="31">
        <f>AK12/$AO$12</f>
        <v>0.21215051164289744</v>
      </c>
      <c r="AL54" s="31">
        <f>AL12/$AO$12</f>
        <v>0.24027072758037224</v>
      </c>
      <c r="AM54" s="31">
        <f>AM12/$AO$12</f>
        <v>0.25646603819192654</v>
      </c>
      <c r="AN54" s="31">
        <f>AN12/$AO$12</f>
        <v>0.29111272258480381</v>
      </c>
      <c r="AO54" s="118" t="b">
        <f>1=SUM(AK54:AN54)</f>
        <v>1</v>
      </c>
      <c r="AP54" s="31">
        <f>AP12/$AT$12</f>
        <v>0.35575241869681778</v>
      </c>
      <c r="AQ54" s="31">
        <f t="shared" ref="AQ54:AS54" si="232">AQ12/$AT$12</f>
        <v>0.37288728290010492</v>
      </c>
      <c r="AR54" s="31">
        <f t="shared" si="232"/>
        <v>-0.17321366126588181</v>
      </c>
      <c r="AS54" s="31">
        <f t="shared" si="232"/>
        <v>0.44457395966895907</v>
      </c>
      <c r="AT54" s="118" t="b">
        <f>1=SUM(AP54:AS54)</f>
        <v>1</v>
      </c>
      <c r="AU54" s="31">
        <f>AU12/$AY$12</f>
        <v>0.24252267712674674</v>
      </c>
      <c r="AV54" s="31">
        <f t="shared" ref="AV54:AX54" si="233">AV12/$AY$12</f>
        <v>0.2359034076979652</v>
      </c>
      <c r="AW54" s="31">
        <f t="shared" si="233"/>
        <v>0.25245158126991912</v>
      </c>
      <c r="AX54" s="31">
        <f t="shared" si="233"/>
        <v>0.26912233390536894</v>
      </c>
      <c r="AY54" s="118" t="b">
        <f>1=SUM(AU54:AX54)</f>
        <v>1</v>
      </c>
      <c r="AZ54" s="31">
        <f>AZ12/$BD$12</f>
        <v>0.21833540910813884</v>
      </c>
      <c r="BA54" s="31">
        <f t="shared" ref="BA54:BC54" si="234">BA12/$BD$12</f>
        <v>0.22326311799426002</v>
      </c>
      <c r="BB54" s="31">
        <f t="shared" si="234"/>
        <v>0.25813613472680996</v>
      </c>
      <c r="BC54" s="31">
        <f t="shared" si="234"/>
        <v>0.30026533817079115</v>
      </c>
      <c r="BD54" s="118" t="b">
        <f>1=SUM(AZ54:BC54)</f>
        <v>1</v>
      </c>
      <c r="BE54" s="31">
        <f>BE12/$BI$12</f>
        <v>0.22967158730543863</v>
      </c>
      <c r="BF54" s="31">
        <f>BF12/$BI$12</f>
        <v>0.24959645448772017</v>
      </c>
      <c r="BG54" s="31">
        <f>BG12/$BI$12</f>
        <v>0.25788080719493384</v>
      </c>
      <c r="BH54" s="31">
        <f>BH12/$BI$12</f>
        <v>0.26285115101190737</v>
      </c>
      <c r="BI54" s="118" t="b">
        <f>1=SUM(BE54:BH54)</f>
        <v>1</v>
      </c>
    </row>
    <row r="55" spans="1:61">
      <c r="A55" s="1" t="s">
        <v>2</v>
      </c>
      <c r="B55" s="119" t="str">
        <f>IFERROR(B21/$F$21,"NM")</f>
        <v>NM</v>
      </c>
      <c r="C55" s="120" t="str">
        <f>IFERROR(C21/$F$21,"NM")</f>
        <v>NM</v>
      </c>
      <c r="D55" s="120" t="str">
        <f>IFERROR(D21/$F$21,"NM")</f>
        <v>NM</v>
      </c>
      <c r="E55" s="120" t="str">
        <f>IFERROR(E21/$F$21,"NM")</f>
        <v>NM</v>
      </c>
      <c r="F55" s="118"/>
      <c r="G55" s="119" t="str">
        <f>IFERROR(G21/$K$21,"NM")</f>
        <v>NM</v>
      </c>
      <c r="H55" s="120" t="str">
        <f>IFERROR(H21/$K$21,"NM")</f>
        <v>NM</v>
      </c>
      <c r="I55" s="120" t="str">
        <f>IFERROR(I21/$K$21,"NM")</f>
        <v>NM</v>
      </c>
      <c r="J55" s="120" t="str">
        <f>IFERROR(J21/$K$21,"NM")</f>
        <v>NM</v>
      </c>
      <c r="K55" s="118"/>
      <c r="L55" s="119" t="str">
        <f>IFERROR(L21/$P$21,"NM")</f>
        <v>NM</v>
      </c>
      <c r="M55" s="120" t="str">
        <f>IFERROR(M21/$P$21,"NM")</f>
        <v>NM</v>
      </c>
      <c r="N55" s="120" t="str">
        <f>IFERROR(N21/$P$21,"NM")</f>
        <v>NM</v>
      </c>
      <c r="O55" s="120" t="str">
        <f>IFERROR(O21/$P$21,"NM")</f>
        <v>NM</v>
      </c>
      <c r="P55" s="118"/>
      <c r="Q55" s="119" t="str">
        <f>IFERROR(Q21/$U$21,"NM")</f>
        <v>NM</v>
      </c>
      <c r="R55" s="120" t="str">
        <f>IFERROR(R21/$U$21,"NM")</f>
        <v>NM</v>
      </c>
      <c r="S55" s="120" t="str">
        <f>IFERROR(S21/$U$21,"NM")</f>
        <v>NM</v>
      </c>
      <c r="T55" s="120" t="str">
        <f>IFERROR(T21/$U$21,"NM")</f>
        <v>NM</v>
      </c>
      <c r="U55" s="118"/>
      <c r="V55" s="119">
        <f>V21/$Z$21</f>
        <v>0.24287760745048101</v>
      </c>
      <c r="W55" s="120">
        <f>W21/$Z$21</f>
        <v>0.24261432549118508</v>
      </c>
      <c r="X55" s="120">
        <f>X21/$Z$21</f>
        <v>0.2487808906132932</v>
      </c>
      <c r="Y55" s="120">
        <f>Y21/$Z$21</f>
        <v>0.26572717644504074</v>
      </c>
      <c r="Z55" s="118" t="b">
        <f>1=SUM(V55:Y55)</f>
        <v>1</v>
      </c>
      <c r="AA55" s="119">
        <f>AA21/$AE$21</f>
        <v>0.3167777104784979</v>
      </c>
      <c r="AB55" s="119">
        <f>AB21/$AE$21</f>
        <v>0.24258025439127801</v>
      </c>
      <c r="AC55" s="119">
        <f>AC21/$AE$21</f>
        <v>0.20427013930950938</v>
      </c>
      <c r="AD55" s="119">
        <f>AD21/$AE$21</f>
        <v>0.23637189582071472</v>
      </c>
      <c r="AE55" s="398" t="b">
        <f>1=SUM(AA55:AD55)</f>
        <v>1</v>
      </c>
      <c r="AF55" s="119">
        <f>AF21/$AJ$21</f>
        <v>0.23239334779464932</v>
      </c>
      <c r="AG55" s="119">
        <f>AG21/$AJ$21</f>
        <v>0.2455531453362256</v>
      </c>
      <c r="AH55" s="119">
        <f>AH21/$AJ$21</f>
        <v>0.26724511930585682</v>
      </c>
      <c r="AI55" s="119">
        <f>AI21/$AJ$21</f>
        <v>0.25480838756326823</v>
      </c>
      <c r="AJ55" s="118" t="b">
        <f>1=SUM(AF55:AI55)</f>
        <v>1</v>
      </c>
      <c r="AK55" s="119">
        <f>AK21/$AO$21</f>
        <v>0.23361261705273534</v>
      </c>
      <c r="AL55" s="119">
        <f>AL21/$AO$21</f>
        <v>0.24482503696402169</v>
      </c>
      <c r="AM55" s="119">
        <f>AM21/$AO$21</f>
        <v>0.27045342533267619</v>
      </c>
      <c r="AN55" s="119">
        <f>AN21/$AO$21</f>
        <v>0.25110892065056678</v>
      </c>
      <c r="AO55" s="118" t="b">
        <f>1=SUM(AK55:AN55)</f>
        <v>1</v>
      </c>
      <c r="AP55" s="119">
        <f>AP21/$AT$21</f>
        <v>0.22404034166923947</v>
      </c>
      <c r="AQ55" s="119">
        <f t="shared" ref="AQ55:AS55" si="235">AQ21/$AT$21</f>
        <v>0.25748687866625503</v>
      </c>
      <c r="AR55" s="119">
        <f t="shared" si="235"/>
        <v>0.24822476072861993</v>
      </c>
      <c r="AS55" s="119">
        <f t="shared" si="235"/>
        <v>0.27024801893588557</v>
      </c>
      <c r="AT55" s="118" t="b">
        <f>1=SUM(AP55:AS55)</f>
        <v>1</v>
      </c>
      <c r="AU55" s="119">
        <f>AU21/$AY$21</f>
        <v>0.2127170582226762</v>
      </c>
      <c r="AV55" s="119">
        <f t="shared" ref="AV55:AX55" si="236">AV21/$AY$21</f>
        <v>0.2512768130745659</v>
      </c>
      <c r="AW55" s="119">
        <f t="shared" si="236"/>
        <v>0.26557711950970375</v>
      </c>
      <c r="AX55" s="119">
        <f t="shared" si="236"/>
        <v>0.27042900919305413</v>
      </c>
      <c r="AY55" s="118" t="b">
        <f>1=SUM(AU55:AX55)</f>
        <v>1</v>
      </c>
      <c r="AZ55" s="119">
        <f>AZ21/$BD$21</f>
        <v>0.23067340300366806</v>
      </c>
      <c r="BA55" s="119">
        <f t="shared" ref="BA55:BC55" si="237">BA21/$BD$21</f>
        <v>0.24278496781784206</v>
      </c>
      <c r="BB55" s="119">
        <f t="shared" si="237"/>
        <v>0.25309710014533876</v>
      </c>
      <c r="BC55" s="119">
        <f t="shared" si="237"/>
        <v>0.27344452903315108</v>
      </c>
      <c r="BD55" s="118" t="b">
        <f>1=SUM(AZ55:BC55)</f>
        <v>1</v>
      </c>
      <c r="BE55" s="119">
        <f>BE21/$BI$21</f>
        <v>0.22883126712737242</v>
      </c>
      <c r="BF55" s="119">
        <f>BF21/$BI$21</f>
        <v>0.24862207941946948</v>
      </c>
      <c r="BG55" s="119">
        <f>BG21/$BI$21</f>
        <v>0.25202009120855007</v>
      </c>
      <c r="BH55" s="119">
        <f>BH21/$BI$21</f>
        <v>0.27052656224460808</v>
      </c>
      <c r="BI55" s="118" t="b">
        <f>1=SUM(BE55:BH55)</f>
        <v>1</v>
      </c>
    </row>
    <row r="56" spans="1:61">
      <c r="A56" s="1" t="s">
        <v>0</v>
      </c>
      <c r="B56" s="119">
        <f>B26/$F$26</f>
        <v>0.23661411731288171</v>
      </c>
      <c r="C56" s="120">
        <f>C26/$F$26</f>
        <v>0.26111347819911945</v>
      </c>
      <c r="D56" s="120">
        <f>D26/$F$26</f>
        <v>0.22965487856838518</v>
      </c>
      <c r="E56" s="120">
        <f>E26/$F$26</f>
        <v>0.27261752591961369</v>
      </c>
      <c r="F56" s="118" t="b">
        <f>1=SUM(B56:E56)</f>
        <v>1</v>
      </c>
      <c r="G56" s="119">
        <f>G26/$K$26</f>
        <v>0.24090237679602525</v>
      </c>
      <c r="H56" s="120">
        <f>H26/$K$26</f>
        <v>0.25600913119376928</v>
      </c>
      <c r="I56" s="120">
        <f>I26/$K$26</f>
        <v>0.23506109842889755</v>
      </c>
      <c r="J56" s="120">
        <f>J26/$K$26</f>
        <v>0.26802739358130789</v>
      </c>
      <c r="K56" s="118" t="b">
        <f>1=SUM(G56:J56)</f>
        <v>1</v>
      </c>
      <c r="L56" s="119">
        <f>L26/$P$26</f>
        <v>0.23254950495049506</v>
      </c>
      <c r="M56" s="120">
        <f>M26/$P$26</f>
        <v>0.25185643564356436</v>
      </c>
      <c r="N56" s="120">
        <f>N26/$P$26</f>
        <v>0.23954207920792078</v>
      </c>
      <c r="O56" s="120">
        <f>O26/$P$26</f>
        <v>0.2760519801980198</v>
      </c>
      <c r="P56" s="118" t="b">
        <f>1=SUM(L56:O56)</f>
        <v>1</v>
      </c>
      <c r="Q56" s="119">
        <f>Q26/$U$26</f>
        <v>0.22317884208898284</v>
      </c>
      <c r="R56" s="120">
        <f>R26/$U$26</f>
        <v>0.24416146826828891</v>
      </c>
      <c r="S56" s="120">
        <f>S26/$U$26</f>
        <v>0.24689384956436564</v>
      </c>
      <c r="T56" s="120">
        <f>T26/$U$26</f>
        <v>0.28576584007836264</v>
      </c>
      <c r="U56" s="118" t="b">
        <f>1=SUM(Q56:T56)</f>
        <v>1</v>
      </c>
      <c r="V56" s="119">
        <f>V26/$Z$26</f>
        <v>0.23050425796574492</v>
      </c>
      <c r="W56" s="120">
        <f>W26/$Z$26</f>
        <v>0.24657927471055402</v>
      </c>
      <c r="X56" s="120">
        <f>X26/$Z$26</f>
        <v>0.25284661754855997</v>
      </c>
      <c r="Y56" s="120">
        <f>Y26/$Z$26</f>
        <v>0.27006984977514115</v>
      </c>
      <c r="Z56" s="118" t="b">
        <f>1=SUM(V56:Y56)</f>
        <v>1</v>
      </c>
      <c r="AA56" s="119">
        <f>AA26/$AE$26</f>
        <v>0.31864991963807371</v>
      </c>
      <c r="AB56" s="119">
        <f>AB26/$AE$26</f>
        <v>0.20757187927852849</v>
      </c>
      <c r="AC56" s="119">
        <f>AC26/$AE$26</f>
        <v>0.20798857074825883</v>
      </c>
      <c r="AD56" s="119">
        <f>AD26/$AE$26</f>
        <v>0.26578963033513897</v>
      </c>
      <c r="AE56" s="398" t="b">
        <f>1=SUM(AA56:AD56)</f>
        <v>1</v>
      </c>
      <c r="AF56" s="119">
        <f>AF26/$AJ$26</f>
        <v>0.22203856749311296</v>
      </c>
      <c r="AG56" s="119">
        <f>AG26/$AJ$26</f>
        <v>0.23581267217630855</v>
      </c>
      <c r="AH56" s="119">
        <f>AH26/$AJ$26</f>
        <v>0.26033057851239672</v>
      </c>
      <c r="AI56" s="119">
        <f>AI26/$AJ$26</f>
        <v>0.2818181818181818</v>
      </c>
      <c r="AJ56" s="118" t="b">
        <f>1=SUM(AF56:AI56)</f>
        <v>1</v>
      </c>
      <c r="AK56" s="119">
        <f>AK26/$AO$26</f>
        <v>0.22060399415489529</v>
      </c>
      <c r="AL56" s="119">
        <f>AL26/$AO$26</f>
        <v>0.24203604481246957</v>
      </c>
      <c r="AM56" s="119">
        <f>AM26/$AO$26</f>
        <v>0.26205552849488556</v>
      </c>
      <c r="AN56" s="119">
        <f>AN26/$AO$26</f>
        <v>0.27530443253774961</v>
      </c>
      <c r="AO56" s="118" t="b">
        <f>1=SUM(AK56:AN56)</f>
        <v>1</v>
      </c>
      <c r="AP56" s="119">
        <f>AP26/$AT$26</f>
        <v>0.28585483165719283</v>
      </c>
      <c r="AQ56" s="119">
        <f t="shared" ref="AQ56:AS56" si="238">AQ26/$AT$26</f>
        <v>0.31159816353301267</v>
      </c>
      <c r="AR56" s="119">
        <f t="shared" si="238"/>
        <v>5.061215566243988E-2</v>
      </c>
      <c r="AS56" s="119">
        <f t="shared" si="238"/>
        <v>0.35193484914735462</v>
      </c>
      <c r="AT56" s="118" t="b">
        <f>1=SUM(AP56:AS56)</f>
        <v>1</v>
      </c>
      <c r="AU56" s="119">
        <f>AU26/$AY$26</f>
        <v>0.23002921684600583</v>
      </c>
      <c r="AV56" s="119">
        <f t="shared" ref="AV56:AX56" si="239">AV26/$AY$26</f>
        <v>0.24235730064847147</v>
      </c>
      <c r="AW56" s="119">
        <f t="shared" si="239"/>
        <v>0.25792774175158556</v>
      </c>
      <c r="AX56" s="119">
        <f t="shared" si="239"/>
        <v>0.26968574075393714</v>
      </c>
      <c r="AY56" s="118" t="b">
        <f>1=SUM(AU56:AX56)</f>
        <v>1</v>
      </c>
      <c r="AZ56" s="119">
        <f>AZ26/$BD$26</f>
        <v>0.22378174747842994</v>
      </c>
      <c r="BA56" s="119">
        <f t="shared" ref="BA56:BC56" si="240">BA26/$BD$26</f>
        <v>0.23183254344391785</v>
      </c>
      <c r="BB56" s="119">
        <f t="shared" si="240"/>
        <v>0.25589379025397985</v>
      </c>
      <c r="BC56" s="119">
        <f t="shared" si="240"/>
        <v>0.28849191882367237</v>
      </c>
      <c r="BD56" s="118" t="b">
        <f>1=SUM(AZ56:BC56)</f>
        <v>1</v>
      </c>
      <c r="BE56" s="119">
        <f>BE26/$BI$26</f>
        <v>0.22927137651919988</v>
      </c>
      <c r="BF56" s="119">
        <f>BF26/$BI$26</f>
        <v>0.24913239873571691</v>
      </c>
      <c r="BG56" s="119">
        <f>BG26/$BI$26</f>
        <v>0.25508958330902137</v>
      </c>
      <c r="BH56" s="119">
        <f>BH26/$BI$26</f>
        <v>0.2665066414360619</v>
      </c>
      <c r="BI56" s="118" t="b">
        <f>1=SUM(BE56:BH56)</f>
        <v>1</v>
      </c>
    </row>
    <row r="57" spans="1:61">
      <c r="A57" s="1" t="s">
        <v>9</v>
      </c>
      <c r="B57" s="119">
        <f>B43/$F$43</f>
        <v>0.22582331416623105</v>
      </c>
      <c r="C57" s="120">
        <f>C43/$F$43</f>
        <v>0.25561944589649765</v>
      </c>
      <c r="D57" s="120">
        <f>D43/$F$43</f>
        <v>0.23052796654469421</v>
      </c>
      <c r="E57" s="120">
        <f>E43/$F$43</f>
        <v>0.28802927339257711</v>
      </c>
      <c r="F57" s="118" t="b">
        <f>1=SUM(B57:E57)</f>
        <v>1</v>
      </c>
      <c r="G57" s="119">
        <f>G43/$K$43</f>
        <v>0.23700742432895489</v>
      </c>
      <c r="H57" s="120">
        <f>H43/$K$43</f>
        <v>0.25813820673900628</v>
      </c>
      <c r="I57" s="120">
        <f>I43/$K$43</f>
        <v>0.23643632210165619</v>
      </c>
      <c r="J57" s="120">
        <f>J43/$K$43</f>
        <v>0.26841804683038262</v>
      </c>
      <c r="K57" s="118" t="b">
        <f>1=SUM(G57:J57)</f>
        <v>1</v>
      </c>
      <c r="L57" s="119">
        <f>L43/$P$43</f>
        <v>0.23717521652231846</v>
      </c>
      <c r="M57" s="120">
        <f>M43/$P$43</f>
        <v>0.24650233177881412</v>
      </c>
      <c r="N57" s="120">
        <f>N43/$P$43</f>
        <v>0.25449700199866754</v>
      </c>
      <c r="O57" s="120">
        <f>O43/$P$43</f>
        <v>0.26182544970019989</v>
      </c>
      <c r="P57" s="118" t="b">
        <f>1=SUM(L57:O57)</f>
        <v>1</v>
      </c>
      <c r="Q57" s="119">
        <f>Q43/$U$43</f>
        <v>0.26440460947503203</v>
      </c>
      <c r="R57" s="120">
        <f>R43/$U$43</f>
        <v>0.25608194622279129</v>
      </c>
      <c r="S57" s="120">
        <f>S43/$U$43</f>
        <v>0.26184379001280411</v>
      </c>
      <c r="T57" s="120">
        <f>T43/$U$43</f>
        <v>0.2176696542893726</v>
      </c>
      <c r="U57" s="118" t="b">
        <f>1=SUM(Q57:T57)</f>
        <v>1</v>
      </c>
      <c r="V57" s="119">
        <f>V43/$Z$43</f>
        <v>0.25439503619441572</v>
      </c>
      <c r="W57" s="120">
        <f>W43/$Z$43</f>
        <v>0.23371251292657705</v>
      </c>
      <c r="X57" s="120">
        <f>X43/$Z$43</f>
        <v>0.26887280248190282</v>
      </c>
      <c r="Y57" s="120">
        <f>Y43/$Z$43</f>
        <v>0.24301964839710444</v>
      </c>
      <c r="Z57" s="118" t="b">
        <f>1=SUM(V57:Y57)</f>
        <v>1</v>
      </c>
      <c r="AA57" s="119">
        <f>AA43/$AE$43</f>
        <v>1.2089201877934272</v>
      </c>
      <c r="AB57" s="119">
        <f>AB43/$AE$43</f>
        <v>-0.35446009389671362</v>
      </c>
      <c r="AC57" s="119">
        <f>AC43/$AE$43</f>
        <v>-0.10093896713615023</v>
      </c>
      <c r="AD57" s="119">
        <f>AD43/$AE$43</f>
        <v>0.24647887323943662</v>
      </c>
      <c r="AE57" s="398" t="b">
        <f>1=SUM(AA57:AD57)</f>
        <v>1</v>
      </c>
      <c r="AF57" s="119">
        <f>AF43/$AJ$43</f>
        <v>8.2135523613963035E-2</v>
      </c>
      <c r="AG57" s="119">
        <f>AG43/$AJ$43</f>
        <v>0.1971252566735113</v>
      </c>
      <c r="AH57" s="119">
        <f>AH43/$AJ$43</f>
        <v>0.38809034907597534</v>
      </c>
      <c r="AI57" s="119">
        <f>AI43/$AJ$43</f>
        <v>0.3326488706365503</v>
      </c>
      <c r="AJ57" s="118" t="b">
        <f>1=SUM(AF57:AI57)</f>
        <v>1</v>
      </c>
      <c r="AK57" s="119">
        <f>AK43/$AO$43</f>
        <v>0.24640000000000001</v>
      </c>
      <c r="AL57" s="119">
        <f>AL43/$AO$43</f>
        <v>0.2424</v>
      </c>
      <c r="AM57" s="119">
        <f>AM43/$AO$43</f>
        <v>0.25440000000000002</v>
      </c>
      <c r="AN57" s="119">
        <f>AN43/$AO$43</f>
        <v>0.25679999999999997</v>
      </c>
      <c r="AO57" s="118" t="b">
        <f>1=SUM(AK57:AN57)</f>
        <v>1</v>
      </c>
      <c r="AP57" s="119">
        <f>AP43/$AT$43</f>
        <v>0.25710900473933651</v>
      </c>
      <c r="AQ57" s="119">
        <f t="shared" ref="AQ57:AS57" si="241">AQ43/$AT$43</f>
        <v>0.25829383886255924</v>
      </c>
      <c r="AR57" s="119">
        <f t="shared" si="241"/>
        <v>0.24466824644549762</v>
      </c>
      <c r="AS57" s="119">
        <f t="shared" si="241"/>
        <v>0.23992890995260663</v>
      </c>
      <c r="AT57" s="118" t="b">
        <f>1=SUM(AP57:AS57)</f>
        <v>1</v>
      </c>
      <c r="AU57" s="119">
        <f>AU43/$AY$43</f>
        <v>0.18851380973257342</v>
      </c>
      <c r="AV57" s="119">
        <f t="shared" ref="AV57:AX57" si="242">AV43/$AY$43</f>
        <v>0.23542306006137659</v>
      </c>
      <c r="AW57" s="119">
        <f t="shared" si="242"/>
        <v>0.26172731258220078</v>
      </c>
      <c r="AX57" s="119">
        <f t="shared" si="242"/>
        <v>0.31433581762384921</v>
      </c>
      <c r="AY57" s="118" t="b">
        <f>1=SUM(AU57:AX57)</f>
        <v>1</v>
      </c>
      <c r="AZ57" s="119">
        <f>AZ43/$BD$43</f>
        <v>0.21651376146788992</v>
      </c>
      <c r="BA57" s="119">
        <f t="shared" ref="BA57:BC57" si="243">BA43/$BD$43</f>
        <v>0.22311926605504587</v>
      </c>
      <c r="BB57" s="119">
        <f t="shared" si="243"/>
        <v>0.27559633027522934</v>
      </c>
      <c r="BC57" s="119">
        <f t="shared" si="243"/>
        <v>0.28477064220183484</v>
      </c>
      <c r="BD57" s="118" t="b">
        <f>1=SUM(AZ57:BC57)</f>
        <v>1</v>
      </c>
      <c r="BE57" s="119">
        <f>BE43/$BI$43</f>
        <v>0.23192068709669547</v>
      </c>
      <c r="BF57" s="119">
        <f>BF43/$BI$43</f>
        <v>0.24138018066322736</v>
      </c>
      <c r="BG57" s="119">
        <f>BG43/$BI$43</f>
        <v>0.25805574125447506</v>
      </c>
      <c r="BH57" s="119">
        <f>BH43/$BI$43</f>
        <v>0.26864339098560208</v>
      </c>
      <c r="BI57" s="118" t="b">
        <f>1=SUM(BE57:BH57)</f>
        <v>1</v>
      </c>
    </row>
    <row r="58" spans="1:61">
      <c r="A58" s="1"/>
      <c r="F58" s="26"/>
      <c r="K58" s="26"/>
      <c r="P58" s="26"/>
      <c r="U58" s="26"/>
      <c r="Z58" s="26"/>
      <c r="AE58" s="26"/>
      <c r="AJ58" s="26"/>
      <c r="AO58" s="26"/>
      <c r="AT58" s="26"/>
      <c r="AY58" s="26"/>
      <c r="BD58" s="26"/>
      <c r="BI58" s="26"/>
    </row>
    <row r="59" spans="1:61">
      <c r="A59" s="13" t="s">
        <v>384</v>
      </c>
      <c r="F59" s="26"/>
      <c r="K59" s="26"/>
      <c r="P59" s="26"/>
      <c r="U59" s="26"/>
      <c r="Z59" s="26"/>
      <c r="AE59" s="26"/>
      <c r="AJ59" s="26"/>
      <c r="AO59" s="26"/>
      <c r="AT59" s="26"/>
      <c r="AY59" s="26"/>
      <c r="BD59" s="26"/>
      <c r="BI59" s="26"/>
    </row>
    <row r="60" spans="1:61">
      <c r="A60" s="1" t="s">
        <v>387</v>
      </c>
      <c r="F60" s="26"/>
      <c r="K60" s="26"/>
      <c r="P60" s="26"/>
      <c r="U60" s="230">
        <v>0.25</v>
      </c>
      <c r="Z60" s="115"/>
      <c r="AE60" s="26"/>
      <c r="AJ60" s="26"/>
      <c r="AO60" s="26"/>
      <c r="AT60" s="26"/>
      <c r="AY60" s="26"/>
      <c r="BD60" s="26"/>
      <c r="BI60" s="26"/>
    </row>
    <row r="61" spans="1:61">
      <c r="A61" s="1" t="s">
        <v>388</v>
      </c>
      <c r="F61" s="26"/>
      <c r="K61" s="26"/>
      <c r="P61" s="26"/>
      <c r="U61" s="230">
        <v>0.35</v>
      </c>
      <c r="Z61" s="115"/>
      <c r="AE61" s="26"/>
      <c r="AJ61" s="26"/>
      <c r="AO61" s="26"/>
      <c r="AT61" s="26"/>
      <c r="AY61" s="26"/>
      <c r="BD61" s="26"/>
      <c r="BI61" s="26"/>
    </row>
    <row r="62" spans="1:61">
      <c r="A62" s="1" t="s">
        <v>389</v>
      </c>
      <c r="F62" s="26"/>
      <c r="K62" s="26"/>
      <c r="P62" s="26"/>
      <c r="U62" s="230">
        <v>0.4</v>
      </c>
      <c r="Z62" s="115"/>
      <c r="AE62" s="26"/>
      <c r="AJ62" s="26"/>
      <c r="AO62" s="26"/>
      <c r="AT62" s="26"/>
      <c r="AY62" s="26"/>
      <c r="BD62" s="26"/>
      <c r="BI62" s="26"/>
    </row>
    <row r="63" spans="1:61">
      <c r="F63" s="26"/>
      <c r="K63" s="26"/>
      <c r="P63" s="26"/>
      <c r="U63" s="26"/>
      <c r="Z63" s="26"/>
      <c r="AE63" s="26"/>
      <c r="AJ63" s="26"/>
      <c r="AO63" s="26"/>
      <c r="AT63" s="26"/>
      <c r="AY63" s="26"/>
      <c r="BD63" s="26"/>
      <c r="BI63" s="26"/>
    </row>
    <row r="64" spans="1:61">
      <c r="A64" s="536" t="s">
        <v>495</v>
      </c>
      <c r="B64" s="62"/>
      <c r="C64" s="62"/>
      <c r="D64" s="62"/>
      <c r="E64" s="62"/>
      <c r="F64" s="63"/>
      <c r="G64" s="62"/>
      <c r="H64" s="62"/>
      <c r="I64" s="62"/>
      <c r="J64" s="62"/>
      <c r="K64" s="63"/>
      <c r="L64" s="62"/>
      <c r="M64" s="62"/>
      <c r="N64" s="62"/>
      <c r="O64" s="62"/>
      <c r="P64" s="63"/>
      <c r="Q64" s="62"/>
      <c r="R64" s="62"/>
      <c r="S64" s="62"/>
      <c r="T64" s="62"/>
      <c r="U64" s="63"/>
      <c r="V64" s="62"/>
      <c r="W64" s="62"/>
      <c r="X64" s="62"/>
      <c r="Y64" s="62"/>
      <c r="Z64" s="63"/>
      <c r="AA64" s="62"/>
      <c r="AB64" s="62"/>
      <c r="AC64" s="62"/>
      <c r="AD64" s="62"/>
      <c r="AE64" s="63"/>
      <c r="AF64" s="62"/>
      <c r="AG64" s="62"/>
      <c r="AH64" s="62"/>
      <c r="AI64" s="62"/>
      <c r="AJ64" s="63"/>
      <c r="AK64" s="537"/>
      <c r="AL64" s="62"/>
      <c r="AM64" s="62"/>
      <c r="AN64" s="62"/>
      <c r="AO64" s="63"/>
      <c r="AP64" s="537"/>
      <c r="AQ64" s="62"/>
      <c r="AR64" s="62"/>
      <c r="AS64" s="62"/>
      <c r="AT64" s="63"/>
      <c r="AU64" s="62"/>
      <c r="AV64" s="62"/>
      <c r="AW64" s="62"/>
      <c r="AX64" s="62"/>
      <c r="AY64" s="63"/>
      <c r="AZ64" s="62"/>
      <c r="BA64" s="62"/>
      <c r="BB64" s="62"/>
      <c r="BC64" s="62"/>
      <c r="BD64" s="63"/>
      <c r="BE64" s="62"/>
      <c r="BF64" s="62"/>
      <c r="BG64" s="62"/>
      <c r="BH64" s="62"/>
      <c r="BI64" s="63"/>
    </row>
    <row r="65" spans="1:59">
      <c r="A65" s="1" t="s">
        <v>494</v>
      </c>
      <c r="AZ65" s="440">
        <v>0.03</v>
      </c>
      <c r="BA65" s="440">
        <v>0.15</v>
      </c>
      <c r="BB65" s="440">
        <v>0.05</v>
      </c>
      <c r="BE65" s="440"/>
      <c r="BF65" s="440"/>
      <c r="BG65" s="440"/>
    </row>
    <row r="66" spans="1:59">
      <c r="A66" s="1" t="s">
        <v>386</v>
      </c>
      <c r="AZ66" s="440">
        <v>0.28000000000000003</v>
      </c>
      <c r="BA66" s="440">
        <v>0.19</v>
      </c>
      <c r="BB66" s="440">
        <v>0.23</v>
      </c>
      <c r="BE66" s="440"/>
      <c r="BF66" s="440"/>
      <c r="BG66" s="440"/>
    </row>
    <row r="67" spans="1:59">
      <c r="A67" s="1" t="s">
        <v>385</v>
      </c>
      <c r="AZ67" s="440">
        <v>0.04</v>
      </c>
      <c r="BA67" s="25" t="s">
        <v>496</v>
      </c>
      <c r="BB67" s="440">
        <v>0.15</v>
      </c>
      <c r="BE67" s="440"/>
      <c r="BG67" s="440"/>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878FB-A4F8-4D96-A2AF-A5D5756B6798}">
  <sheetPr codeName="Sheet47">
    <tabColor theme="8" tint="0.39997558519241921"/>
  </sheetPr>
  <dimension ref="A1:AM41"/>
  <sheetViews>
    <sheetView showGridLines="0" zoomScale="80" zoomScaleNormal="80" workbookViewId="0">
      <pane xSplit="1" ySplit="2" topLeftCell="T11" activePane="bottomRight" state="frozen"/>
      <selection activeCell="O15" sqref="O15"/>
      <selection pane="topRight" activeCell="O15" sqref="O15"/>
      <selection pane="bottomLeft" activeCell="O15" sqref="O15"/>
      <selection pane="bottomRight" activeCell="AD13" sqref="AD13"/>
    </sheetView>
  </sheetViews>
  <sheetFormatPr defaultRowHeight="15" outlineLevelRow="1"/>
  <cols>
    <col min="1" max="1" width="47.85546875" customWidth="1"/>
    <col min="2" max="11" width="12.140625" style="25" hidden="1" customWidth="1"/>
    <col min="12" max="21" width="12.140625" style="25" customWidth="1"/>
    <col min="22" max="32" width="12.140625" customWidth="1"/>
    <col min="34" max="34" width="11.5703125" customWidth="1"/>
    <col min="36" max="36" width="38.42578125" customWidth="1"/>
    <col min="37" max="37" width="43.85546875" customWidth="1"/>
    <col min="38" max="38" width="16.28515625" customWidth="1"/>
    <col min="39" max="39" width="14" customWidth="1"/>
  </cols>
  <sheetData>
    <row r="1" spans="1:39">
      <c r="A1" s="14" t="s">
        <v>451</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row>
    <row r="2" spans="1:39">
      <c r="A2" s="6"/>
      <c r="B2" s="110" t="str">
        <f>ProForma_IS_Annual!B2</f>
        <v>CY2000A</v>
      </c>
      <c r="C2" s="110" t="str">
        <f>ProForma_IS_Annual!C2</f>
        <v>CY2001A</v>
      </c>
      <c r="D2" s="110" t="str">
        <f>ProForma_IS_Annual!D2</f>
        <v>CY2002A</v>
      </c>
      <c r="E2" s="110" t="str">
        <f>ProForma_IS_Annual!E2</f>
        <v>CY2003A</v>
      </c>
      <c r="F2" s="110" t="str">
        <f>ProForma_IS_Annual!F2</f>
        <v>CY2004A</v>
      </c>
      <c r="G2" s="110" t="str">
        <f>ProForma_IS_Annual!G2</f>
        <v>CY2005A</v>
      </c>
      <c r="H2" s="110" t="str">
        <f>ProForma_IS_Annual!H2</f>
        <v>CY2006A</v>
      </c>
      <c r="I2" s="110" t="str">
        <f>ProForma_IS_Annual!I2</f>
        <v>CY2007A</v>
      </c>
      <c r="J2" s="237" t="str">
        <f>ProForma_IS_Annual!J2</f>
        <v>CY2008A</v>
      </c>
      <c r="K2" s="110" t="str">
        <f>ProForma_IS_Annual!K2</f>
        <v>CY2009A</v>
      </c>
      <c r="L2" s="110" t="str">
        <f>ProForma_IS_Annual!L2</f>
        <v>CY2010A</v>
      </c>
      <c r="M2" s="110" t="str">
        <f>ProForma_IS_Annual!M2</f>
        <v>CY2011A</v>
      </c>
      <c r="N2" s="110" t="str">
        <f>ProForma_IS_Annual!N2</f>
        <v>CY2012A</v>
      </c>
      <c r="O2" s="110" t="str">
        <f>ProForma_IS_Annual!O2</f>
        <v>CY2013A</v>
      </c>
      <c r="P2" s="110" t="str">
        <f>ProForma_IS_Annual!P2</f>
        <v>CY2014A</v>
      </c>
      <c r="Q2" s="110" t="str">
        <f>ProForma_IS_Annual!Q2</f>
        <v>CY2015A</v>
      </c>
      <c r="R2" s="110" t="str">
        <f>ProForma_IS_Annual!R2</f>
        <v>CY2016A</v>
      </c>
      <c r="S2" s="110" t="str">
        <f>ProForma_IS_Annual!S2</f>
        <v>CY2017A</v>
      </c>
      <c r="T2" s="110" t="str">
        <f>ProForma_IS_Annual!T2</f>
        <v>CY2018A</v>
      </c>
      <c r="U2" s="110" t="str">
        <f>ProForma_IS_Annual!U2</f>
        <v>CY2019A</v>
      </c>
      <c r="V2" s="110" t="str">
        <f>ProForma_IS_Annual!V2</f>
        <v>CY2020A</v>
      </c>
      <c r="W2" s="109" t="str">
        <f>ProForma_IS_Annual!W2</f>
        <v>CY2021A</v>
      </c>
      <c r="X2" s="109" t="str">
        <f>ProForma_IS_Annual!X2</f>
        <v>CY2022A</v>
      </c>
      <c r="Y2" s="109" t="str">
        <f>ProForma_IS_Annual!Y2</f>
        <v>CY2023A</v>
      </c>
      <c r="Z2" s="109" t="str">
        <f>ProForma_IS_Annual!Z2</f>
        <v>CY2024A</v>
      </c>
      <c r="AA2" s="109" t="str">
        <f>ProForma_IS_Annual!AA2</f>
        <v>CY2025A</v>
      </c>
      <c r="AB2" s="109" t="str">
        <f>ProForma_IS_Annual!AB2</f>
        <v>CY2026E</v>
      </c>
      <c r="AC2" s="109" t="str">
        <f>ProForma_IS_Annual!AC2</f>
        <v>CY2027E</v>
      </c>
      <c r="AD2" s="109" t="str">
        <f>ProForma_IS_Annual!AD2</f>
        <v>CY2028E</v>
      </c>
      <c r="AE2" s="109" t="str">
        <f>ProForma_IS_Annual!AE2</f>
        <v>CY2029E</v>
      </c>
      <c r="AF2" s="109" t="str">
        <f>ProForma_IS_Annual!AF2</f>
        <v>CY2030E</v>
      </c>
      <c r="AG2" s="314"/>
    </row>
    <row r="3" spans="1:39" hidden="1" outlineLevel="1">
      <c r="A3" s="121" t="str">
        <f>'Recast Raytheon_Qtr'!A3</f>
        <v>Products (F/A-18 &amp; F-15 radar, MTS, NGJ)</v>
      </c>
      <c r="B3" s="199"/>
      <c r="C3" s="199"/>
      <c r="D3" s="199"/>
      <c r="E3" s="199"/>
      <c r="F3" s="199"/>
      <c r="G3" s="199"/>
      <c r="H3" s="199"/>
      <c r="I3" s="199"/>
      <c r="J3" s="210"/>
      <c r="K3" s="199"/>
      <c r="L3" s="199"/>
      <c r="M3" s="199"/>
      <c r="N3" s="199"/>
      <c r="O3" s="199"/>
      <c r="P3" s="199"/>
      <c r="Q3" s="199"/>
      <c r="R3" s="199"/>
      <c r="S3" s="199"/>
      <c r="T3" s="199"/>
      <c r="U3" s="199">
        <f>'Recast Raytheon_Qtr'!Z3</f>
        <v>0</v>
      </c>
      <c r="V3" s="199">
        <f>'Recast Raytheon_Qtr'!AE3</f>
        <v>0</v>
      </c>
      <c r="W3" s="199">
        <f>'Recast Raytheon_Qtr'!AJ3</f>
        <v>0</v>
      </c>
      <c r="X3" s="199">
        <f>'Recast Raytheon_Qtr'!AO3</f>
        <v>0</v>
      </c>
      <c r="Y3" s="203">
        <f>'Recast Raytheon_Qtr'!AT3</f>
        <v>21847</v>
      </c>
      <c r="Z3" s="203">
        <f>'Recast Raytheon_Qtr'!AY3</f>
        <v>22872</v>
      </c>
      <c r="AA3" s="203">
        <f>'Recast Raytheon_Qtr'!BD3</f>
        <v>24063</v>
      </c>
      <c r="AB3" s="203">
        <f>'Recast Raytheon_Qtr'!BI3</f>
        <v>0</v>
      </c>
      <c r="AC3" s="204">
        <f>AB3*(1+AC4)</f>
        <v>0</v>
      </c>
      <c r="AD3" s="204">
        <f>AC3*(1+AD4)</f>
        <v>0</v>
      </c>
      <c r="AE3" s="204">
        <f>AD3*(1+AE4)</f>
        <v>0</v>
      </c>
      <c r="AF3" s="204">
        <f>AE3*(1+AF4)</f>
        <v>0</v>
      </c>
    </row>
    <row r="4" spans="1:39" hidden="1" outlineLevel="1">
      <c r="A4" s="1" t="str">
        <f>'Recast Raytheon_Qtr'!A4</f>
        <v>YoY</v>
      </c>
      <c r="B4" s="200"/>
      <c r="C4" s="200"/>
      <c r="D4" s="200"/>
      <c r="E4" s="200"/>
      <c r="F4" s="200"/>
      <c r="G4" s="200"/>
      <c r="H4" s="200"/>
      <c r="I4" s="200"/>
      <c r="J4" s="211"/>
      <c r="K4" s="200"/>
      <c r="L4" s="200"/>
      <c r="M4" s="200"/>
      <c r="N4" s="200"/>
      <c r="O4" s="200"/>
      <c r="P4" s="200"/>
      <c r="Q4" s="200"/>
      <c r="R4" s="200"/>
      <c r="S4" s="200"/>
      <c r="T4" s="200"/>
      <c r="U4" s="200">
        <f>'Recast Raytheon_Qtr'!Z4</f>
        <v>0</v>
      </c>
      <c r="V4" s="200" t="str">
        <f>'Recast Raytheon_Qtr'!AE4</f>
        <v>NM</v>
      </c>
      <c r="W4" s="200" t="str">
        <f>'Recast Raytheon_Qtr'!AJ4</f>
        <v>NM</v>
      </c>
      <c r="X4" s="200" t="str">
        <f>'Recast Raytheon_Qtr'!AO4</f>
        <v>NM</v>
      </c>
      <c r="Y4" s="200" t="str">
        <f>'Recast Raytheon_Qtr'!AT4</f>
        <v>NM</v>
      </c>
      <c r="Z4" s="200">
        <f>'Recast Raytheon_Qtr'!AY4</f>
        <v>4.6917196869135314E-2</v>
      </c>
      <c r="AA4" s="200">
        <f>'Recast Raytheon_Qtr'!BD4</f>
        <v>5.2072402938090345E-2</v>
      </c>
      <c r="AB4" s="200">
        <f>'Recast Raytheon_Qtr'!BI4</f>
        <v>0</v>
      </c>
      <c r="AC4" s="218">
        <v>0.1</v>
      </c>
      <c r="AD4" s="218">
        <v>0.1</v>
      </c>
      <c r="AE4" s="218">
        <v>0.1</v>
      </c>
      <c r="AF4" s="218">
        <v>0.1</v>
      </c>
      <c r="AG4" s="215"/>
    </row>
    <row r="5" spans="1:39" hidden="1" outlineLevel="1">
      <c r="A5" s="1"/>
      <c r="B5" s="38"/>
      <c r="C5" s="38"/>
      <c r="D5" s="38"/>
      <c r="E5" s="38"/>
      <c r="F5" s="38"/>
      <c r="G5" s="38"/>
      <c r="H5" s="38"/>
      <c r="I5" s="38"/>
      <c r="J5" s="179"/>
      <c r="K5" s="38"/>
      <c r="L5" s="38"/>
      <c r="M5" s="38"/>
      <c r="N5" s="38"/>
      <c r="O5" s="38"/>
      <c r="P5" s="38"/>
      <c r="Q5" s="38"/>
      <c r="R5" s="38"/>
      <c r="S5" s="38"/>
      <c r="T5" s="38"/>
      <c r="U5" s="38"/>
      <c r="V5" s="38"/>
      <c r="W5" s="38"/>
      <c r="X5" s="38"/>
      <c r="Y5" s="292"/>
      <c r="Z5" s="292"/>
      <c r="AA5" s="292"/>
      <c r="AB5" s="292"/>
      <c r="AC5" s="206"/>
      <c r="AD5" s="206"/>
      <c r="AE5" s="206"/>
      <c r="AF5" s="206"/>
    </row>
    <row r="6" spans="1:39" hidden="1" outlineLevel="1">
      <c r="A6" s="121" t="str">
        <f>'Recast Raytheon_Qtr'!A6</f>
        <v>Services (Warfighter FOCUS, DOMino)</v>
      </c>
      <c r="B6" s="199"/>
      <c r="C6" s="199"/>
      <c r="D6" s="199"/>
      <c r="E6" s="199"/>
      <c r="F6" s="199"/>
      <c r="G6" s="199"/>
      <c r="H6" s="199"/>
      <c r="I6" s="199"/>
      <c r="J6" s="210"/>
      <c r="K6" s="199"/>
      <c r="L6" s="199"/>
      <c r="M6" s="199"/>
      <c r="N6" s="199"/>
      <c r="O6" s="199"/>
      <c r="P6" s="199"/>
      <c r="Q6" s="199"/>
      <c r="R6" s="199"/>
      <c r="S6" s="199"/>
      <c r="T6" s="199"/>
      <c r="U6" s="199">
        <f>'Recast Raytheon_Qtr'!Z6</f>
        <v>0</v>
      </c>
      <c r="V6" s="199">
        <f>'Recast Raytheon_Qtr'!AE6</f>
        <v>0</v>
      </c>
      <c r="W6" s="199">
        <f>'Recast Raytheon_Qtr'!AJ6</f>
        <v>0</v>
      </c>
      <c r="X6" s="199">
        <f>'Recast Raytheon_Qtr'!AO6</f>
        <v>0</v>
      </c>
      <c r="Y6" s="203">
        <f>'Recast Raytheon_Qtr'!AT6</f>
        <v>4373</v>
      </c>
      <c r="Z6" s="203">
        <f>'Recast Raytheon_Qtr'!AY6</f>
        <v>3698</v>
      </c>
      <c r="AA6" s="203">
        <f>'Recast Raytheon_Qtr'!BD6</f>
        <v>3829</v>
      </c>
      <c r="AB6" s="203">
        <f>'Recast Raytheon_Qtr'!BI6</f>
        <v>0</v>
      </c>
      <c r="AC6" s="234">
        <f>AB6*(1+AC7)</f>
        <v>0</v>
      </c>
      <c r="AD6" s="234">
        <f>AC6*(1+AD7)</f>
        <v>0</v>
      </c>
      <c r="AE6" s="234">
        <f>AD6*(1+AE7)</f>
        <v>0</v>
      </c>
      <c r="AF6" s="234">
        <f>AE6*(1+AF7)</f>
        <v>0</v>
      </c>
    </row>
    <row r="7" spans="1:39" hidden="1" outlineLevel="1">
      <c r="A7" s="1" t="str">
        <f>'Recast Raytheon_Qtr'!A7</f>
        <v>YoY</v>
      </c>
      <c r="B7" s="200"/>
      <c r="C7" s="200"/>
      <c r="D7" s="200"/>
      <c r="E7" s="200"/>
      <c r="F7" s="200"/>
      <c r="G7" s="200"/>
      <c r="H7" s="200"/>
      <c r="I7" s="200"/>
      <c r="J7" s="211"/>
      <c r="K7" s="200"/>
      <c r="L7" s="200"/>
      <c r="M7" s="200"/>
      <c r="N7" s="200"/>
      <c r="O7" s="200"/>
      <c r="P7" s="200"/>
      <c r="Q7" s="200"/>
      <c r="R7" s="200"/>
      <c r="S7" s="200"/>
      <c r="T7" s="200"/>
      <c r="U7" s="200">
        <f>'Recast Raytheon_Qtr'!Z7</f>
        <v>0</v>
      </c>
      <c r="V7" s="200" t="str">
        <f>'Recast Raytheon_Qtr'!AE7</f>
        <v>NM</v>
      </c>
      <c r="W7" s="200" t="str">
        <f>'Recast Raytheon_Qtr'!AJ7</f>
        <v>NM</v>
      </c>
      <c r="X7" s="200" t="str">
        <f>'Recast Raytheon_Qtr'!AO7</f>
        <v>NM</v>
      </c>
      <c r="Y7" s="200" t="str">
        <f>'Recast Raytheon_Qtr'!AT7</f>
        <v>NM</v>
      </c>
      <c r="Z7" s="200">
        <f>'Recast Raytheon_Qtr'!AY7</f>
        <v>-0.154356277155271</v>
      </c>
      <c r="AA7" s="200">
        <f>'Recast Raytheon_Qtr'!BD7</f>
        <v>3.5424553812871906E-2</v>
      </c>
      <c r="AB7" s="200">
        <f>'Recast Raytheon_Qtr'!BI7</f>
        <v>0</v>
      </c>
      <c r="AC7" s="218">
        <v>0.05</v>
      </c>
      <c r="AD7" s="218">
        <v>0.05</v>
      </c>
      <c r="AE7" s="218">
        <v>0.05</v>
      </c>
      <c r="AF7" s="218">
        <v>0.05</v>
      </c>
    </row>
    <row r="8" spans="1:39" hidden="1" outlineLevel="1">
      <c r="A8" s="1"/>
      <c r="B8" s="200"/>
      <c r="C8" s="200"/>
      <c r="D8" s="200"/>
      <c r="E8" s="200"/>
      <c r="F8" s="200"/>
      <c r="G8" s="200"/>
      <c r="H8" s="200"/>
      <c r="I8" s="200"/>
      <c r="J8" s="211"/>
      <c r="K8" s="200"/>
      <c r="L8" s="200"/>
      <c r="M8" s="200"/>
      <c r="N8" s="200"/>
      <c r="O8" s="200"/>
      <c r="P8" s="200"/>
      <c r="Q8" s="200"/>
      <c r="R8" s="200"/>
      <c r="S8" s="200"/>
      <c r="T8" s="200"/>
      <c r="U8" s="200"/>
      <c r="V8" s="200"/>
      <c r="W8" s="200"/>
      <c r="X8" s="200"/>
      <c r="Y8" s="200"/>
      <c r="Z8" s="200"/>
      <c r="AA8" s="200"/>
      <c r="AB8" s="200"/>
      <c r="AC8" s="218"/>
      <c r="AD8" s="218"/>
      <c r="AE8" s="218"/>
      <c r="AF8" s="218"/>
    </row>
    <row r="9" spans="1:39" hidden="1" outlineLevel="1">
      <c r="A9" s="121" t="str">
        <f>'Recast Raytheon_Qtr'!A9</f>
        <v>Intersegment Sales</v>
      </c>
      <c r="B9" s="199"/>
      <c r="C9" s="199"/>
      <c r="D9" s="199"/>
      <c r="E9" s="199"/>
      <c r="F9" s="199"/>
      <c r="G9" s="199"/>
      <c r="H9" s="199"/>
      <c r="I9" s="199"/>
      <c r="J9" s="210"/>
      <c r="K9" s="199"/>
      <c r="L9" s="199"/>
      <c r="M9" s="199"/>
      <c r="N9" s="199">
        <v>1623</v>
      </c>
      <c r="O9" s="199">
        <v>1528</v>
      </c>
      <c r="P9" s="199">
        <v>1375</v>
      </c>
      <c r="Q9" s="199">
        <f>'Recast Raytheon_Qtr'!F9</f>
        <v>0</v>
      </c>
      <c r="R9" s="199">
        <f>'Recast Raytheon_Qtr'!K9</f>
        <v>0</v>
      </c>
      <c r="S9" s="199">
        <f>'Recast Raytheon_Qtr'!P9</f>
        <v>0</v>
      </c>
      <c r="T9" s="199">
        <f>'Recast Raytheon_Qtr'!U9</f>
        <v>0</v>
      </c>
      <c r="U9" s="199">
        <f>'Recast Raytheon_Qtr'!Z9</f>
        <v>0</v>
      </c>
      <c r="V9" s="199">
        <f>'Recast Raytheon_Qtr'!AE9</f>
        <v>0</v>
      </c>
      <c r="W9" s="199">
        <f>'Recast Raytheon_Qtr'!AJ9</f>
        <v>0</v>
      </c>
      <c r="X9" s="199">
        <f>'Recast Raytheon_Qtr'!AO9</f>
        <v>0</v>
      </c>
      <c r="Y9" s="203">
        <f>'Recast Raytheon_Qtr'!AT9</f>
        <v>130</v>
      </c>
      <c r="Z9" s="203">
        <f>'Recast Raytheon_Qtr'!AY9</f>
        <v>143</v>
      </c>
      <c r="AA9" s="203">
        <f>'Recast Raytheon_Qtr'!BD9</f>
        <v>151</v>
      </c>
      <c r="AB9" s="203">
        <f>'Recast Raytheon_Qtr'!BI9</f>
        <v>0</v>
      </c>
      <c r="AC9" s="234">
        <f>AB9*(1+AC10)</f>
        <v>0</v>
      </c>
      <c r="AD9" s="234">
        <f>AC9*(1+AD10)</f>
        <v>0</v>
      </c>
      <c r="AE9" s="234">
        <f>AD9*(1+AE10)</f>
        <v>0</v>
      </c>
      <c r="AF9" s="234">
        <f>AE9*(1+AF10)</f>
        <v>0</v>
      </c>
    </row>
    <row r="10" spans="1:39" hidden="1" outlineLevel="1">
      <c r="A10" s="1"/>
      <c r="B10" s="38"/>
      <c r="C10" s="38"/>
      <c r="D10" s="38"/>
      <c r="E10" s="38"/>
      <c r="F10" s="38"/>
      <c r="G10" s="38"/>
      <c r="H10" s="38"/>
      <c r="I10" s="38"/>
      <c r="J10" s="179"/>
      <c r="K10" s="38"/>
      <c r="L10" s="38"/>
      <c r="M10" s="38"/>
      <c r="N10" s="38"/>
      <c r="O10" s="38"/>
      <c r="P10" s="38"/>
      <c r="Q10" s="38"/>
      <c r="R10" s="38"/>
      <c r="S10" s="38"/>
      <c r="T10" s="38"/>
      <c r="U10" s="38"/>
      <c r="V10" s="38"/>
      <c r="W10" s="38"/>
      <c r="X10" s="38"/>
      <c r="Y10" s="200" t="str">
        <f>'Recast Raytheon_Qtr'!AT10</f>
        <v>NM</v>
      </c>
      <c r="Z10" s="200">
        <f>'Recast Raytheon_Qtr'!AY10</f>
        <v>0.10000000000000009</v>
      </c>
      <c r="AA10" s="200">
        <f>'Recast Raytheon_Qtr'!BD10</f>
        <v>5.5944055944056048E-2</v>
      </c>
      <c r="AB10" s="200">
        <f>'Recast Raytheon_Qtr'!BI10</f>
        <v>0</v>
      </c>
      <c r="AC10" s="218">
        <v>0.05</v>
      </c>
      <c r="AD10" s="218">
        <v>0.05</v>
      </c>
      <c r="AE10" s="218">
        <v>0.05</v>
      </c>
      <c r="AF10" s="218">
        <v>0.05</v>
      </c>
      <c r="AI10" s="423"/>
    </row>
    <row r="11" spans="1:39" collapsed="1">
      <c r="A11" s="8" t="str">
        <f>'Recast Raytheon_Qtr'!A11</f>
        <v>Net Sales</v>
      </c>
      <c r="B11" s="30"/>
      <c r="C11" s="30"/>
      <c r="D11" s="30"/>
      <c r="E11" s="30"/>
      <c r="F11" s="30"/>
      <c r="G11" s="30"/>
      <c r="H11" s="30"/>
      <c r="I11" s="30"/>
      <c r="J11" s="238"/>
      <c r="K11" s="30"/>
      <c r="L11" s="30"/>
      <c r="M11" s="30"/>
      <c r="N11" s="182"/>
      <c r="O11" s="182"/>
      <c r="P11" s="182"/>
      <c r="Q11" s="182"/>
      <c r="R11" s="182"/>
      <c r="S11" s="182"/>
      <c r="T11" s="182"/>
      <c r="U11" s="182"/>
      <c r="V11" s="182">
        <f>'Recast Raytheon_Qtr'!AE11</f>
        <v>26177</v>
      </c>
      <c r="W11" s="182">
        <f>'Recast Raytheon_Qtr'!AJ11</f>
        <v>26611</v>
      </c>
      <c r="X11" s="182">
        <f>'Recast Raytheon_Qtr'!AO11</f>
        <v>25176</v>
      </c>
      <c r="Y11" s="182">
        <f>'Recast Raytheon_Qtr'!AT11</f>
        <v>26350</v>
      </c>
      <c r="Z11" s="182">
        <f>'Recast Raytheon_Qtr'!AY11</f>
        <v>26713</v>
      </c>
      <c r="AA11" s="182">
        <f>'Recast Raytheon_Qtr'!BD11</f>
        <v>28043</v>
      </c>
      <c r="AB11" s="182">
        <f>'Recast Raytheon_Qtr'!BI11</f>
        <v>30987.514999999999</v>
      </c>
      <c r="AC11" s="24">
        <f>AB11*(1+AC12)</f>
        <v>32676.334567499998</v>
      </c>
      <c r="AD11" s="24">
        <f t="shared" ref="AD11:AF11" si="0">AC11*(1+AD12)</f>
        <v>34636.91464155</v>
      </c>
      <c r="AE11" s="24">
        <f t="shared" si="0"/>
        <v>36715.129520043003</v>
      </c>
      <c r="AF11" s="24">
        <f t="shared" si="0"/>
        <v>38918.037291245586</v>
      </c>
      <c r="AG11">
        <v>32847</v>
      </c>
      <c r="AH11" s="556">
        <f>AG11-160</f>
        <v>32687</v>
      </c>
    </row>
    <row r="12" spans="1:39">
      <c r="A12" s="1" t="str">
        <f>'Recast Raytheon_Qtr'!A12</f>
        <v>YoY</v>
      </c>
      <c r="B12" s="200"/>
      <c r="C12" s="200"/>
      <c r="D12" s="200"/>
      <c r="E12" s="200"/>
      <c r="F12" s="200"/>
      <c r="G12" s="200"/>
      <c r="H12" s="200"/>
      <c r="I12" s="200"/>
      <c r="J12" s="211"/>
      <c r="K12" s="200"/>
      <c r="L12" s="200"/>
      <c r="M12" s="200"/>
      <c r="N12" s="209"/>
      <c r="O12" s="209"/>
      <c r="P12" s="209"/>
      <c r="Q12" s="200"/>
      <c r="R12" s="200"/>
      <c r="S12" s="200"/>
      <c r="T12" s="200"/>
      <c r="U12" s="200"/>
      <c r="V12" s="200" t="e">
        <f>'Recast Raytheon_Qtr'!AE12</f>
        <v>#DIV/0!</v>
      </c>
      <c r="W12" s="200">
        <f>'Recast Raytheon_Qtr'!AJ12</f>
        <v>1.6579439966382781E-2</v>
      </c>
      <c r="X12" s="200">
        <f>'Recast Raytheon_Qtr'!AO12</f>
        <v>-5.392506858066215E-2</v>
      </c>
      <c r="Y12" s="485">
        <f>'Recast Raytheon_Qtr'!AT12</f>
        <v>4.6631712742294162E-2</v>
      </c>
      <c r="Z12" s="485">
        <f>'Recast Raytheon_Qtr'!AY12</f>
        <v>1.3776091081593833E-2</v>
      </c>
      <c r="AA12" s="485">
        <f>'Recast Raytheon_Qtr'!BD12</f>
        <v>4.978849249429107E-2</v>
      </c>
      <c r="AB12" s="485">
        <f>'Recast Raytheon_Qtr'!BI12</f>
        <v>0.105</v>
      </c>
      <c r="AC12" s="244">
        <v>5.45E-2</v>
      </c>
      <c r="AD12" s="244">
        <v>0.06</v>
      </c>
      <c r="AE12" s="244">
        <v>0.06</v>
      </c>
      <c r="AF12" s="244">
        <v>0.06</v>
      </c>
    </row>
    <row r="13" spans="1:39">
      <c r="A13" s="1"/>
      <c r="B13" s="38"/>
      <c r="C13" s="38"/>
      <c r="D13" s="38"/>
      <c r="E13" s="38"/>
      <c r="F13" s="38"/>
      <c r="G13" s="38"/>
      <c r="H13" s="38"/>
      <c r="I13" s="38"/>
      <c r="J13" s="179"/>
      <c r="K13" s="38"/>
      <c r="L13" s="38"/>
      <c r="M13" s="38"/>
      <c r="N13" s="38"/>
      <c r="O13" s="38"/>
      <c r="P13" s="38"/>
      <c r="Q13" s="38"/>
      <c r="R13" s="38"/>
      <c r="S13" s="38"/>
      <c r="T13" s="38"/>
      <c r="U13" s="38"/>
      <c r="V13" s="38"/>
      <c r="W13" s="38"/>
      <c r="X13" s="38"/>
      <c r="Y13" s="485"/>
      <c r="Z13" s="485"/>
      <c r="AA13" s="485"/>
      <c r="AB13" s="485"/>
      <c r="AC13" s="207"/>
      <c r="AD13" s="207"/>
      <c r="AE13" s="207"/>
      <c r="AF13" s="207"/>
    </row>
    <row r="14" spans="1:39">
      <c r="A14" s="121" t="str">
        <f>'Recast Raytheon_Qtr'!A14</f>
        <v>Non-Recurring and Unusual Charges</v>
      </c>
      <c r="B14" s="199"/>
      <c r="C14" s="199"/>
      <c r="D14" s="199"/>
      <c r="E14" s="199"/>
      <c r="F14" s="199"/>
      <c r="G14" s="199"/>
      <c r="H14" s="199"/>
      <c r="I14" s="199"/>
      <c r="J14" s="210"/>
      <c r="K14" s="199"/>
      <c r="L14" s="199"/>
      <c r="M14" s="199"/>
      <c r="N14" s="20"/>
      <c r="O14" s="20"/>
      <c r="P14" s="20"/>
      <c r="Q14" s="199"/>
      <c r="R14" s="199"/>
      <c r="S14" s="199"/>
      <c r="T14" s="199"/>
      <c r="U14" s="199"/>
      <c r="V14" s="199">
        <f>'Recast Raytheon_Qtr'!AE14</f>
        <v>0</v>
      </c>
      <c r="W14" s="199">
        <f>'Recast Raytheon_Qtr'!AJ14</f>
        <v>0</v>
      </c>
      <c r="X14" s="199">
        <f>'Recast Raytheon_Qtr'!AO14</f>
        <v>0</v>
      </c>
      <c r="Y14" s="484">
        <f>'Recast Raytheon_Qtr'!AT14</f>
        <v>0</v>
      </c>
      <c r="Z14" s="484">
        <f>'Recast Raytheon_Qtr'!AY14</f>
        <v>70</v>
      </c>
      <c r="AA14" s="484">
        <f>'Recast Raytheon_Qtr'!BD14</f>
        <v>0</v>
      </c>
      <c r="AB14" s="484">
        <f>'Recast Raytheon_Qtr'!BI14</f>
        <v>0</v>
      </c>
      <c r="AC14" s="235">
        <v>0</v>
      </c>
      <c r="AD14" s="235">
        <v>0</v>
      </c>
      <c r="AE14" s="235">
        <v>0</v>
      </c>
      <c r="AF14" s="235">
        <v>0</v>
      </c>
      <c r="AJ14" t="s">
        <v>445</v>
      </c>
      <c r="AK14" t="s">
        <v>450</v>
      </c>
      <c r="AL14" t="s">
        <v>446</v>
      </c>
      <c r="AM14" t="s">
        <v>420</v>
      </c>
    </row>
    <row r="15" spans="1:39">
      <c r="A15" s="8" t="str">
        <f>'Recast Raytheon_Qtr'!A15</f>
        <v>Adjusted Sales</v>
      </c>
      <c r="B15" s="30"/>
      <c r="C15" s="30"/>
      <c r="D15" s="30"/>
      <c r="E15" s="30"/>
      <c r="F15" s="30"/>
      <c r="G15" s="30"/>
      <c r="H15" s="30"/>
      <c r="I15" s="30"/>
      <c r="J15" s="238"/>
      <c r="K15" s="30"/>
      <c r="L15" s="30"/>
      <c r="M15" s="30"/>
      <c r="N15" s="24"/>
      <c r="O15" s="24"/>
      <c r="P15" s="24"/>
      <c r="Q15" s="182"/>
      <c r="R15" s="182"/>
      <c r="S15" s="182"/>
      <c r="T15" s="182"/>
      <c r="U15" s="182"/>
      <c r="V15" s="182">
        <f>'Recast Raytheon_Qtr'!AE15</f>
        <v>26177</v>
      </c>
      <c r="W15" s="182">
        <f>'Recast Raytheon_Qtr'!AJ15</f>
        <v>26611</v>
      </c>
      <c r="X15" s="182">
        <f>'Recast Raytheon_Qtr'!AO15</f>
        <v>25176</v>
      </c>
      <c r="Y15" s="182">
        <f>'Recast Raytheon_Qtr'!AT15</f>
        <v>26350</v>
      </c>
      <c r="Z15" s="182">
        <f>'Recast Raytheon_Qtr'!AY15</f>
        <v>26783</v>
      </c>
      <c r="AA15" s="182">
        <f>'Recast Raytheon_Qtr'!BD15</f>
        <v>28043</v>
      </c>
      <c r="AB15" s="182">
        <f>'Recast Raytheon_Qtr'!BI15</f>
        <v>30987.514999999999</v>
      </c>
      <c r="AC15" s="24">
        <f>AC11+AC14</f>
        <v>32676.334567499998</v>
      </c>
      <c r="AD15" s="24">
        <f>AD11+AD14</f>
        <v>34636.91464155</v>
      </c>
      <c r="AE15" s="24">
        <f>AE11+AE14</f>
        <v>36715.129520043003</v>
      </c>
      <c r="AF15" s="24">
        <f>AF11+AF14</f>
        <v>38918.037291245586</v>
      </c>
      <c r="AH15" s="425">
        <f>(AA15/V15)^0.2-1</f>
        <v>1.3866841743901626E-2</v>
      </c>
      <c r="AJ15" s="340">
        <f>26177</f>
        <v>26177</v>
      </c>
      <c r="AK15" s="339"/>
      <c r="AL15" s="496"/>
    </row>
    <row r="16" spans="1:39">
      <c r="A16" s="1" t="str">
        <f>'Recast Raytheon_Qtr'!A16</f>
        <v>YoY</v>
      </c>
      <c r="B16" s="200"/>
      <c r="C16" s="200"/>
      <c r="D16" s="200"/>
      <c r="E16" s="200"/>
      <c r="F16" s="200"/>
      <c r="G16" s="200"/>
      <c r="H16" s="200"/>
      <c r="I16" s="200"/>
      <c r="J16" s="211"/>
      <c r="K16" s="200"/>
      <c r="L16" s="200"/>
      <c r="M16" s="200"/>
      <c r="N16" s="209"/>
      <c r="O16" s="209"/>
      <c r="P16" s="209"/>
      <c r="Q16" s="200"/>
      <c r="R16" s="200"/>
      <c r="S16" s="200"/>
      <c r="T16" s="200"/>
      <c r="U16" s="200"/>
      <c r="V16" s="200" t="e">
        <f>'Recast Raytheon_Qtr'!AE16</f>
        <v>#DIV/0!</v>
      </c>
      <c r="W16" s="200">
        <f>'Recast Raytheon_Qtr'!AJ16</f>
        <v>1.6579439966382781E-2</v>
      </c>
      <c r="X16" s="200">
        <f>'Recast Raytheon_Qtr'!AO16</f>
        <v>-5.392506858066215E-2</v>
      </c>
      <c r="Y16" s="485">
        <f>'Recast Raytheon_Qtr'!AT16</f>
        <v>4.6631712742294162E-2</v>
      </c>
      <c r="Z16" s="485">
        <f>'Recast Raytheon_Qtr'!AY16</f>
        <v>1.6432637571157427E-2</v>
      </c>
      <c r="AA16" s="485">
        <f>'Recast Raytheon_Qtr'!BD16</f>
        <v>4.7044767203076487E-2</v>
      </c>
      <c r="AB16" s="485">
        <f>'Recast Raytheon_Qtr'!BI16</f>
        <v>0.10499999999999998</v>
      </c>
      <c r="AC16" s="207">
        <f>AC15/AB15-1</f>
        <v>5.4499999999999993E-2</v>
      </c>
      <c r="AD16" s="207">
        <f>AD15/AC15-1</f>
        <v>6.0000000000000053E-2</v>
      </c>
      <c r="AE16" s="207">
        <f>AE15/AD15-1</f>
        <v>6.0000000000000053E-2</v>
      </c>
      <c r="AF16" s="207">
        <f>AF15/AE15-1</f>
        <v>6.0000000000000053E-2</v>
      </c>
      <c r="AI16" t="s">
        <v>461</v>
      </c>
      <c r="AJ16" s="340">
        <v>1000</v>
      </c>
      <c r="AK16" s="340"/>
      <c r="AL16" s="340"/>
    </row>
    <row r="17" spans="1:39">
      <c r="A17" s="1"/>
      <c r="B17" s="200"/>
      <c r="C17" s="200"/>
      <c r="D17" s="200"/>
      <c r="E17" s="200"/>
      <c r="F17" s="200"/>
      <c r="G17" s="200"/>
      <c r="H17" s="200"/>
      <c r="I17" s="200"/>
      <c r="J17" s="211"/>
      <c r="K17" s="200"/>
      <c r="L17" s="200"/>
      <c r="M17" s="200"/>
      <c r="N17" s="209"/>
      <c r="O17" s="209"/>
      <c r="P17" s="209"/>
      <c r="Q17" s="200"/>
      <c r="R17" s="200"/>
      <c r="S17" s="200"/>
      <c r="T17" s="200"/>
      <c r="U17" s="200"/>
      <c r="V17" s="200"/>
      <c r="W17" s="200"/>
      <c r="X17" s="200"/>
      <c r="Y17" s="485"/>
      <c r="Z17" s="485"/>
      <c r="AA17" s="485"/>
      <c r="AB17" s="485"/>
      <c r="AC17" s="207"/>
      <c r="AD17" s="207"/>
      <c r="AE17" s="207"/>
      <c r="AF17" s="207"/>
      <c r="AI17" t="s">
        <v>462</v>
      </c>
      <c r="AJ17" s="340">
        <f>1300/0.75</f>
        <v>1733.3333333333333</v>
      </c>
      <c r="AK17" s="340"/>
      <c r="AL17" s="340"/>
    </row>
    <row r="18" spans="1:39">
      <c r="A18" s="9" t="str">
        <f>'Recast Raytheon_Qtr'!A18</f>
        <v>Operating Expenses</v>
      </c>
      <c r="B18" s="201"/>
      <c r="C18" s="201"/>
      <c r="D18" s="201"/>
      <c r="E18" s="201"/>
      <c r="F18" s="201"/>
      <c r="G18" s="201"/>
      <c r="H18" s="201"/>
      <c r="I18" s="201"/>
      <c r="J18" s="212"/>
      <c r="K18" s="201"/>
      <c r="L18" s="201"/>
      <c r="M18" s="28"/>
      <c r="N18" s="28"/>
      <c r="O18" s="28"/>
      <c r="P18" s="28"/>
      <c r="Q18" s="201"/>
      <c r="R18" s="201"/>
      <c r="S18" s="201"/>
      <c r="T18" s="201"/>
      <c r="U18" s="201"/>
      <c r="V18" s="201">
        <f>'Recast Raytheon_Qtr'!AE18</f>
        <v>-23818</v>
      </c>
      <c r="W18" s="201">
        <f>'Recast Raytheon_Qtr'!AJ18</f>
        <v>-23212</v>
      </c>
      <c r="X18" s="201">
        <f>'Recast Raytheon_Qtr'!AO18</f>
        <v>-22728</v>
      </c>
      <c r="Y18" s="201">
        <f>'Recast Raytheon_Qtr'!AT18</f>
        <v>-23971</v>
      </c>
      <c r="Z18" s="201">
        <f>'Recast Raytheon_Qtr'!AY18</f>
        <v>-24119</v>
      </c>
      <c r="AA18" s="201">
        <f>'Recast Raytheon_Qtr'!BD18</f>
        <v>-24816</v>
      </c>
      <c r="AB18" s="201">
        <f>'Recast Raytheon_Qtr'!BI18</f>
        <v>-27119.075624999998</v>
      </c>
      <c r="AC18" s="28">
        <f>+-AC11+AC21</f>
        <v>-28591.7927465625</v>
      </c>
      <c r="AD18" s="28">
        <f>+-AD11+AD21</f>
        <v>-30307.300311356252</v>
      </c>
      <c r="AE18" s="28">
        <f>+-AE11+AE21</f>
        <v>-32125.738330037628</v>
      </c>
      <c r="AF18" s="28">
        <f>+-AF11+AF21</f>
        <v>-34053.282629839887</v>
      </c>
      <c r="AI18" t="s">
        <v>463</v>
      </c>
      <c r="AJ18" s="340">
        <f>AJ15-AJ16-AJ17</f>
        <v>23443.666666666668</v>
      </c>
      <c r="AK18" s="339">
        <f>AA11</f>
        <v>28043</v>
      </c>
      <c r="AL18" s="496">
        <f>(AK18/AJ18)^0.2-1</f>
        <v>3.6477280532826839E-2</v>
      </c>
      <c r="AM18" t="s">
        <v>464</v>
      </c>
    </row>
    <row r="19" spans="1:39">
      <c r="A19" s="1" t="str">
        <f>'Recast Raytheon_Qtr'!A19</f>
        <v>YoY</v>
      </c>
      <c r="B19" s="200"/>
      <c r="C19" s="200"/>
      <c r="D19" s="200"/>
      <c r="E19" s="200"/>
      <c r="F19" s="200"/>
      <c r="G19" s="200"/>
      <c r="H19" s="200"/>
      <c r="I19" s="200"/>
      <c r="J19" s="211"/>
      <c r="K19" s="200"/>
      <c r="L19" s="200"/>
      <c r="M19" s="200"/>
      <c r="N19" s="209"/>
      <c r="O19" s="209"/>
      <c r="P19" s="209"/>
      <c r="Q19" s="200"/>
      <c r="R19" s="200"/>
      <c r="S19" s="200"/>
      <c r="T19" s="200"/>
      <c r="U19" s="200"/>
      <c r="V19" s="200" t="e">
        <f>'Recast Raytheon_Qtr'!AE19</f>
        <v>#DIV/0!</v>
      </c>
      <c r="W19" s="200">
        <f>'Recast Raytheon_Qtr'!AJ19</f>
        <v>-2.5442942312536743E-2</v>
      </c>
      <c r="X19" s="200">
        <f>'Recast Raytheon_Qtr'!AO19</f>
        <v>-2.0851283818714483E-2</v>
      </c>
      <c r="Y19" s="485">
        <f>'Recast Raytheon_Qtr'!AT19</f>
        <v>5.4690249912002775E-2</v>
      </c>
      <c r="Z19" s="485">
        <f>'Recast Raytheon_Qtr'!AY19</f>
        <v>6.1741270702098117E-3</v>
      </c>
      <c r="AA19" s="485">
        <f>'Recast Raytheon_Qtr'!BD19</f>
        <v>2.8898378871429209E-2</v>
      </c>
      <c r="AB19" s="485">
        <f>'Recast Raytheon_Qtr'!BI19</f>
        <v>9.280607773210825E-2</v>
      </c>
      <c r="AC19" s="207">
        <f>AC18/AB18-1</f>
        <v>5.430557965644156E-2</v>
      </c>
      <c r="AD19" s="207">
        <f>AD18/AC18-1</f>
        <v>6.0000000000000053E-2</v>
      </c>
      <c r="AE19" s="207">
        <f>AE18/AD18-1</f>
        <v>6.0000000000000053E-2</v>
      </c>
      <c r="AF19" s="207">
        <f>AF18/AE18-1</f>
        <v>6.0000000000000053E-2</v>
      </c>
      <c r="AJ19" s="340"/>
      <c r="AK19" s="340"/>
      <c r="AL19" s="340"/>
    </row>
    <row r="20" spans="1:39">
      <c r="A20" s="1"/>
      <c r="B20" s="200"/>
      <c r="C20" s="200"/>
      <c r="D20" s="200"/>
      <c r="E20" s="200"/>
      <c r="F20" s="200"/>
      <c r="G20" s="200"/>
      <c r="H20" s="200"/>
      <c r="I20" s="200"/>
      <c r="J20" s="211"/>
      <c r="K20" s="200"/>
      <c r="L20" s="200"/>
      <c r="M20" s="200"/>
      <c r="N20" s="209"/>
      <c r="O20" s="209"/>
      <c r="P20" s="209"/>
      <c r="Q20" s="200"/>
      <c r="R20" s="200"/>
      <c r="S20" s="200"/>
      <c r="T20" s="200"/>
      <c r="U20" s="200"/>
      <c r="V20" s="200"/>
      <c r="W20" s="200"/>
      <c r="X20" s="200"/>
      <c r="Y20" s="207"/>
      <c r="Z20" s="207"/>
      <c r="AA20" s="207"/>
      <c r="AB20" s="207"/>
      <c r="AC20" s="207"/>
      <c r="AD20" s="207"/>
      <c r="AE20" s="207"/>
      <c r="AF20" s="207"/>
      <c r="AJ20" s="340"/>
      <c r="AK20" s="340"/>
      <c r="AL20" s="340"/>
    </row>
    <row r="21" spans="1:39">
      <c r="A21" s="8" t="str">
        <f>'Recast Raytheon_Qtr'!A21</f>
        <v>Operating Profit</v>
      </c>
      <c r="B21" s="30"/>
      <c r="C21" s="30"/>
      <c r="D21" s="30"/>
      <c r="E21" s="30"/>
      <c r="F21" s="30"/>
      <c r="G21" s="30"/>
      <c r="H21" s="30"/>
      <c r="I21" s="30"/>
      <c r="J21" s="238"/>
      <c r="K21" s="30"/>
      <c r="L21" s="30"/>
      <c r="M21" s="30"/>
      <c r="N21" s="182"/>
      <c r="O21" s="182"/>
      <c r="P21" s="182"/>
      <c r="Q21" s="24"/>
      <c r="R21" s="24"/>
      <c r="S21" s="24"/>
      <c r="T21" s="24"/>
      <c r="U21" s="24"/>
      <c r="V21" s="24">
        <f t="shared" ref="V21:Y21" si="1">V11+V18</f>
        <v>2359</v>
      </c>
      <c r="W21" s="24">
        <f t="shared" si="1"/>
        <v>3399</v>
      </c>
      <c r="X21" s="24">
        <f t="shared" si="1"/>
        <v>2448</v>
      </c>
      <c r="Y21" s="24">
        <f t="shared" si="1"/>
        <v>2379</v>
      </c>
      <c r="Z21" s="24">
        <f t="shared" ref="Z21:AA21" si="2">Z11+Z18</f>
        <v>2594</v>
      </c>
      <c r="AA21" s="24">
        <f t="shared" si="2"/>
        <v>3227</v>
      </c>
      <c r="AB21" s="24">
        <f t="shared" ref="AB21" si="3">AB11+AB18</f>
        <v>3868.4393750000017</v>
      </c>
      <c r="AC21" s="24">
        <f>AC28-AC26-AC25</f>
        <v>4084.5418209374998</v>
      </c>
      <c r="AD21" s="24">
        <f>AD28-AD26-AD25</f>
        <v>4329.61433019375</v>
      </c>
      <c r="AE21" s="24">
        <f>AE28-AE26-AE25</f>
        <v>4589.3911900053754</v>
      </c>
      <c r="AF21" s="24">
        <f>AF28-AF26-AF25</f>
        <v>4864.7546614056982</v>
      </c>
      <c r="AJ21" s="340"/>
      <c r="AK21" s="340"/>
      <c r="AL21" s="340"/>
    </row>
    <row r="22" spans="1:39">
      <c r="A22" s="1" t="str">
        <f>'Recast Raytheon_Qtr'!A22</f>
        <v>YoY</v>
      </c>
      <c r="B22" s="26"/>
      <c r="C22" s="26"/>
      <c r="D22" s="26"/>
      <c r="E22" s="26"/>
      <c r="F22" s="26"/>
      <c r="G22" s="26"/>
      <c r="H22" s="26"/>
      <c r="I22" s="26"/>
      <c r="J22" s="242"/>
      <c r="K22" s="26"/>
      <c r="L22" s="26"/>
      <c r="M22" s="26"/>
      <c r="N22" s="209"/>
      <c r="O22" s="207"/>
      <c r="P22" s="207"/>
      <c r="Q22" s="200"/>
      <c r="R22" s="200"/>
      <c r="S22" s="200"/>
      <c r="T22" s="200"/>
      <c r="U22" s="200"/>
      <c r="V22" s="200" t="e">
        <f>'Recast Raytheon_Qtr'!AE22</f>
        <v>#DIV/0!</v>
      </c>
      <c r="W22" s="200">
        <f>'Recast Raytheon_Qtr'!AJ22</f>
        <v>0.44086477320898676</v>
      </c>
      <c r="X22" s="200">
        <f>'Recast Raytheon_Qtr'!AO22</f>
        <v>-0.27978817299205649</v>
      </c>
      <c r="Y22" s="485">
        <f>'Recast Raytheon_Qtr'!AT22</f>
        <v>-2.8186274509803932E-2</v>
      </c>
      <c r="Z22" s="485">
        <f>'Recast Raytheon_Qtr'!AY22</f>
        <v>9.0374106767549423E-2</v>
      </c>
      <c r="AA22" s="485">
        <f>'Recast Raytheon_Qtr'!BD22</f>
        <v>0.24402467232074021</v>
      </c>
      <c r="AB22" s="485">
        <f>'Recast Raytheon_Qtr'!BI22</f>
        <v>0.19877266036566477</v>
      </c>
      <c r="AC22" s="207">
        <f>AC21/AB21-1</f>
        <v>5.5862952728191084E-2</v>
      </c>
      <c r="AD22" s="207">
        <f>AD21/AC21-1</f>
        <v>6.0000000000000053E-2</v>
      </c>
      <c r="AE22" s="207">
        <f>AE21/AD21-1</f>
        <v>6.0000000000000053E-2</v>
      </c>
      <c r="AF22" s="207">
        <f>AF21/AE21-1</f>
        <v>6.0000000000000053E-2</v>
      </c>
      <c r="AJ22" s="340"/>
      <c r="AK22" s="340"/>
      <c r="AL22" s="340"/>
    </row>
    <row r="23" spans="1:39">
      <c r="A23" s="1" t="str">
        <f>'Recast Raytheon_Qtr'!A23</f>
        <v>% Margin</v>
      </c>
      <c r="B23" s="26"/>
      <c r="C23" s="26"/>
      <c r="D23" s="26"/>
      <c r="E23" s="26"/>
      <c r="F23" s="26"/>
      <c r="G23" s="26"/>
      <c r="H23" s="26"/>
      <c r="I23" s="26"/>
      <c r="J23" s="242"/>
      <c r="K23" s="26"/>
      <c r="L23" s="26"/>
      <c r="M23" s="207"/>
      <c r="N23" s="207"/>
      <c r="O23" s="207"/>
      <c r="P23" s="207"/>
      <c r="Q23" s="200"/>
      <c r="R23" s="200"/>
      <c r="S23" s="200"/>
      <c r="T23" s="200"/>
      <c r="U23" s="200"/>
      <c r="V23" s="200">
        <f>'Recast Raytheon_Qtr'!AE23</f>
        <v>9.0117278526951144E-2</v>
      </c>
      <c r="W23" s="200">
        <f>'Recast Raytheon_Qtr'!AJ23</f>
        <v>0.12772913456841156</v>
      </c>
      <c r="X23" s="200">
        <f>'Recast Raytheon_Qtr'!AO23</f>
        <v>9.7235462345090562E-2</v>
      </c>
      <c r="Y23" s="485">
        <f>'Recast Raytheon_Qtr'!AT23</f>
        <v>9.0284629981024669E-2</v>
      </c>
      <c r="Z23" s="485">
        <f>'Recast Raytheon_Qtr'!AY23</f>
        <v>9.7106277842249095E-2</v>
      </c>
      <c r="AA23" s="485">
        <f>'Recast Raytheon_Qtr'!BD23</f>
        <v>0.11507328031950932</v>
      </c>
      <c r="AB23" s="485">
        <f>'Recast Raytheon_Qtr'!BI23</f>
        <v>0.12483864469287066</v>
      </c>
      <c r="AC23" s="207">
        <f>AC21/AC11</f>
        <v>0.125</v>
      </c>
      <c r="AD23" s="207">
        <f>AD21/AD11</f>
        <v>0.125</v>
      </c>
      <c r="AE23" s="207">
        <f>AE21/AE11</f>
        <v>0.125</v>
      </c>
      <c r="AF23" s="207">
        <f>AF21/AF11</f>
        <v>0.125</v>
      </c>
      <c r="AJ23" s="340"/>
      <c r="AK23" s="340"/>
      <c r="AL23" s="340"/>
    </row>
    <row r="24" spans="1:39">
      <c r="A24" s="1"/>
      <c r="B24" s="209"/>
      <c r="C24" s="209"/>
      <c r="D24" s="209"/>
      <c r="E24" s="209"/>
      <c r="F24" s="209"/>
      <c r="G24" s="209"/>
      <c r="H24" s="209"/>
      <c r="I24" s="209"/>
      <c r="J24" s="240"/>
      <c r="K24" s="209"/>
      <c r="L24" s="209"/>
      <c r="M24" s="209"/>
      <c r="N24" s="209"/>
      <c r="O24" s="209"/>
      <c r="P24" s="209"/>
      <c r="Q24" s="200"/>
      <c r="R24" s="200"/>
      <c r="S24" s="200"/>
      <c r="T24" s="200"/>
      <c r="U24" s="200"/>
      <c r="V24" s="200"/>
      <c r="W24" s="200"/>
      <c r="X24" s="200"/>
      <c r="Y24" s="485"/>
      <c r="Z24" s="485"/>
      <c r="AA24" s="485"/>
      <c r="AB24" s="485"/>
      <c r="AC24" s="207"/>
      <c r="AD24" s="207"/>
      <c r="AE24" s="207"/>
      <c r="AF24" s="207"/>
      <c r="AJ24" s="340"/>
      <c r="AK24" s="340"/>
      <c r="AL24" s="340"/>
    </row>
    <row r="25" spans="1:39">
      <c r="A25" s="6" t="str">
        <f>'Recast Raytheon_Qtr'!A25</f>
        <v>Restructuring</v>
      </c>
      <c r="B25" s="209"/>
      <c r="C25" s="209"/>
      <c r="D25" s="209"/>
      <c r="E25" s="209"/>
      <c r="F25" s="209"/>
      <c r="G25" s="209"/>
      <c r="H25" s="209"/>
      <c r="I25" s="209"/>
      <c r="J25" s="240"/>
      <c r="K25" s="209"/>
      <c r="L25" s="209"/>
      <c r="M25" s="209"/>
      <c r="N25" s="20"/>
      <c r="O25" s="20"/>
      <c r="P25" s="20"/>
      <c r="Q25" s="199"/>
      <c r="R25" s="199"/>
      <c r="S25" s="199"/>
      <c r="T25" s="199"/>
      <c r="U25" s="199"/>
      <c r="V25" s="199">
        <f>'Recast Raytheon_Qtr'!AE25</f>
        <v>0</v>
      </c>
      <c r="W25" s="199">
        <f>'Recast Raytheon_Qtr'!AJ25</f>
        <v>0</v>
      </c>
      <c r="X25" s="199">
        <f>'Recast Raytheon_Qtr'!AO25</f>
        <v>8</v>
      </c>
      <c r="Y25" s="199">
        <f>'Recast Raytheon_Qtr'!AT25</f>
        <v>42</v>
      </c>
      <c r="Z25" s="199">
        <f>'Recast Raytheon_Qtr'!AY25</f>
        <v>36</v>
      </c>
      <c r="AA25" s="199">
        <f>'Recast Raytheon_Qtr'!BD25</f>
        <v>4</v>
      </c>
      <c r="AB25" s="199">
        <f>'Recast Raytheon_Qtr'!BI25</f>
        <v>5</v>
      </c>
      <c r="AC25" s="20">
        <v>0</v>
      </c>
      <c r="AD25" s="20">
        <v>0</v>
      </c>
      <c r="AE25" s="20">
        <v>0</v>
      </c>
      <c r="AF25" s="20">
        <v>0</v>
      </c>
      <c r="AJ25" s="340"/>
      <c r="AK25" s="340"/>
      <c r="AL25" s="340"/>
    </row>
    <row r="26" spans="1:39">
      <c r="A26" s="6" t="str">
        <f>'Recast Raytheon_Qtr'!A26</f>
        <v>Other Non-Recurring and Unusual Charges</v>
      </c>
      <c r="B26" s="20"/>
      <c r="C26" s="20"/>
      <c r="D26" s="20"/>
      <c r="E26" s="20"/>
      <c r="F26" s="20"/>
      <c r="G26" s="20"/>
      <c r="H26" s="20"/>
      <c r="I26" s="20"/>
      <c r="J26" s="239"/>
      <c r="K26" s="20"/>
      <c r="L26" s="20"/>
      <c r="M26" s="20"/>
      <c r="N26" s="199"/>
      <c r="O26" s="199"/>
      <c r="P26" s="199"/>
      <c r="Q26" s="199"/>
      <c r="R26" s="199"/>
      <c r="S26" s="199"/>
      <c r="T26" s="199"/>
      <c r="U26" s="199"/>
      <c r="V26" s="199">
        <f>'Recast Raytheon_Qtr'!AE26</f>
        <v>502</v>
      </c>
      <c r="W26" s="199">
        <f>'Recast Raytheon_Qtr'!AJ26</f>
        <v>-239</v>
      </c>
      <c r="X26" s="199">
        <f>'Recast Raytheon_Qtr'!AO26</f>
        <v>42</v>
      </c>
      <c r="Y26" s="199">
        <f>'Recast Raytheon_Qtr'!AT26</f>
        <v>13</v>
      </c>
      <c r="Z26" s="199">
        <f>'Recast Raytheon_Qtr'!AY26</f>
        <v>98</v>
      </c>
      <c r="AA26" s="199">
        <f>'Recast Raytheon_Qtr'!BD26</f>
        <v>0</v>
      </c>
      <c r="AB26" s="199">
        <f>'Recast Raytheon_Qtr'!BI26</f>
        <v>0</v>
      </c>
      <c r="AC26" s="20">
        <v>0</v>
      </c>
      <c r="AD26" s="20">
        <v>0</v>
      </c>
      <c r="AE26" s="20">
        <v>0</v>
      </c>
      <c r="AF26" s="20">
        <v>0</v>
      </c>
      <c r="AJ26" s="340"/>
      <c r="AK26" s="340"/>
      <c r="AL26" s="340"/>
    </row>
    <row r="27" spans="1:39">
      <c r="B27" s="104"/>
      <c r="C27" s="104"/>
      <c r="D27" s="104"/>
      <c r="E27" s="104"/>
      <c r="F27" s="104"/>
      <c r="G27" s="104"/>
      <c r="H27" s="104"/>
      <c r="I27" s="104"/>
      <c r="J27" s="241"/>
      <c r="K27" s="104"/>
      <c r="L27" s="104"/>
      <c r="M27" s="104"/>
      <c r="N27" s="104"/>
      <c r="O27" s="104"/>
      <c r="P27" s="104"/>
      <c r="Q27" s="104"/>
      <c r="R27" s="104"/>
      <c r="S27" s="104"/>
      <c r="T27" s="104"/>
      <c r="U27" s="104"/>
      <c r="V27" s="104"/>
      <c r="W27" s="104"/>
      <c r="X27" s="104"/>
      <c r="Y27" s="206"/>
      <c r="Z27" s="206"/>
      <c r="AA27" s="206"/>
      <c r="AB27" s="206"/>
      <c r="AC27" s="206"/>
      <c r="AD27" s="206"/>
      <c r="AE27" s="206"/>
      <c r="AF27" s="206"/>
      <c r="AJ27" s="340"/>
      <c r="AK27" s="340"/>
      <c r="AL27" s="340"/>
    </row>
    <row r="28" spans="1:39">
      <c r="A28" s="8" t="str">
        <f>'Recast Raytheon_Qtr'!A28</f>
        <v>Adjusted Operating Profit</v>
      </c>
      <c r="B28" s="30"/>
      <c r="C28" s="30"/>
      <c r="D28" s="30"/>
      <c r="E28" s="30"/>
      <c r="F28" s="30"/>
      <c r="G28" s="30"/>
      <c r="H28" s="30"/>
      <c r="I28" s="30"/>
      <c r="J28" s="238"/>
      <c r="K28" s="30"/>
      <c r="L28" s="30"/>
      <c r="M28" s="24"/>
      <c r="N28" s="24"/>
      <c r="O28" s="24"/>
      <c r="P28" s="24"/>
      <c r="Q28" s="202"/>
      <c r="R28" s="202"/>
      <c r="S28" s="202"/>
      <c r="T28" s="202"/>
      <c r="U28" s="202"/>
      <c r="V28" s="202">
        <f t="shared" ref="V28:Y28" si="4">V21+V26+V25</f>
        <v>2861</v>
      </c>
      <c r="W28" s="202">
        <f t="shared" si="4"/>
        <v>3160</v>
      </c>
      <c r="X28" s="202">
        <f t="shared" si="4"/>
        <v>2498</v>
      </c>
      <c r="Y28" s="202">
        <f t="shared" si="4"/>
        <v>2434</v>
      </c>
      <c r="Z28" s="202">
        <f t="shared" ref="Z28:AA28" si="5">Z21+Z26+Z25</f>
        <v>2728</v>
      </c>
      <c r="AA28" s="202">
        <f t="shared" si="5"/>
        <v>3231</v>
      </c>
      <c r="AB28" s="202">
        <f t="shared" ref="AB28" si="6">AB21+AB26+AB25</f>
        <v>3873.4393750000017</v>
      </c>
      <c r="AC28" s="202">
        <f>AC15*AC31</f>
        <v>4084.5418209374998</v>
      </c>
      <c r="AD28" s="202">
        <f>AD15*AD31</f>
        <v>4329.61433019375</v>
      </c>
      <c r="AE28" s="202">
        <f>AE15*AE31</f>
        <v>4589.3911900053754</v>
      </c>
      <c r="AF28" s="202">
        <f>AF15*AF31</f>
        <v>4864.7546614056982</v>
      </c>
      <c r="AH28" s="425">
        <f>(AA28/V28)^0.2-1</f>
        <v>2.4622338605410299E-2</v>
      </c>
      <c r="AJ28" s="340">
        <f>2861</f>
        <v>2861</v>
      </c>
      <c r="AK28" s="339"/>
      <c r="AL28" s="496"/>
    </row>
    <row r="29" spans="1:39">
      <c r="A29" s="1" t="str">
        <f>'Recast Raytheon_Qtr'!A29</f>
        <v>YoY</v>
      </c>
      <c r="B29" s="200"/>
      <c r="C29" s="200"/>
      <c r="D29" s="200"/>
      <c r="E29" s="200"/>
      <c r="F29" s="200"/>
      <c r="G29" s="200"/>
      <c r="H29" s="200"/>
      <c r="I29" s="200"/>
      <c r="J29" s="211"/>
      <c r="K29" s="200"/>
      <c r="L29" s="200"/>
      <c r="M29" s="200"/>
      <c r="N29" s="209"/>
      <c r="O29" s="209"/>
      <c r="P29" s="209"/>
      <c r="Q29" s="200"/>
      <c r="R29" s="200"/>
      <c r="S29" s="200"/>
      <c r="T29" s="200"/>
      <c r="U29" s="200"/>
      <c r="V29" s="200" t="e">
        <f>'Recast Raytheon_Qtr'!AE29</f>
        <v>#DIV/0!</v>
      </c>
      <c r="W29" s="200">
        <f>'Recast Raytheon_Qtr'!AJ29</f>
        <v>0.10450891296749387</v>
      </c>
      <c r="X29" s="200">
        <f>'Recast Raytheon_Qtr'!AO29</f>
        <v>-0.20949367088607596</v>
      </c>
      <c r="Y29" s="485">
        <f>'Recast Raytheon_Qtr'!AT29</f>
        <v>-2.562049639711772E-2</v>
      </c>
      <c r="Z29" s="485">
        <f>'Recast Raytheon_Qtr'!AY29</f>
        <v>0.12078882497945775</v>
      </c>
      <c r="AA29" s="485">
        <f>'Recast Raytheon_Qtr'!BD29</f>
        <v>0.18438416422287385</v>
      </c>
      <c r="AB29" s="485">
        <f>'Recast Raytheon_Qtr'!BI29</f>
        <v>0.19883608016094079</v>
      </c>
      <c r="AC29" s="207">
        <f>AC28/AB28-1</f>
        <v>5.4499999999999549E-2</v>
      </c>
      <c r="AD29" s="207">
        <f>AD28/AC28-1</f>
        <v>6.0000000000000053E-2</v>
      </c>
      <c r="AE29" s="207">
        <f>AE28/AD28-1</f>
        <v>6.0000000000000053E-2</v>
      </c>
      <c r="AF29" s="207">
        <f>AF28/AE28-1</f>
        <v>6.0000000000000053E-2</v>
      </c>
      <c r="AI29" t="s">
        <v>461</v>
      </c>
      <c r="AJ29" s="519">
        <v>100</v>
      </c>
      <c r="AK29" s="496"/>
      <c r="AL29" s="495"/>
    </row>
    <row r="30" spans="1:39">
      <c r="B30" s="104"/>
      <c r="C30" s="104"/>
      <c r="D30" s="104"/>
      <c r="E30" s="104"/>
      <c r="F30" s="104"/>
      <c r="G30" s="104"/>
      <c r="H30" s="104"/>
      <c r="I30" s="104"/>
      <c r="J30" s="241"/>
      <c r="K30" s="104"/>
      <c r="L30" s="104"/>
      <c r="M30" s="104"/>
      <c r="N30" s="104"/>
      <c r="O30" s="104"/>
      <c r="P30" s="104"/>
      <c r="Q30" s="104"/>
      <c r="R30" s="104"/>
      <c r="S30" s="104"/>
      <c r="T30" s="104"/>
      <c r="U30" s="104"/>
      <c r="V30" s="104"/>
      <c r="W30" s="104"/>
      <c r="X30" s="104"/>
      <c r="Y30" s="206"/>
      <c r="Z30" s="206"/>
      <c r="AA30" s="206"/>
      <c r="AB30" s="206"/>
      <c r="AC30" s="206"/>
      <c r="AD30" s="206"/>
      <c r="AE30" s="206"/>
      <c r="AF30" s="206"/>
      <c r="AI30" t="s">
        <v>462</v>
      </c>
      <c r="AJ30" s="340">
        <f>80/0.75</f>
        <v>106.66666666666667</v>
      </c>
      <c r="AK30" s="340"/>
    </row>
    <row r="31" spans="1:39">
      <c r="A31" s="8" t="str">
        <f>'Recast Raytheon_Qtr'!A31</f>
        <v>Adjusted Operating Margin</v>
      </c>
      <c r="B31" s="123"/>
      <c r="C31" s="123"/>
      <c r="D31" s="123"/>
      <c r="E31" s="123"/>
      <c r="F31" s="123"/>
      <c r="G31" s="123"/>
      <c r="H31" s="123"/>
      <c r="I31" s="123"/>
      <c r="J31" s="213"/>
      <c r="K31" s="123"/>
      <c r="L31" s="123"/>
      <c r="M31" s="123"/>
      <c r="N31" s="123"/>
      <c r="O31" s="123"/>
      <c r="P31" s="123"/>
      <c r="Q31" s="123"/>
      <c r="R31" s="123"/>
      <c r="S31" s="123"/>
      <c r="T31" s="123"/>
      <c r="U31" s="123"/>
      <c r="V31" s="123">
        <f t="shared" ref="V31" si="7">+V28/V15</f>
        <v>0.10929441876456432</v>
      </c>
      <c r="W31" s="123">
        <f t="shared" ref="W31:AB31" si="8">+W28/W15</f>
        <v>0.11874788621246853</v>
      </c>
      <c r="X31" s="123">
        <f t="shared" si="8"/>
        <v>9.9221480775341597E-2</v>
      </c>
      <c r="Y31" s="123">
        <f t="shared" si="8"/>
        <v>9.2371916508538904E-2</v>
      </c>
      <c r="Z31" s="123">
        <f t="shared" si="8"/>
        <v>0.10185565470634357</v>
      </c>
      <c r="AA31" s="123">
        <f t="shared" si="8"/>
        <v>0.11521591841101166</v>
      </c>
      <c r="AB31" s="123">
        <f t="shared" si="8"/>
        <v>0.12500000000000006</v>
      </c>
      <c r="AC31" s="208">
        <v>0.125</v>
      </c>
      <c r="AD31" s="208">
        <v>0.125</v>
      </c>
      <c r="AE31" s="208">
        <v>0.125</v>
      </c>
      <c r="AF31" s="208">
        <v>0.125</v>
      </c>
      <c r="AI31" t="s">
        <v>463</v>
      </c>
      <c r="AJ31" s="520">
        <f>AJ28-AJ29-AJ30</f>
        <v>2654.3333333333335</v>
      </c>
      <c r="AK31" s="475">
        <f>AA28</f>
        <v>3231</v>
      </c>
      <c r="AL31" s="496">
        <f>(AK31/AJ31)^0.2-1</f>
        <v>4.0102881153883052E-2</v>
      </c>
      <c r="AM31" t="s">
        <v>465</v>
      </c>
    </row>
    <row r="32" spans="1:39">
      <c r="A32" s="1" t="str">
        <f>'Recast Raytheon_Qtr'!A32</f>
        <v>YoY</v>
      </c>
      <c r="B32" s="200"/>
      <c r="C32" s="200"/>
      <c r="D32" s="200"/>
      <c r="E32" s="200"/>
      <c r="F32" s="200"/>
      <c r="G32" s="200"/>
      <c r="H32" s="200"/>
      <c r="I32" s="200"/>
      <c r="J32" s="211"/>
      <c r="K32" s="200"/>
      <c r="L32" s="200"/>
      <c r="M32" s="200"/>
      <c r="N32" s="209"/>
      <c r="O32" s="209"/>
      <c r="P32" s="209"/>
      <c r="Q32" s="200"/>
      <c r="R32" s="200"/>
      <c r="S32" s="200"/>
      <c r="T32" s="200"/>
      <c r="U32" s="200"/>
      <c r="V32" s="200" t="e">
        <f>'Recast Raytheon_Qtr'!AE32</f>
        <v>#DIV/0!</v>
      </c>
      <c r="W32" s="200">
        <f>'Recast Raytheon_Qtr'!AJ32</f>
        <v>8.6495427257528235E-2</v>
      </c>
      <c r="X32" s="200">
        <f>'Recast Raytheon_Qtr'!AO32</f>
        <v>-0.16443581490107106</v>
      </c>
      <c r="Y32" s="485">
        <f>'Recast Raytheon_Qtr'!AT32</f>
        <v>-6.9033078455174035E-2</v>
      </c>
      <c r="Z32" s="485">
        <f>'Recast Raytheon_Qtr'!AY32</f>
        <v>0.10266906389159947</v>
      </c>
      <c r="AA32" s="485">
        <f>'Recast Raytheon_Qtr'!BD32</f>
        <v>0.13116860073391701</v>
      </c>
      <c r="AB32" s="485">
        <f>'Recast Raytheon_Qtr'!BI32</f>
        <v>8.4919529557412554E-2</v>
      </c>
      <c r="AC32" s="207">
        <f>AC31/AB31-1</f>
        <v>0</v>
      </c>
      <c r="AD32" s="207">
        <f>AD31/AC31-1</f>
        <v>0</v>
      </c>
      <c r="AE32" s="207">
        <f>AE31/AD31-1</f>
        <v>0</v>
      </c>
      <c r="AF32" s="207">
        <f>AF31/AE31-1</f>
        <v>0</v>
      </c>
      <c r="AL32" s="495"/>
    </row>
    <row r="33" spans="1:37">
      <c r="A33" s="1"/>
      <c r="B33" s="104"/>
      <c r="C33" s="104"/>
      <c r="D33" s="104"/>
      <c r="E33" s="104"/>
      <c r="F33" s="104"/>
      <c r="G33" s="104"/>
      <c r="H33" s="104"/>
      <c r="I33" s="104"/>
      <c r="J33" s="241"/>
      <c r="K33" s="104"/>
      <c r="L33" s="104"/>
      <c r="M33" s="104"/>
      <c r="N33" s="104"/>
      <c r="O33" s="104"/>
      <c r="P33" s="104"/>
      <c r="Q33" s="104"/>
      <c r="R33" s="104"/>
      <c r="S33" s="104"/>
      <c r="T33" s="104"/>
      <c r="U33" s="104"/>
      <c r="V33" s="104"/>
      <c r="W33" s="104"/>
      <c r="X33" s="104"/>
      <c r="Y33" s="292"/>
      <c r="Z33" s="292"/>
      <c r="AA33" s="292"/>
      <c r="AB33" s="292"/>
      <c r="AC33" s="206"/>
      <c r="AD33" s="206"/>
      <c r="AE33" s="206"/>
      <c r="AF33" s="206"/>
      <c r="AK33" s="475">
        <f>AJ31*(1.0175^5)</f>
        <v>2894.8599006041723</v>
      </c>
    </row>
    <row r="34" spans="1:37">
      <c r="A34" s="13" t="str">
        <f>'Recast Raytheon_Qtr'!A34</f>
        <v>As a % of Total Revenue</v>
      </c>
      <c r="B34" s="104"/>
      <c r="C34" s="104"/>
      <c r="D34" s="104"/>
      <c r="E34" s="104"/>
      <c r="F34" s="104"/>
      <c r="G34" s="104"/>
      <c r="H34" s="104"/>
      <c r="I34" s="104"/>
      <c r="J34" s="241"/>
      <c r="K34" s="104"/>
      <c r="L34" s="104"/>
      <c r="M34" s="104"/>
      <c r="N34" s="104"/>
      <c r="O34" s="104"/>
      <c r="P34" s="104"/>
      <c r="Q34" s="104"/>
      <c r="R34" s="104"/>
      <c r="S34" s="104"/>
      <c r="T34" s="104"/>
      <c r="U34" s="104"/>
      <c r="V34" s="104"/>
      <c r="W34" s="104"/>
      <c r="X34" s="104"/>
      <c r="Y34" s="292"/>
      <c r="Z34" s="292"/>
      <c r="AA34" s="292"/>
      <c r="AB34" s="292"/>
      <c r="AC34" s="206"/>
      <c r="AD34" s="206"/>
      <c r="AE34" s="206"/>
      <c r="AF34" s="206"/>
      <c r="AK34" s="475">
        <f>AJ31*(1.065^5)</f>
        <v>3636.6667002595395</v>
      </c>
    </row>
    <row r="35" spans="1:37">
      <c r="A35" s="1" t="str">
        <f>'Recast Raytheon_Qtr'!A35</f>
        <v>Products</v>
      </c>
      <c r="B35" s="186"/>
      <c r="C35" s="186"/>
      <c r="D35" s="186"/>
      <c r="E35" s="186"/>
      <c r="F35" s="186"/>
      <c r="G35" s="186"/>
      <c r="H35" s="186"/>
      <c r="I35" s="186"/>
      <c r="J35" s="181"/>
      <c r="K35" s="186"/>
      <c r="L35" s="186"/>
      <c r="M35" s="186"/>
      <c r="N35" s="186"/>
      <c r="O35" s="186"/>
      <c r="P35" s="186"/>
      <c r="Q35" s="186"/>
      <c r="R35" s="186"/>
      <c r="S35" s="186"/>
      <c r="T35" s="186"/>
      <c r="U35" s="186"/>
      <c r="V35" s="186">
        <f>'Recast Raytheon_Qtr'!AE35</f>
        <v>0</v>
      </c>
      <c r="W35" s="186">
        <f>'Recast Raytheon_Qtr'!AJ35</f>
        <v>0</v>
      </c>
      <c r="X35" s="186">
        <f>'Recast Raytheon_Qtr'!AO35</f>
        <v>0</v>
      </c>
      <c r="Y35" s="186">
        <f>'Recast Raytheon_Qtr'!AT35</f>
        <v>0.82910815939278937</v>
      </c>
      <c r="Z35" s="186">
        <f>'Recast Raytheon_Qtr'!AY35</f>
        <v>0.85621233107475758</v>
      </c>
      <c r="AA35" s="186">
        <f>'Recast Raytheon_Qtr'!BD35</f>
        <v>0.85807509895517597</v>
      </c>
      <c r="AB35" s="186">
        <f>'Recast Raytheon_Qtr'!BI35</f>
        <v>0</v>
      </c>
      <c r="AC35" s="115">
        <f>AC3/AC$11</f>
        <v>0</v>
      </c>
      <c r="AD35" s="115">
        <f>AD3/AD$11</f>
        <v>0</v>
      </c>
      <c r="AE35" s="115">
        <f>AE3/AE$11</f>
        <v>0</v>
      </c>
      <c r="AF35" s="115">
        <f>AF3/AF$11</f>
        <v>0</v>
      </c>
    </row>
    <row r="36" spans="1:37">
      <c r="A36" s="1" t="str">
        <f>'Recast Raytheon_Qtr'!A36</f>
        <v>Services</v>
      </c>
      <c r="B36" s="186"/>
      <c r="C36" s="186"/>
      <c r="D36" s="186"/>
      <c r="E36" s="186"/>
      <c r="F36" s="186"/>
      <c r="G36" s="186"/>
      <c r="H36" s="186"/>
      <c r="I36" s="186"/>
      <c r="J36" s="181"/>
      <c r="K36" s="186"/>
      <c r="L36" s="186"/>
      <c r="M36" s="186"/>
      <c r="N36" s="186"/>
      <c r="O36" s="186"/>
      <c r="P36" s="186"/>
      <c r="Q36" s="186"/>
      <c r="R36" s="186"/>
      <c r="S36" s="186"/>
      <c r="T36" s="186"/>
      <c r="U36" s="186"/>
      <c r="V36" s="186">
        <f>'Recast Raytheon_Qtr'!AE36</f>
        <v>0</v>
      </c>
      <c r="W36" s="186">
        <f>'Recast Raytheon_Qtr'!AJ36</f>
        <v>0</v>
      </c>
      <c r="X36" s="186">
        <f>'Recast Raytheon_Qtr'!AO36</f>
        <v>0</v>
      </c>
      <c r="Y36" s="186">
        <f>'Recast Raytheon_Qtr'!AT36</f>
        <v>0.16595825426944971</v>
      </c>
      <c r="Z36" s="186">
        <f>'Recast Raytheon_Qtr'!AY36</f>
        <v>0.13843447010818702</v>
      </c>
      <c r="AA36" s="186">
        <f>'Recast Raytheon_Qtr'!BD36</f>
        <v>0.13654031309061085</v>
      </c>
      <c r="AB36" s="186">
        <f>'Recast Raytheon_Qtr'!BI36</f>
        <v>0</v>
      </c>
      <c r="AC36" s="115">
        <f>AC6/AC$11</f>
        <v>0</v>
      </c>
      <c r="AD36" s="115">
        <f>AD6/AD$11</f>
        <v>0</v>
      </c>
      <c r="AE36" s="115">
        <f>AE6/AE$11</f>
        <v>0</v>
      </c>
      <c r="AF36" s="115">
        <f>AF6/AF$11</f>
        <v>0</v>
      </c>
    </row>
    <row r="37" spans="1:37">
      <c r="A37" s="1"/>
      <c r="B37" s="38"/>
      <c r="C37" s="38"/>
      <c r="D37" s="38"/>
      <c r="E37" s="38"/>
      <c r="F37" s="38"/>
      <c r="G37" s="38"/>
      <c r="H37" s="38"/>
      <c r="I37" s="38"/>
      <c r="J37" s="38"/>
      <c r="K37" s="38"/>
      <c r="L37" s="38"/>
      <c r="M37" s="38"/>
      <c r="N37" s="38"/>
      <c r="O37" s="38"/>
      <c r="P37" s="38"/>
      <c r="Q37" s="38"/>
      <c r="R37" s="38"/>
      <c r="S37" s="38"/>
      <c r="T37" s="38"/>
      <c r="U37" s="38"/>
      <c r="V37" s="38"/>
      <c r="W37" s="38"/>
      <c r="X37" s="38"/>
      <c r="Y37" s="206"/>
      <c r="Z37" s="206"/>
      <c r="AA37" s="206"/>
      <c r="AB37" s="206"/>
      <c r="AC37" s="206"/>
      <c r="AD37" s="206"/>
      <c r="AE37" s="206"/>
      <c r="AF37" s="206"/>
      <c r="AK37" s="475"/>
    </row>
    <row r="38" spans="1:37">
      <c r="A38" t="s">
        <v>404</v>
      </c>
    </row>
    <row r="39" spans="1:37">
      <c r="W39" s="273">
        <f>(W28-V28)/(W15-V15)</f>
        <v>0.68894009216589858</v>
      </c>
      <c r="X39" s="273">
        <f t="shared" ref="X39:AF39" si="9">(X28-W28)/(X15-W15)</f>
        <v>0.46132404181184666</v>
      </c>
      <c r="Y39" s="273">
        <f t="shared" si="9"/>
        <v>-5.4514480408858604E-2</v>
      </c>
      <c r="Z39" s="273">
        <f t="shared" si="9"/>
        <v>0.67898383371824478</v>
      </c>
      <c r="AA39" s="273">
        <f t="shared" si="9"/>
        <v>0.39920634920634923</v>
      </c>
      <c r="AB39" s="273">
        <f t="shared" si="9"/>
        <v>0.21818172941893721</v>
      </c>
      <c r="AC39" s="273">
        <f t="shared" si="9"/>
        <v>0.12499999999999892</v>
      </c>
      <c r="AD39" s="273">
        <f t="shared" si="9"/>
        <v>0.125</v>
      </c>
      <c r="AE39" s="273">
        <f t="shared" si="9"/>
        <v>0.125</v>
      </c>
      <c r="AF39" s="273">
        <f t="shared" si="9"/>
        <v>0.125</v>
      </c>
    </row>
    <row r="41" spans="1:37">
      <c r="AB41" s="335">
        <f>3422/AB15</f>
        <v>0.11043157219931964</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5FEC-1CC0-4CB1-97ED-316F3C77311B}">
  <sheetPr codeName="Sheet48">
    <tabColor theme="8" tint="0.39997558519241921"/>
  </sheetPr>
  <dimension ref="A1:BN52"/>
  <sheetViews>
    <sheetView showGridLines="0" zoomScaleNormal="100" workbookViewId="0">
      <pane xSplit="1" ySplit="2" topLeftCell="AR3" activePane="bottomRight" state="frozen"/>
      <selection activeCell="A13" sqref="A13"/>
      <selection pane="topRight" activeCell="A13" sqref="A13"/>
      <selection pane="bottomLeft" activeCell="A13" sqref="A13"/>
      <selection pane="bottomRight" activeCell="BI42" sqref="BI42"/>
    </sheetView>
  </sheetViews>
  <sheetFormatPr defaultRowHeight="15" outlineLevelRow="1" outlineLevelCol="1"/>
  <cols>
    <col min="1" max="1" width="48" customWidth="1"/>
    <col min="2" max="5" width="12.28515625" style="25" customWidth="1" outlineLevel="1"/>
    <col min="6" max="6" width="12.28515625" style="25" customWidth="1"/>
    <col min="7" max="10" width="12.28515625" style="25" customWidth="1" outlineLevel="1"/>
    <col min="11" max="11" width="12.28515625" style="25" customWidth="1"/>
    <col min="12" max="15" width="12.28515625" style="25" customWidth="1" outlineLevel="1"/>
    <col min="16" max="16" width="12.28515625" style="25" customWidth="1"/>
    <col min="17" max="20" width="12.28515625" style="25" customWidth="1" outlineLevel="1"/>
    <col min="21" max="21" width="12.28515625" style="25" customWidth="1"/>
    <col min="22" max="25" width="12.28515625" style="25" customWidth="1" outlineLevel="1"/>
    <col min="26" max="26" width="12.28515625" style="25" customWidth="1"/>
    <col min="27" max="30" width="12.28515625" style="25" customWidth="1" outlineLevel="1"/>
    <col min="31" max="31" width="12.28515625" style="25" customWidth="1"/>
    <col min="32" max="35" width="12.28515625" style="25" customWidth="1" outlineLevel="1"/>
    <col min="36" max="36" width="12.28515625" style="25" customWidth="1"/>
    <col min="37" max="40" width="12.28515625" style="25" customWidth="1" outlineLevel="1"/>
    <col min="41" max="41" width="12.28515625" style="25" customWidth="1"/>
    <col min="42" max="45" width="12.28515625" style="25" customWidth="1" outlineLevel="1"/>
    <col min="46" max="46" width="12.28515625" style="25" customWidth="1"/>
    <col min="47" max="50" width="12.28515625" style="25" customWidth="1" outlineLevel="1"/>
    <col min="51" max="51" width="12.28515625" style="25" customWidth="1"/>
    <col min="52" max="55" width="12.28515625" style="25" customWidth="1" outlineLevel="1"/>
    <col min="56" max="56" width="12.28515625" style="25" customWidth="1"/>
    <col min="57" max="60" width="12.28515625" style="25" customWidth="1" outlineLevel="1"/>
    <col min="61" max="61" width="12.28515625" style="25" customWidth="1"/>
    <col min="62" max="62" width="17.85546875" style="315" customWidth="1"/>
    <col min="64" max="64" width="11.5703125" customWidth="1"/>
  </cols>
  <sheetData>
    <row r="1" spans="1:65">
      <c r="A1" s="14" t="s">
        <v>451</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row>
    <row r="2" spans="1:65">
      <c r="A2" s="6"/>
      <c r="B2" s="109" t="str">
        <f>ProForma_IS_Qtr!B2</f>
        <v>1Q15A</v>
      </c>
      <c r="C2" s="109" t="str">
        <f>ProForma_IS_Qtr!C2</f>
        <v>2Q15A</v>
      </c>
      <c r="D2" s="109" t="str">
        <f>ProForma_IS_Qtr!D2</f>
        <v>3Q15A</v>
      </c>
      <c r="E2" s="109" t="str">
        <f>ProForma_IS_Qtr!E2</f>
        <v>4Q15A</v>
      </c>
      <c r="F2" s="110" t="str">
        <f>ProForma_IS_Qtr!F2</f>
        <v>CY2015A</v>
      </c>
      <c r="G2" s="109" t="str">
        <f>ProForma_IS_Qtr!G2</f>
        <v>1Q16A</v>
      </c>
      <c r="H2" s="109" t="str">
        <f>ProForma_IS_Qtr!H2</f>
        <v>2Q16A</v>
      </c>
      <c r="I2" s="109" t="str">
        <f>ProForma_IS_Qtr!I2</f>
        <v>3Q16A</v>
      </c>
      <c r="J2" s="109" t="str">
        <f>ProForma_IS_Qtr!J2</f>
        <v>4Q16A</v>
      </c>
      <c r="K2" s="110" t="str">
        <f>ProForma_IS_Qtr!K2</f>
        <v>CY2016A</v>
      </c>
      <c r="L2" s="109" t="str">
        <f>ProForma_IS_Qtr!L2</f>
        <v>1Q17A</v>
      </c>
      <c r="M2" s="109" t="str">
        <f>ProForma_IS_Qtr!M2</f>
        <v>2Q17A</v>
      </c>
      <c r="N2" s="109" t="str">
        <f>ProForma_IS_Qtr!N2</f>
        <v>3Q17A</v>
      </c>
      <c r="O2" s="109" t="str">
        <f>ProForma_IS_Qtr!O2</f>
        <v>4Q17A</v>
      </c>
      <c r="P2" s="110" t="str">
        <f>ProForma_IS_Qtr!P2</f>
        <v>CY2017A</v>
      </c>
      <c r="Q2" s="109" t="str">
        <f>ProForma_IS_Qtr!Q2</f>
        <v>1Q18A</v>
      </c>
      <c r="R2" s="109" t="str">
        <f>ProForma_IS_Qtr!R2</f>
        <v>2Q18A</v>
      </c>
      <c r="S2" s="109" t="str">
        <f>ProForma_IS_Qtr!S2</f>
        <v>3Q18A</v>
      </c>
      <c r="T2" s="109" t="str">
        <f>ProForma_IS_Qtr!T2</f>
        <v>4Q18A</v>
      </c>
      <c r="U2" s="110" t="str">
        <f>ProForma_IS_Qtr!U2</f>
        <v>CY2018A</v>
      </c>
      <c r="V2" s="109" t="str">
        <f>ProForma_IS_Qtr!V2</f>
        <v>1Q19A</v>
      </c>
      <c r="W2" s="109" t="str">
        <f>ProForma_IS_Qtr!W2</f>
        <v>2Q19A</v>
      </c>
      <c r="X2" s="109" t="str">
        <f>ProForma_IS_Qtr!X2</f>
        <v>3Q19A</v>
      </c>
      <c r="Y2" s="109" t="str">
        <f>ProForma_IS_Qtr!Y2</f>
        <v>4Q19A</v>
      </c>
      <c r="Z2" s="110" t="str">
        <f>ProForma_IS_Qtr!Z2</f>
        <v>CY2019A</v>
      </c>
      <c r="AA2" s="109" t="str">
        <f>ProForma_IS_Qtr!AA2</f>
        <v>1Q20A</v>
      </c>
      <c r="AB2" s="109" t="str">
        <f>ProForma_IS_Qtr!AB2</f>
        <v>2Q20A</v>
      </c>
      <c r="AC2" s="109" t="str">
        <f>ProForma_IS_Qtr!AC2</f>
        <v>3Q20A</v>
      </c>
      <c r="AD2" s="109" t="str">
        <f>ProForma_IS_Qtr!AD2</f>
        <v>4Q20A</v>
      </c>
      <c r="AE2" s="110" t="str">
        <f>ProForma_IS_Qtr!AE2</f>
        <v>CY2020A</v>
      </c>
      <c r="AF2" s="109" t="str">
        <f>ProForma_IS_Qtr!AF2</f>
        <v>1Q21A</v>
      </c>
      <c r="AG2" s="109" t="str">
        <f>ProForma_IS_Qtr!AG2</f>
        <v>2Q21A</v>
      </c>
      <c r="AH2" s="109" t="str">
        <f>ProForma_IS_Qtr!AH2</f>
        <v>3Q21A</v>
      </c>
      <c r="AI2" s="109" t="str">
        <f>ProForma_IS_Qtr!AI2</f>
        <v>4Q21A</v>
      </c>
      <c r="AJ2" s="110" t="str">
        <f>ProForma_IS_Qtr!AJ2</f>
        <v>CY2021A</v>
      </c>
      <c r="AK2" s="109" t="str">
        <f>ProForma_IS_Qtr!AK2</f>
        <v>1Q22A</v>
      </c>
      <c r="AL2" s="109" t="str">
        <f>ProForma_IS_Qtr!AL2</f>
        <v>2Q22A</v>
      </c>
      <c r="AM2" s="109" t="str">
        <f>ProForma_IS_Qtr!AM2</f>
        <v>3Q22A</v>
      </c>
      <c r="AN2" s="109" t="str">
        <f>ProForma_IS_Qtr!AN2</f>
        <v>4Q22A</v>
      </c>
      <c r="AO2" s="110" t="str">
        <f>ProForma_IS_Qtr!AO2</f>
        <v>CY2022A</v>
      </c>
      <c r="AP2" s="109" t="str">
        <f>ProForma_IS_Qtr!AP2</f>
        <v>1Q23A</v>
      </c>
      <c r="AQ2" s="109" t="str">
        <f>ProForma_IS_Qtr!AQ2</f>
        <v>2Q23A</v>
      </c>
      <c r="AR2" s="109" t="str">
        <f>ProForma_IS_Qtr!AR2</f>
        <v>3Q23A</v>
      </c>
      <c r="AS2" s="109" t="str">
        <f>ProForma_IS_Qtr!AS2</f>
        <v>4Q23A</v>
      </c>
      <c r="AT2" s="110" t="str">
        <f>ProForma_IS_Qtr!AT2</f>
        <v>CY2023A</v>
      </c>
      <c r="AU2" s="109" t="str">
        <f>ProForma_IS_Qtr!AU2</f>
        <v>1Q24A</v>
      </c>
      <c r="AV2" s="109" t="str">
        <f>ProForma_IS_Qtr!AV2</f>
        <v>2Q24A</v>
      </c>
      <c r="AW2" s="109" t="str">
        <f>ProForma_IS_Qtr!AW2</f>
        <v>3Q24A</v>
      </c>
      <c r="AX2" s="109" t="str">
        <f>ProForma_IS_Qtr!AX2</f>
        <v>4Q24A</v>
      </c>
      <c r="AY2" s="110" t="str">
        <f>ProForma_IS_Qtr!AY2</f>
        <v>CY2024A</v>
      </c>
      <c r="AZ2" s="109" t="str">
        <f>ProForma_IS_Qtr!AZ2</f>
        <v>1Q25A</v>
      </c>
      <c r="BA2" s="109" t="str">
        <f>ProForma_IS_Qtr!BA2</f>
        <v>2Q25A</v>
      </c>
      <c r="BB2" s="109" t="str">
        <f>ProForma_IS_Qtr!BB2</f>
        <v>3Q25A</v>
      </c>
      <c r="BC2" s="109" t="str">
        <f>ProForma_IS_Qtr!BC2</f>
        <v>4Q25A</v>
      </c>
      <c r="BD2" s="110" t="str">
        <f>ProForma_IS_Qtr!BD2</f>
        <v>CY2025A</v>
      </c>
      <c r="BE2" s="109" t="str">
        <f>ProForma_IS_Qtr!BE2</f>
        <v>1Q26A</v>
      </c>
      <c r="BF2" s="109" t="str">
        <f>ProForma_IS_Qtr!BF2</f>
        <v>2Q26A</v>
      </c>
      <c r="BG2" s="109" t="str">
        <f>ProForma_IS_Qtr!BG2</f>
        <v>3Q26E</v>
      </c>
      <c r="BH2" s="109" t="str">
        <f>ProForma_IS_Qtr!BH2</f>
        <v>4Q26E</v>
      </c>
      <c r="BI2" s="110" t="str">
        <f>ProForma_IS_Qtr!BI2</f>
        <v>CY2026E</v>
      </c>
      <c r="BJ2" s="314" t="s">
        <v>507</v>
      </c>
    </row>
    <row r="3" spans="1:65" hidden="1" outlineLevel="1">
      <c r="A3" s="121" t="s">
        <v>377</v>
      </c>
      <c r="B3" s="18"/>
      <c r="C3" s="18"/>
      <c r="D3" s="18"/>
      <c r="E3" s="18"/>
      <c r="F3" s="20"/>
      <c r="G3" s="18"/>
      <c r="H3" s="18"/>
      <c r="I3" s="18"/>
      <c r="J3" s="18"/>
      <c r="K3" s="20"/>
      <c r="L3" s="18"/>
      <c r="M3" s="18"/>
      <c r="N3" s="18"/>
      <c r="O3" s="19"/>
      <c r="P3" s="20"/>
      <c r="Q3" s="18"/>
      <c r="R3" s="18"/>
      <c r="S3" s="18"/>
      <c r="T3" s="19"/>
      <c r="U3" s="20"/>
      <c r="V3" s="18"/>
      <c r="W3" s="18"/>
      <c r="X3" s="18"/>
      <c r="Y3" s="19"/>
      <c r="Z3" s="20"/>
      <c r="AA3" s="18"/>
      <c r="AB3" s="18"/>
      <c r="AC3" s="18"/>
      <c r="AD3" s="325"/>
      <c r="AE3" s="20"/>
      <c r="AF3" s="18"/>
      <c r="AG3" s="18"/>
      <c r="AH3" s="18"/>
      <c r="AI3" s="325"/>
      <c r="AJ3" s="449"/>
      <c r="AK3" s="18"/>
      <c r="AL3" s="18"/>
      <c r="AM3" s="18">
        <v>5336</v>
      </c>
      <c r="AN3" s="325"/>
      <c r="AO3" s="20"/>
      <c r="AP3" s="18"/>
      <c r="AQ3" s="18"/>
      <c r="AR3" s="18">
        <v>5339</v>
      </c>
      <c r="AS3" s="325"/>
      <c r="AT3" s="20">
        <v>21847</v>
      </c>
      <c r="AU3" s="18">
        <v>5467</v>
      </c>
      <c r="AV3" s="18">
        <v>5657</v>
      </c>
      <c r="AW3" s="18">
        <v>5524</v>
      </c>
      <c r="AX3" s="325">
        <f>AY3-SUM(AU3:AW3)</f>
        <v>6224</v>
      </c>
      <c r="AY3" s="20">
        <v>22872</v>
      </c>
      <c r="AZ3" s="18">
        <v>5406</v>
      </c>
      <c r="BA3" s="18">
        <v>5975</v>
      </c>
      <c r="BB3" s="41">
        <v>6013</v>
      </c>
      <c r="BC3" s="325">
        <f>BD3-SUM(AZ3:BB3)</f>
        <v>6669</v>
      </c>
      <c r="BD3" s="20">
        <v>24063</v>
      </c>
      <c r="BE3" s="18">
        <v>6006</v>
      </c>
      <c r="BF3" s="18">
        <v>7297</v>
      </c>
      <c r="BG3" s="18"/>
      <c r="BH3" s="325"/>
      <c r="BI3" s="327"/>
      <c r="BJ3" s="386"/>
      <c r="BK3" s="368"/>
      <c r="BL3" s="112"/>
    </row>
    <row r="4" spans="1:65" hidden="1" outlineLevel="1">
      <c r="A4" s="1" t="s">
        <v>4</v>
      </c>
      <c r="B4" s="34"/>
      <c r="C4" s="35"/>
      <c r="D4" s="35"/>
      <c r="E4" s="35"/>
      <c r="F4" s="36"/>
      <c r="G4" s="34"/>
      <c r="H4" s="35"/>
      <c r="I4" s="35"/>
      <c r="J4" s="35"/>
      <c r="K4" s="36"/>
      <c r="L4" s="34"/>
      <c r="M4" s="35"/>
      <c r="N4" s="35"/>
      <c r="O4" s="35"/>
      <c r="P4" s="36"/>
      <c r="Q4" s="34"/>
      <c r="R4" s="35"/>
      <c r="S4" s="35"/>
      <c r="T4" s="35"/>
      <c r="U4" s="36"/>
      <c r="V4" s="34"/>
      <c r="W4" s="35"/>
      <c r="X4" s="35"/>
      <c r="Y4" s="35"/>
      <c r="Z4" s="36"/>
      <c r="AA4" s="34"/>
      <c r="AB4" s="114" t="str">
        <f>IFERROR(AB3/W3-1,"NM")</f>
        <v>NM</v>
      </c>
      <c r="AC4" s="114" t="str">
        <f>IFERROR(AC3/X3-1,"NM")</f>
        <v>NM</v>
      </c>
      <c r="AD4" s="114" t="str">
        <f>IFERROR(AD3/Y3-1,"NM")</f>
        <v>NM</v>
      </c>
      <c r="AE4" s="36" t="str">
        <f>IFERROR(AE3/Z3-1,"NM")</f>
        <v>NM</v>
      </c>
      <c r="AF4" s="34"/>
      <c r="AG4" s="114" t="str">
        <f t="shared" ref="AG4:AP4" si="0">IFERROR(AG3/AB3-1,"NM")</f>
        <v>NM</v>
      </c>
      <c r="AH4" s="114" t="str">
        <f t="shared" si="0"/>
        <v>NM</v>
      </c>
      <c r="AI4" s="114" t="str">
        <f t="shared" si="0"/>
        <v>NM</v>
      </c>
      <c r="AJ4" s="36" t="str">
        <f t="shared" si="0"/>
        <v>NM</v>
      </c>
      <c r="AK4" s="114" t="str">
        <f t="shared" si="0"/>
        <v>NM</v>
      </c>
      <c r="AL4" s="114" t="str">
        <f t="shared" si="0"/>
        <v>NM</v>
      </c>
      <c r="AM4" s="114">
        <v>0</v>
      </c>
      <c r="AN4" s="114" t="str">
        <f t="shared" si="0"/>
        <v>NM</v>
      </c>
      <c r="AO4" s="36" t="str">
        <f t="shared" si="0"/>
        <v>NM</v>
      </c>
      <c r="AP4" s="114" t="str">
        <f t="shared" si="0"/>
        <v>NM</v>
      </c>
      <c r="AQ4" s="114">
        <v>0</v>
      </c>
      <c r="AR4" s="114">
        <v>0</v>
      </c>
      <c r="AS4" s="114" t="str">
        <f t="shared" ref="AS4" si="1">IFERROR(AS3/AN3-1,"NM")</f>
        <v>NM</v>
      </c>
      <c r="AT4" s="36" t="str">
        <f t="shared" ref="AT4" si="2">IFERROR(AT3/AO3-1,"NM")</f>
        <v>NM</v>
      </c>
      <c r="AU4" s="114" t="str">
        <f>IFERROR(AU3/AP3-1,"NM")</f>
        <v>NM</v>
      </c>
      <c r="AV4" s="114" t="str">
        <f>IFERROR(AV3/AQ3-1,"NM")</f>
        <v>NM</v>
      </c>
      <c r="AW4" s="114">
        <f>IFERROR(AW3/AR3-1,"NM")</f>
        <v>3.4650683648623337E-2</v>
      </c>
      <c r="AX4" s="114"/>
      <c r="AY4" s="36">
        <f t="shared" ref="AY4" si="3">IFERROR(AY3/AT3-1,"NM")</f>
        <v>4.6917196869135314E-2</v>
      </c>
      <c r="AZ4" s="114">
        <f>IFERROR(AZ3/AU3-1,"NM")</f>
        <v>-1.1157856228278806E-2</v>
      </c>
      <c r="BA4" s="114">
        <f>IFERROR(BA3/AV3-1,"NM")</f>
        <v>5.6213540745978507E-2</v>
      </c>
      <c r="BB4" s="114">
        <f>IFERROR(BB3/AW3-1,"NM")</f>
        <v>8.852280955829106E-2</v>
      </c>
      <c r="BC4" s="114"/>
      <c r="BD4" s="36">
        <f t="shared" ref="BD4" si="4">IFERROR(BD3/AY3-1,"NM")</f>
        <v>5.2072402938090345E-2</v>
      </c>
      <c r="BE4" s="114">
        <f>IFERROR(BE3/AZ3-1,"NM")</f>
        <v>0.11098779134295222</v>
      </c>
      <c r="BF4" s="114">
        <f>IFERROR(BF3/BA3-1,"NM")</f>
        <v>0.22125523012552306</v>
      </c>
      <c r="BG4" s="114"/>
      <c r="BH4" s="114"/>
      <c r="BI4" s="218"/>
      <c r="BJ4" s="386"/>
      <c r="BK4" s="368"/>
      <c r="BL4" s="488"/>
    </row>
    <row r="5" spans="1:65" hidden="1" outlineLevel="1">
      <c r="A5" s="1"/>
      <c r="B5" s="21"/>
      <c r="C5" s="21"/>
      <c r="D5" s="21"/>
      <c r="E5" s="21"/>
      <c r="F5" s="22"/>
      <c r="G5" s="21"/>
      <c r="H5" s="21"/>
      <c r="I5" s="21"/>
      <c r="J5" s="21"/>
      <c r="K5" s="22"/>
      <c r="L5" s="21"/>
      <c r="M5" s="21"/>
      <c r="N5" s="21"/>
      <c r="O5" s="21"/>
      <c r="P5" s="22"/>
      <c r="Q5" s="21"/>
      <c r="R5" s="21"/>
      <c r="S5" s="21"/>
      <c r="T5" s="21"/>
      <c r="U5" s="22"/>
      <c r="V5" s="21"/>
      <c r="W5" s="21"/>
      <c r="X5" s="21"/>
      <c r="Y5" s="21"/>
      <c r="Z5" s="22"/>
      <c r="AA5" s="21"/>
      <c r="AB5" s="21"/>
      <c r="AC5" s="21"/>
      <c r="AD5" s="21"/>
      <c r="AE5" s="22"/>
      <c r="AF5" s="21"/>
      <c r="AG5" s="21"/>
      <c r="AH5" s="21"/>
      <c r="AI5" s="21"/>
      <c r="AJ5" s="22"/>
      <c r="AK5" s="21"/>
      <c r="AL5" s="21"/>
      <c r="AM5" s="21"/>
      <c r="AN5" s="21"/>
      <c r="AO5" s="22"/>
      <c r="AP5" s="21"/>
      <c r="AQ5" s="21"/>
      <c r="AR5" s="21"/>
      <c r="AS5" s="21"/>
      <c r="AT5" s="22"/>
      <c r="AU5" s="21"/>
      <c r="AV5" s="21"/>
      <c r="AW5" s="21"/>
      <c r="AX5" s="21"/>
      <c r="AY5" s="22"/>
      <c r="AZ5" s="21"/>
      <c r="BA5" s="21"/>
      <c r="BB5" s="21"/>
      <c r="BC5" s="21"/>
      <c r="BD5" s="22"/>
      <c r="BE5" s="21"/>
      <c r="BF5" s="21"/>
      <c r="BG5" s="21"/>
      <c r="BH5" s="21"/>
      <c r="BI5" s="22"/>
      <c r="BJ5" s="386"/>
      <c r="BK5" s="368"/>
      <c r="BL5" s="112"/>
    </row>
    <row r="6" spans="1:65" hidden="1" outlineLevel="1">
      <c r="A6" s="121" t="s">
        <v>374</v>
      </c>
      <c r="B6" s="18"/>
      <c r="C6" s="18"/>
      <c r="D6" s="18"/>
      <c r="E6" s="18"/>
      <c r="F6" s="20"/>
      <c r="G6" s="18"/>
      <c r="H6" s="18"/>
      <c r="I6" s="18"/>
      <c r="J6" s="18"/>
      <c r="K6" s="20"/>
      <c r="L6" s="18"/>
      <c r="M6" s="18"/>
      <c r="N6" s="18"/>
      <c r="O6" s="19"/>
      <c r="P6" s="20"/>
      <c r="Q6" s="18"/>
      <c r="R6" s="18"/>
      <c r="S6" s="18"/>
      <c r="T6" s="19"/>
      <c r="U6" s="20"/>
      <c r="V6" s="18"/>
      <c r="W6" s="18"/>
      <c r="X6" s="18"/>
      <c r="Y6" s="19"/>
      <c r="Z6" s="20"/>
      <c r="AA6" s="18"/>
      <c r="AB6" s="18"/>
      <c r="AC6" s="18"/>
      <c r="AD6" s="325"/>
      <c r="AE6" s="20"/>
      <c r="AF6" s="18"/>
      <c r="AG6" s="18"/>
      <c r="AH6" s="18"/>
      <c r="AI6" s="325"/>
      <c r="AJ6" s="194"/>
      <c r="AK6" s="18"/>
      <c r="AL6" s="18"/>
      <c r="AM6" s="18">
        <v>935</v>
      </c>
      <c r="AN6" s="325"/>
      <c r="AO6" s="20"/>
      <c r="AP6" s="18"/>
      <c r="AQ6" s="18"/>
      <c r="AR6" s="18">
        <v>1103</v>
      </c>
      <c r="AS6" s="325"/>
      <c r="AT6" s="20">
        <v>4373</v>
      </c>
      <c r="AU6" s="18">
        <v>1163</v>
      </c>
      <c r="AV6" s="18">
        <v>814</v>
      </c>
      <c r="AW6" s="18">
        <v>823</v>
      </c>
      <c r="AX6" s="325">
        <f>AY6-SUM(AU6:AW6)</f>
        <v>898</v>
      </c>
      <c r="AY6" s="20">
        <v>3698</v>
      </c>
      <c r="AZ6" s="18">
        <v>894</v>
      </c>
      <c r="BA6" s="18">
        <v>992</v>
      </c>
      <c r="BB6" s="41">
        <v>990</v>
      </c>
      <c r="BC6" s="325">
        <f>BD6-SUM(AZ6:BB6)</f>
        <v>953</v>
      </c>
      <c r="BD6" s="20">
        <v>3829</v>
      </c>
      <c r="BE6" s="18">
        <v>908</v>
      </c>
      <c r="BF6" s="18">
        <v>923</v>
      </c>
      <c r="BG6" s="18"/>
      <c r="BH6" s="325"/>
      <c r="BI6" s="327"/>
      <c r="BJ6" s="386"/>
      <c r="BK6" s="368"/>
      <c r="BL6" s="112"/>
    </row>
    <row r="7" spans="1:65" hidden="1" outlineLevel="1">
      <c r="A7" s="1" t="s">
        <v>4</v>
      </c>
      <c r="B7" s="21"/>
      <c r="C7" s="21"/>
      <c r="D7" s="21"/>
      <c r="E7" s="21"/>
      <c r="F7" s="22"/>
      <c r="G7" s="21"/>
      <c r="H7" s="21"/>
      <c r="I7" s="21"/>
      <c r="J7" s="21"/>
      <c r="K7" s="22"/>
      <c r="L7" s="34"/>
      <c r="M7" s="35"/>
      <c r="N7" s="35"/>
      <c r="O7" s="35"/>
      <c r="P7" s="36"/>
      <c r="Q7" s="34"/>
      <c r="R7" s="35"/>
      <c r="S7" s="35"/>
      <c r="T7" s="35"/>
      <c r="U7" s="36"/>
      <c r="V7" s="34"/>
      <c r="W7" s="35"/>
      <c r="X7" s="35"/>
      <c r="Y7" s="35"/>
      <c r="Z7" s="36"/>
      <c r="AA7" s="34"/>
      <c r="AB7" s="114" t="str">
        <f>IFERROR(AB6/W6-1,"NM")</f>
        <v>NM</v>
      </c>
      <c r="AC7" s="114" t="str">
        <f>IFERROR(AC6/X6-1,"NM")</f>
        <v>NM</v>
      </c>
      <c r="AD7" s="114" t="str">
        <f>IFERROR(AD6/Y6-1,"NM")</f>
        <v>NM</v>
      </c>
      <c r="AE7" s="36" t="str">
        <f>IFERROR(AE6/Z6-1,"NM")</f>
        <v>NM</v>
      </c>
      <c r="AF7" s="34"/>
      <c r="AG7" s="114" t="str">
        <f t="shared" ref="AG7:AP7" si="5">IFERROR(AG6/AB6-1,"NM")</f>
        <v>NM</v>
      </c>
      <c r="AH7" s="114" t="str">
        <f t="shared" si="5"/>
        <v>NM</v>
      </c>
      <c r="AI7" s="114" t="str">
        <f t="shared" si="5"/>
        <v>NM</v>
      </c>
      <c r="AJ7" s="36" t="str">
        <f t="shared" si="5"/>
        <v>NM</v>
      </c>
      <c r="AK7" s="114" t="str">
        <f t="shared" si="5"/>
        <v>NM</v>
      </c>
      <c r="AL7" s="114" t="str">
        <f t="shared" si="5"/>
        <v>NM</v>
      </c>
      <c r="AM7" s="114">
        <v>0</v>
      </c>
      <c r="AN7" s="114" t="str">
        <f t="shared" si="5"/>
        <v>NM</v>
      </c>
      <c r="AO7" s="36" t="str">
        <f t="shared" si="5"/>
        <v>NM</v>
      </c>
      <c r="AP7" s="114" t="str">
        <f t="shared" si="5"/>
        <v>NM</v>
      </c>
      <c r="AQ7" s="114">
        <v>0</v>
      </c>
      <c r="AR7" s="114">
        <v>0</v>
      </c>
      <c r="AS7" s="114" t="str">
        <f t="shared" ref="AS7" si="6">IFERROR(AS6/AN6-1,"NM")</f>
        <v>NM</v>
      </c>
      <c r="AT7" s="36" t="str">
        <f t="shared" ref="AT7:AV7" si="7">IFERROR(AT6/AO6-1,"NM")</f>
        <v>NM</v>
      </c>
      <c r="AU7" s="114" t="str">
        <f t="shared" si="7"/>
        <v>NM</v>
      </c>
      <c r="AV7" s="114" t="str">
        <f t="shared" si="7"/>
        <v>NM</v>
      </c>
      <c r="AW7" s="114">
        <f>IFERROR(AW6/AR6-1,"NM")</f>
        <v>-0.25385312783318226</v>
      </c>
      <c r="AX7" s="114"/>
      <c r="AY7" s="36">
        <f t="shared" ref="AY7:BA7" si="8">IFERROR(AY6/AT6-1,"NM")</f>
        <v>-0.154356277155271</v>
      </c>
      <c r="AZ7" s="114">
        <f t="shared" si="8"/>
        <v>-0.23129836629406708</v>
      </c>
      <c r="BA7" s="114">
        <f t="shared" si="8"/>
        <v>0.21867321867321876</v>
      </c>
      <c r="BB7" s="114">
        <f>IFERROR(BB6/AW6-1,"NM")</f>
        <v>0.20291616038882143</v>
      </c>
      <c r="BC7" s="114"/>
      <c r="BD7" s="36">
        <f t="shared" ref="BD7:BF7" si="9">IFERROR(BD6/AY6-1,"NM")</f>
        <v>3.5424553812871906E-2</v>
      </c>
      <c r="BE7" s="114">
        <f t="shared" si="9"/>
        <v>1.5659955257270708E-2</v>
      </c>
      <c r="BF7" s="114">
        <f t="shared" si="9"/>
        <v>-6.9556451612903247E-2</v>
      </c>
      <c r="BG7" s="114"/>
      <c r="BH7" s="114"/>
      <c r="BI7" s="218"/>
      <c r="BJ7" s="386"/>
      <c r="BK7" s="368"/>
      <c r="BL7" s="488"/>
    </row>
    <row r="8" spans="1:65" hidden="1" outlineLevel="1">
      <c r="A8" s="1"/>
      <c r="B8" s="21"/>
      <c r="C8" s="21"/>
      <c r="D8" s="21"/>
      <c r="E8" s="21"/>
      <c r="F8" s="22"/>
      <c r="G8" s="21"/>
      <c r="H8" s="21"/>
      <c r="I8" s="21"/>
      <c r="J8" s="21"/>
      <c r="K8" s="22"/>
      <c r="L8" s="21"/>
      <c r="M8" s="21"/>
      <c r="N8" s="21"/>
      <c r="O8" s="21"/>
      <c r="P8" s="22"/>
      <c r="Q8" s="21"/>
      <c r="R8" s="21"/>
      <c r="S8" s="21"/>
      <c r="T8" s="21"/>
      <c r="U8" s="22"/>
      <c r="V8" s="21"/>
      <c r="W8" s="21"/>
      <c r="X8" s="21"/>
      <c r="Y8" s="21"/>
      <c r="Z8" s="22"/>
      <c r="AA8" s="21"/>
      <c r="AB8" s="21"/>
      <c r="AC8" s="21"/>
      <c r="AD8" s="21"/>
      <c r="AE8" s="22"/>
      <c r="AF8" s="21"/>
      <c r="AG8" s="21"/>
      <c r="AH8" s="21"/>
      <c r="AI8" s="21"/>
      <c r="AJ8" s="22"/>
      <c r="AK8" s="21"/>
      <c r="AL8" s="21"/>
      <c r="AM8" s="21"/>
      <c r="AN8" s="21"/>
      <c r="AO8" s="22"/>
      <c r="AP8" s="21"/>
      <c r="AQ8" s="21"/>
      <c r="AR8" s="21"/>
      <c r="AS8" s="21"/>
      <c r="AT8" s="22"/>
      <c r="AU8" s="21"/>
      <c r="AV8" s="21"/>
      <c r="AW8" s="21"/>
      <c r="AX8" s="21"/>
      <c r="AY8" s="22"/>
      <c r="AZ8" s="21"/>
      <c r="BA8" s="21"/>
      <c r="BB8" s="21"/>
      <c r="BC8" s="21"/>
      <c r="BD8" s="22"/>
      <c r="BE8" s="21"/>
      <c r="BF8" s="21"/>
      <c r="BG8" s="21"/>
      <c r="BH8" s="21"/>
      <c r="BI8" s="22"/>
      <c r="BJ8" s="386"/>
      <c r="BK8" s="368"/>
      <c r="BL8" s="112"/>
    </row>
    <row r="9" spans="1:65" hidden="1" outlineLevel="1">
      <c r="A9" s="121" t="s">
        <v>65</v>
      </c>
      <c r="B9" s="88"/>
      <c r="C9" s="88"/>
      <c r="D9" s="88"/>
      <c r="E9" s="19"/>
      <c r="F9" s="199"/>
      <c r="G9" s="88"/>
      <c r="H9" s="88"/>
      <c r="I9" s="88"/>
      <c r="J9" s="19"/>
      <c r="K9" s="199"/>
      <c r="L9" s="88"/>
      <c r="M9" s="88"/>
      <c r="N9" s="88"/>
      <c r="O9" s="19"/>
      <c r="P9" s="199"/>
      <c r="Q9" s="88"/>
      <c r="R9" s="88"/>
      <c r="S9" s="88"/>
      <c r="T9" s="19"/>
      <c r="U9" s="199"/>
      <c r="V9" s="88"/>
      <c r="W9" s="88"/>
      <c r="X9" s="88"/>
      <c r="Y9" s="19"/>
      <c r="Z9" s="199"/>
      <c r="AA9" s="18"/>
      <c r="AB9" s="18"/>
      <c r="AC9" s="18"/>
      <c r="AD9" s="325"/>
      <c r="AE9" s="20"/>
      <c r="AF9" s="18"/>
      <c r="AG9" s="18"/>
      <c r="AH9" s="18"/>
      <c r="AI9" s="325"/>
      <c r="AJ9" s="449"/>
      <c r="AK9" s="18"/>
      <c r="AL9" s="18"/>
      <c r="AM9" s="18">
        <v>37</v>
      </c>
      <c r="AN9" s="325"/>
      <c r="AO9" s="20"/>
      <c r="AP9" s="18"/>
      <c r="AQ9" s="18"/>
      <c r="AR9" s="18">
        <v>30</v>
      </c>
      <c r="AS9" s="325"/>
      <c r="AT9" s="20">
        <v>130</v>
      </c>
      <c r="AU9" s="18">
        <v>29</v>
      </c>
      <c r="AV9" s="18">
        <v>40</v>
      </c>
      <c r="AW9" s="18">
        <v>39</v>
      </c>
      <c r="AX9" s="325">
        <f>AY9-SUM(AU9:AW9)</f>
        <v>35</v>
      </c>
      <c r="AY9" s="20">
        <v>143</v>
      </c>
      <c r="AZ9" s="18">
        <v>40</v>
      </c>
      <c r="BA9" s="18">
        <v>34</v>
      </c>
      <c r="BB9" s="41">
        <v>42</v>
      </c>
      <c r="BC9" s="325">
        <f>BD9-SUM(AZ9:BB9)</f>
        <v>35</v>
      </c>
      <c r="BD9" s="20">
        <v>151</v>
      </c>
      <c r="BE9" s="18">
        <v>31</v>
      </c>
      <c r="BF9" s="18">
        <v>49</v>
      </c>
      <c r="BG9" s="18"/>
      <c r="BH9" s="325"/>
      <c r="BI9" s="327"/>
      <c r="BJ9" s="386"/>
      <c r="BK9" s="368"/>
      <c r="BL9" s="112"/>
    </row>
    <row r="10" spans="1:65" hidden="1" outlineLevel="1">
      <c r="A10" s="1"/>
      <c r="B10" s="21"/>
      <c r="C10" s="21"/>
      <c r="D10" s="21"/>
      <c r="E10" s="21"/>
      <c r="F10" s="22"/>
      <c r="G10" s="21"/>
      <c r="H10" s="21"/>
      <c r="I10" s="21"/>
      <c r="J10" s="21"/>
      <c r="K10" s="22"/>
      <c r="L10" s="21"/>
      <c r="M10" s="21"/>
      <c r="N10" s="21"/>
      <c r="O10" s="21"/>
      <c r="P10" s="22"/>
      <c r="Q10" s="21"/>
      <c r="R10" s="21"/>
      <c r="S10" s="21"/>
      <c r="T10" s="21"/>
      <c r="U10" s="22"/>
      <c r="V10" s="21"/>
      <c r="W10" s="21"/>
      <c r="X10" s="21"/>
      <c r="Y10" s="21"/>
      <c r="Z10" s="22"/>
      <c r="AA10" s="114" t="str">
        <f>IFERROR(AA9/V9-1,"NM")</f>
        <v>NM</v>
      </c>
      <c r="AB10" s="114" t="str">
        <f>IFERROR(AB9/W9-1,"NM")</f>
        <v>NM</v>
      </c>
      <c r="AC10" s="114" t="str">
        <f>IFERROR(AC9/X9-1,"NM")</f>
        <v>NM</v>
      </c>
      <c r="AD10" s="114" t="str">
        <f>IFERROR(AD9/Y9-1,"NM")</f>
        <v>NM</v>
      </c>
      <c r="AE10" s="36" t="str">
        <f>IFERROR(AE9/Z9-1,"NM")</f>
        <v>NM</v>
      </c>
      <c r="AF10" s="193"/>
      <c r="AG10" s="114" t="str">
        <f t="shared" ref="AG10:AL10" si="10">IFERROR(AG9/AB9-1,"NM")</f>
        <v>NM</v>
      </c>
      <c r="AH10" s="114" t="str">
        <f t="shared" si="10"/>
        <v>NM</v>
      </c>
      <c r="AI10" s="114" t="str">
        <f t="shared" si="10"/>
        <v>NM</v>
      </c>
      <c r="AJ10" s="36" t="str">
        <f t="shared" si="10"/>
        <v>NM</v>
      </c>
      <c r="AK10" s="114" t="str">
        <f t="shared" si="10"/>
        <v>NM</v>
      </c>
      <c r="AL10" s="114" t="str">
        <f t="shared" si="10"/>
        <v>NM</v>
      </c>
      <c r="AM10" s="114">
        <v>0</v>
      </c>
      <c r="AN10" s="114" t="str">
        <f>IFERROR(AN9/AI9-1,"NM")</f>
        <v>NM</v>
      </c>
      <c r="AO10" s="36" t="str">
        <f>IFERROR(AO9/AJ9-1,"NM")</f>
        <v>NM</v>
      </c>
      <c r="AP10" s="114" t="str">
        <f>IFERROR(AP9/AK9-1,"NM")</f>
        <v>NM</v>
      </c>
      <c r="AQ10" s="114">
        <v>0</v>
      </c>
      <c r="AR10" s="114">
        <v>0</v>
      </c>
      <c r="AS10" s="114" t="str">
        <f>IFERROR(AS9/AN9-1,"NM")</f>
        <v>NM</v>
      </c>
      <c r="AT10" s="36" t="str">
        <f>IFERROR(AT9/AO9-1,"NM")</f>
        <v>NM</v>
      </c>
      <c r="AU10" s="114" t="str">
        <f>IFERROR(AU9/AP9-1,"NM")</f>
        <v>NM</v>
      </c>
      <c r="AV10" s="114" t="str">
        <f>IFERROR(AV9/AQ9-1,"NM")</f>
        <v>NM</v>
      </c>
      <c r="AW10" s="114">
        <f>IFERROR(AW9/AR9-1,"NM")</f>
        <v>0.30000000000000004</v>
      </c>
      <c r="AX10" s="114"/>
      <c r="AY10" s="36">
        <f>IFERROR(AY9/AT9-1,"NM")</f>
        <v>0.10000000000000009</v>
      </c>
      <c r="AZ10" s="114">
        <f>IFERROR(AZ9/AU9-1,"NM")</f>
        <v>0.3793103448275863</v>
      </c>
      <c r="BA10" s="114">
        <f>IFERROR(BA9/AV9-1,"NM")</f>
        <v>-0.15000000000000002</v>
      </c>
      <c r="BB10" s="114">
        <f>IFERROR(BB9/AW9-1,"NM")</f>
        <v>7.6923076923076872E-2</v>
      </c>
      <c r="BC10" s="114"/>
      <c r="BD10" s="36">
        <f>IFERROR(BD9/AY9-1,"NM")</f>
        <v>5.5944055944056048E-2</v>
      </c>
      <c r="BE10" s="114">
        <f>IFERROR(BE9/AZ9-1,"NM")</f>
        <v>-0.22499999999999998</v>
      </c>
      <c r="BF10" s="114">
        <f>IFERROR(BF9/BA9-1,"NM")</f>
        <v>0.44117647058823528</v>
      </c>
      <c r="BG10" s="114"/>
      <c r="BH10" s="114"/>
      <c r="BI10" s="218"/>
      <c r="BK10" s="348"/>
      <c r="BL10" s="558"/>
    </row>
    <row r="11" spans="1:65" collapsed="1">
      <c r="A11" s="8" t="s">
        <v>0</v>
      </c>
      <c r="B11" s="74"/>
      <c r="C11" s="74"/>
      <c r="D11" s="74"/>
      <c r="E11" s="23"/>
      <c r="F11" s="182"/>
      <c r="G11" s="74"/>
      <c r="H11" s="74"/>
      <c r="I11" s="74"/>
      <c r="J11" s="23"/>
      <c r="K11" s="182"/>
      <c r="L11" s="74"/>
      <c r="M11" s="74"/>
      <c r="N11" s="74"/>
      <c r="O11" s="23"/>
      <c r="P11" s="182"/>
      <c r="Q11" s="74"/>
      <c r="R11" s="74"/>
      <c r="S11" s="74"/>
      <c r="T11" s="23"/>
      <c r="U11" s="182"/>
      <c r="V11" s="29"/>
      <c r="W11" s="29"/>
      <c r="X11" s="29"/>
      <c r="Y11" s="23"/>
      <c r="Z11" s="30"/>
      <c r="AA11" s="29"/>
      <c r="AB11" s="23"/>
      <c r="AC11" s="23"/>
      <c r="AD11" s="95"/>
      <c r="AE11" s="30">
        <v>26177</v>
      </c>
      <c r="AF11" s="23"/>
      <c r="AG11" s="23"/>
      <c r="AH11" s="23"/>
      <c r="AI11" s="95"/>
      <c r="AJ11" s="30">
        <v>26611</v>
      </c>
      <c r="AK11" s="29">
        <v>6074</v>
      </c>
      <c r="AL11" s="29">
        <v>6133</v>
      </c>
      <c r="AM11" s="29">
        <v>6308</v>
      </c>
      <c r="AN11" s="95">
        <f>AO11-SUM(AK11:AM11)</f>
        <v>6661</v>
      </c>
      <c r="AO11" s="30">
        <v>25176</v>
      </c>
      <c r="AP11" s="29">
        <v>6292</v>
      </c>
      <c r="AQ11" s="29">
        <v>6700</v>
      </c>
      <c r="AR11" s="29">
        <v>6472</v>
      </c>
      <c r="AS11" s="95">
        <f>AT11-SUM(AP11:AR11)</f>
        <v>6886</v>
      </c>
      <c r="AT11" s="30">
        <v>26350</v>
      </c>
      <c r="AU11" s="95">
        <f>AU3+AU6+AU9</f>
        <v>6659</v>
      </c>
      <c r="AV11" s="95">
        <f t="shared" ref="AV11:AW11" si="11">AV3+AV6+AV9</f>
        <v>6511</v>
      </c>
      <c r="AW11" s="95">
        <f t="shared" si="11"/>
        <v>6386</v>
      </c>
      <c r="AX11" s="23">
        <f>AY11-SUM(AU11:AW11)</f>
        <v>7157</v>
      </c>
      <c r="AY11" s="202">
        <f>AY3+AY6+AY9</f>
        <v>26713</v>
      </c>
      <c r="AZ11" s="95">
        <f>AZ3+AZ6+AZ9</f>
        <v>6340</v>
      </c>
      <c r="BA11" s="95">
        <f>BA3+BA6+BA9</f>
        <v>7001</v>
      </c>
      <c r="BB11" s="95">
        <f t="shared" ref="BB11" si="12">BB3+BB6+BB9</f>
        <v>7045</v>
      </c>
      <c r="BC11" s="23">
        <f>BD11-SUM(AZ11:BB11)</f>
        <v>7657</v>
      </c>
      <c r="BD11" s="202">
        <f>BD3+BD6+BD9</f>
        <v>28043</v>
      </c>
      <c r="BE11" s="95">
        <f>BE3+BE6+BE9</f>
        <v>6945</v>
      </c>
      <c r="BF11" s="95">
        <f>BF3+BF6+BF9</f>
        <v>8269</v>
      </c>
      <c r="BG11" s="23">
        <f t="shared" ref="BG11" si="13">BB11*(1+BG12)</f>
        <v>7520.5374999999995</v>
      </c>
      <c r="BH11" s="23">
        <f>BI11-SUM(BE11:BG11)</f>
        <v>8252.9775000000009</v>
      </c>
      <c r="BI11" s="202">
        <f>BD11*(1+BI12)</f>
        <v>30987.514999999999</v>
      </c>
      <c r="BK11" s="348"/>
      <c r="BL11" s="348"/>
    </row>
    <row r="12" spans="1:65">
      <c r="A12" s="1" t="s">
        <v>4</v>
      </c>
      <c r="B12" s="21"/>
      <c r="C12" s="21"/>
      <c r="D12" s="21"/>
      <c r="E12" s="21"/>
      <c r="F12" s="36">
        <v>-1</v>
      </c>
      <c r="G12" s="34" t="e">
        <f t="shared" ref="G12:AG12" si="14">G11/B11-1</f>
        <v>#DIV/0!</v>
      </c>
      <c r="H12" s="35" t="e">
        <f t="shared" si="14"/>
        <v>#DIV/0!</v>
      </c>
      <c r="I12" s="35" t="e">
        <f t="shared" si="14"/>
        <v>#DIV/0!</v>
      </c>
      <c r="J12" s="35" t="e">
        <f t="shared" si="14"/>
        <v>#DIV/0!</v>
      </c>
      <c r="K12" s="36" t="e">
        <f t="shared" si="14"/>
        <v>#DIV/0!</v>
      </c>
      <c r="L12" s="34" t="e">
        <f t="shared" si="14"/>
        <v>#DIV/0!</v>
      </c>
      <c r="M12" s="35" t="e">
        <f t="shared" si="14"/>
        <v>#DIV/0!</v>
      </c>
      <c r="N12" s="35" t="e">
        <f t="shared" si="14"/>
        <v>#DIV/0!</v>
      </c>
      <c r="O12" s="35" t="e">
        <f t="shared" si="14"/>
        <v>#DIV/0!</v>
      </c>
      <c r="P12" s="36" t="e">
        <f t="shared" si="14"/>
        <v>#DIV/0!</v>
      </c>
      <c r="Q12" s="34" t="e">
        <f t="shared" si="14"/>
        <v>#DIV/0!</v>
      </c>
      <c r="R12" s="35" t="e">
        <f t="shared" si="14"/>
        <v>#DIV/0!</v>
      </c>
      <c r="S12" s="35" t="e">
        <f t="shared" si="14"/>
        <v>#DIV/0!</v>
      </c>
      <c r="T12" s="35" t="e">
        <f t="shared" si="14"/>
        <v>#DIV/0!</v>
      </c>
      <c r="U12" s="36" t="e">
        <f t="shared" si="14"/>
        <v>#DIV/0!</v>
      </c>
      <c r="V12" s="34" t="e">
        <f t="shared" si="14"/>
        <v>#DIV/0!</v>
      </c>
      <c r="W12" s="35" t="e">
        <f t="shared" si="14"/>
        <v>#DIV/0!</v>
      </c>
      <c r="X12" s="35" t="e">
        <f t="shared" si="14"/>
        <v>#DIV/0!</v>
      </c>
      <c r="Y12" s="35" t="e">
        <f t="shared" si="14"/>
        <v>#DIV/0!</v>
      </c>
      <c r="Z12" s="36" t="e">
        <f t="shared" si="14"/>
        <v>#DIV/0!</v>
      </c>
      <c r="AA12" s="34" t="e">
        <f>AA11/V11-1</f>
        <v>#DIV/0!</v>
      </c>
      <c r="AB12" s="35" t="e">
        <f>AB11/W11-1</f>
        <v>#DIV/0!</v>
      </c>
      <c r="AC12" s="35" t="e">
        <f>AC11/X11-1</f>
        <v>#DIV/0!</v>
      </c>
      <c r="AD12" s="35" t="e">
        <f>AD11/Y11-1</f>
        <v>#DIV/0!</v>
      </c>
      <c r="AE12" s="36" t="e">
        <f>AE11/Z11-1</f>
        <v>#DIV/0!</v>
      </c>
      <c r="AF12" s="35" t="str">
        <f>IFERROR(AF11/AA11-1,"nm")</f>
        <v>nm</v>
      </c>
      <c r="AG12" s="35" t="e">
        <f t="shared" si="14"/>
        <v>#DIV/0!</v>
      </c>
      <c r="AH12" s="35" t="e">
        <f>AH11/AC11-1</f>
        <v>#DIV/0!</v>
      </c>
      <c r="AI12" s="35" t="e">
        <f>AI11/AD11-1</f>
        <v>#DIV/0!</v>
      </c>
      <c r="AJ12" s="36">
        <f>AJ11/AE11-1</f>
        <v>1.6579439966382781E-2</v>
      </c>
      <c r="AK12" s="35" t="str">
        <f>IFERROR(AK11/AF11-1,"nm")</f>
        <v>nm</v>
      </c>
      <c r="AL12" s="35" t="e">
        <f t="shared" ref="AL12" si="15">AL11/AG11-1</f>
        <v>#DIV/0!</v>
      </c>
      <c r="AM12" s="35" t="e">
        <f>AM11/AH11-1</f>
        <v>#DIV/0!</v>
      </c>
      <c r="AN12" s="35" t="e">
        <f>AN11/AI11-1</f>
        <v>#DIV/0!</v>
      </c>
      <c r="AO12" s="36">
        <f>AO11/AJ11-1</f>
        <v>-5.392506858066215E-2</v>
      </c>
      <c r="AP12" s="35">
        <f>IFERROR(AP11/AK11-1,"nm")</f>
        <v>3.589068159367792E-2</v>
      </c>
      <c r="AQ12" s="35">
        <f t="shared" ref="AQ12" si="16">AQ11/AL11-1</f>
        <v>9.2450676667210185E-2</v>
      </c>
      <c r="AR12" s="35">
        <f>AR11/AM11-1</f>
        <v>2.5998731769181882E-2</v>
      </c>
      <c r="AS12" s="35">
        <f>AS11/AN11-1</f>
        <v>3.3778711905119385E-2</v>
      </c>
      <c r="AT12" s="36">
        <f>AT11/AO11-1</f>
        <v>4.6631712742294162E-2</v>
      </c>
      <c r="AU12" s="35">
        <f>IFERROR(AU11/AP11-1,"nm")</f>
        <v>5.832803560076294E-2</v>
      </c>
      <c r="AV12" s="35">
        <f t="shared" ref="AV12" si="17">AV11/AQ11-1</f>
        <v>-2.8208955223880561E-2</v>
      </c>
      <c r="AW12" s="35">
        <f>AW11/AR11-1</f>
        <v>-1.3288009888751562E-2</v>
      </c>
      <c r="AX12" s="35">
        <f t="shared" ref="AX12" si="18">AX11/AS11-1</f>
        <v>3.93552134766193E-2</v>
      </c>
      <c r="AY12" s="36">
        <f>AY11/AT11-1</f>
        <v>1.3776091081593833E-2</v>
      </c>
      <c r="AZ12" s="35">
        <f>IFERROR(AZ11/AU11-1,"nm")</f>
        <v>-4.790509085448269E-2</v>
      </c>
      <c r="BA12" s="35">
        <f t="shared" ref="BA12" si="19">BA11/AV11-1</f>
        <v>7.5257256949777362E-2</v>
      </c>
      <c r="BB12" s="35">
        <f>BB11/AW11-1</f>
        <v>0.10319448794237385</v>
      </c>
      <c r="BC12" s="35">
        <f t="shared" ref="BC12" si="20">BC11/AX11-1</f>
        <v>6.9861673885706299E-2</v>
      </c>
      <c r="BD12" s="36">
        <f>BD11/AY11-1</f>
        <v>4.978849249429107E-2</v>
      </c>
      <c r="BE12" s="35">
        <f>IFERROR(BE11/AZ11-1,"nm")</f>
        <v>9.5425867507886508E-2</v>
      </c>
      <c r="BF12" s="35">
        <f t="shared" ref="BF12" si="21">BF11/BA11-1</f>
        <v>0.18111698328810166</v>
      </c>
      <c r="BG12" s="193">
        <v>6.7500000000000004E-2</v>
      </c>
      <c r="BH12" s="35">
        <f>BH11/BC11-1</f>
        <v>7.7834334595794807E-2</v>
      </c>
      <c r="BI12" s="244">
        <v>0.105</v>
      </c>
      <c r="BK12" s="380"/>
      <c r="BL12" s="488"/>
    </row>
    <row r="13" spans="1:65">
      <c r="A13" s="1"/>
      <c r="B13" s="21"/>
      <c r="C13" s="21"/>
      <c r="D13" s="21"/>
      <c r="E13" s="21"/>
      <c r="F13" s="36"/>
      <c r="G13" s="34"/>
      <c r="H13" s="35"/>
      <c r="I13" s="35"/>
      <c r="J13" s="35"/>
      <c r="K13" s="36"/>
      <c r="L13" s="34"/>
      <c r="M13" s="35"/>
      <c r="N13" s="35"/>
      <c r="O13" s="35"/>
      <c r="P13" s="36"/>
      <c r="Q13" s="34"/>
      <c r="R13" s="35"/>
      <c r="S13" s="35"/>
      <c r="T13" s="35"/>
      <c r="U13" s="36"/>
      <c r="V13" s="34"/>
      <c r="W13" s="35"/>
      <c r="X13" s="35"/>
      <c r="Y13" s="35"/>
      <c r="Z13" s="36"/>
      <c r="AA13" s="34"/>
      <c r="AB13" s="35"/>
      <c r="AC13" s="35"/>
      <c r="AD13" s="35"/>
      <c r="AE13" s="36"/>
      <c r="AF13" s="35"/>
      <c r="AG13" s="35"/>
      <c r="AH13" s="35"/>
      <c r="AI13" s="35"/>
      <c r="AJ13" s="36"/>
      <c r="AK13" s="35"/>
      <c r="AL13" s="35"/>
      <c r="AM13" s="35"/>
      <c r="AN13" s="35"/>
      <c r="AO13" s="36"/>
      <c r="AP13" s="35"/>
      <c r="AQ13" s="35"/>
      <c r="AR13" s="35"/>
      <c r="AS13" s="35"/>
      <c r="AT13" s="36"/>
      <c r="AU13" s="35"/>
      <c r="AV13" s="35"/>
      <c r="AW13" s="35"/>
      <c r="AX13" s="35"/>
      <c r="AY13" s="36"/>
      <c r="AZ13" s="35"/>
      <c r="BA13" s="35"/>
      <c r="BB13" s="35"/>
      <c r="BC13" s="35"/>
      <c r="BD13" s="36"/>
      <c r="BE13" s="35"/>
      <c r="BF13" s="35"/>
      <c r="BG13" s="35"/>
      <c r="BH13" s="35"/>
      <c r="BI13" s="36"/>
    </row>
    <row r="14" spans="1:65">
      <c r="A14" s="6" t="s">
        <v>233</v>
      </c>
      <c r="B14" s="18"/>
      <c r="C14" s="18"/>
      <c r="D14" s="18"/>
      <c r="E14" s="19"/>
      <c r="F14" s="20"/>
      <c r="G14" s="18"/>
      <c r="H14" s="18"/>
      <c r="I14" s="18"/>
      <c r="J14" s="19"/>
      <c r="K14" s="20"/>
      <c r="L14" s="18"/>
      <c r="M14" s="18"/>
      <c r="N14" s="18"/>
      <c r="O14" s="19"/>
      <c r="P14" s="20"/>
      <c r="Q14" s="18"/>
      <c r="R14" s="18"/>
      <c r="S14" s="18"/>
      <c r="T14" s="19"/>
      <c r="U14" s="20"/>
      <c r="V14" s="18"/>
      <c r="W14" s="18"/>
      <c r="X14" s="18"/>
      <c r="Y14" s="19"/>
      <c r="Z14" s="20"/>
      <c r="AA14" s="18"/>
      <c r="AB14" s="18"/>
      <c r="AC14" s="18"/>
      <c r="AD14" s="41"/>
      <c r="AE14" s="194"/>
      <c r="AF14" s="18"/>
      <c r="AG14" s="18"/>
      <c r="AH14" s="18"/>
      <c r="AI14" s="41"/>
      <c r="AJ14" s="194"/>
      <c r="AK14" s="18"/>
      <c r="AL14" s="18"/>
      <c r="AM14" s="18"/>
      <c r="AN14" s="41"/>
      <c r="AO14" s="194"/>
      <c r="AP14" s="18">
        <v>0</v>
      </c>
      <c r="AQ14" s="18">
        <v>0</v>
      </c>
      <c r="AR14" s="18">
        <v>0</v>
      </c>
      <c r="AS14" s="41">
        <v>0</v>
      </c>
      <c r="AT14" s="194">
        <f>SUM(AP14:AS14)</f>
        <v>0</v>
      </c>
      <c r="AU14" s="18">
        <v>0</v>
      </c>
      <c r="AV14" s="18">
        <v>70</v>
      </c>
      <c r="AW14" s="18">
        <v>0</v>
      </c>
      <c r="AX14" s="42">
        <f>AY14-SUM(AU14:AW14)</f>
        <v>0</v>
      </c>
      <c r="AY14" s="20">
        <v>70</v>
      </c>
      <c r="AZ14" s="18">
        <v>0</v>
      </c>
      <c r="BA14" s="18">
        <v>0</v>
      </c>
      <c r="BB14" s="18">
        <v>0</v>
      </c>
      <c r="BC14" s="42">
        <f>BD14-SUM(AZ14:BB14)</f>
        <v>0</v>
      </c>
      <c r="BD14" s="20">
        <v>0</v>
      </c>
      <c r="BE14" s="18">
        <v>0</v>
      </c>
      <c r="BF14" s="18">
        <v>0</v>
      </c>
      <c r="BG14" s="18">
        <v>0</v>
      </c>
      <c r="BH14" s="41">
        <f>BI14-SUM(BE14:BG14)</f>
        <v>0</v>
      </c>
      <c r="BI14" s="43">
        <v>0</v>
      </c>
    </row>
    <row r="15" spans="1:65">
      <c r="A15" s="8" t="s">
        <v>293</v>
      </c>
      <c r="B15" s="23">
        <f t="shared" ref="B15:AP15" si="22">B11+B14</f>
        <v>0</v>
      </c>
      <c r="C15" s="23">
        <f t="shared" si="22"/>
        <v>0</v>
      </c>
      <c r="D15" s="23">
        <f t="shared" si="22"/>
        <v>0</v>
      </c>
      <c r="E15" s="23">
        <f t="shared" si="22"/>
        <v>0</v>
      </c>
      <c r="F15" s="24">
        <f t="shared" si="22"/>
        <v>0</v>
      </c>
      <c r="G15" s="23">
        <f t="shared" si="22"/>
        <v>0</v>
      </c>
      <c r="H15" s="23">
        <f t="shared" si="22"/>
        <v>0</v>
      </c>
      <c r="I15" s="23">
        <f t="shared" si="22"/>
        <v>0</v>
      </c>
      <c r="J15" s="23">
        <f t="shared" si="22"/>
        <v>0</v>
      </c>
      <c r="K15" s="24">
        <f t="shared" si="22"/>
        <v>0</v>
      </c>
      <c r="L15" s="23">
        <f t="shared" si="22"/>
        <v>0</v>
      </c>
      <c r="M15" s="23">
        <f t="shared" si="22"/>
        <v>0</v>
      </c>
      <c r="N15" s="23">
        <f t="shared" si="22"/>
        <v>0</v>
      </c>
      <c r="O15" s="23">
        <f t="shared" si="22"/>
        <v>0</v>
      </c>
      <c r="P15" s="24">
        <f t="shared" si="22"/>
        <v>0</v>
      </c>
      <c r="Q15" s="23">
        <f t="shared" si="22"/>
        <v>0</v>
      </c>
      <c r="R15" s="23">
        <f t="shared" si="22"/>
        <v>0</v>
      </c>
      <c r="S15" s="23">
        <f t="shared" si="22"/>
        <v>0</v>
      </c>
      <c r="T15" s="23">
        <f t="shared" si="22"/>
        <v>0</v>
      </c>
      <c r="U15" s="24">
        <f t="shared" si="22"/>
        <v>0</v>
      </c>
      <c r="V15" s="23">
        <f t="shared" si="22"/>
        <v>0</v>
      </c>
      <c r="W15" s="23">
        <f t="shared" si="22"/>
        <v>0</v>
      </c>
      <c r="X15" s="23">
        <f t="shared" si="22"/>
        <v>0</v>
      </c>
      <c r="Y15" s="23">
        <f t="shared" si="22"/>
        <v>0</v>
      </c>
      <c r="Z15" s="24">
        <f t="shared" si="22"/>
        <v>0</v>
      </c>
      <c r="AA15" s="23">
        <f t="shared" si="22"/>
        <v>0</v>
      </c>
      <c r="AB15" s="23">
        <f t="shared" si="22"/>
        <v>0</v>
      </c>
      <c r="AC15" s="23">
        <f t="shared" si="22"/>
        <v>0</v>
      </c>
      <c r="AD15" s="23">
        <f t="shared" si="22"/>
        <v>0</v>
      </c>
      <c r="AE15" s="24">
        <f t="shared" si="22"/>
        <v>26177</v>
      </c>
      <c r="AF15" s="23">
        <f t="shared" si="22"/>
        <v>0</v>
      </c>
      <c r="AG15" s="23">
        <f t="shared" si="22"/>
        <v>0</v>
      </c>
      <c r="AH15" s="23">
        <f t="shared" si="22"/>
        <v>0</v>
      </c>
      <c r="AI15" s="23">
        <f t="shared" si="22"/>
        <v>0</v>
      </c>
      <c r="AJ15" s="24">
        <f t="shared" si="22"/>
        <v>26611</v>
      </c>
      <c r="AK15" s="23">
        <f t="shared" si="22"/>
        <v>6074</v>
      </c>
      <c r="AL15" s="23">
        <f t="shared" si="22"/>
        <v>6133</v>
      </c>
      <c r="AM15" s="23">
        <f t="shared" si="22"/>
        <v>6308</v>
      </c>
      <c r="AN15" s="23">
        <f t="shared" si="22"/>
        <v>6661</v>
      </c>
      <c r="AO15" s="24">
        <f t="shared" si="22"/>
        <v>25176</v>
      </c>
      <c r="AP15" s="23">
        <f t="shared" si="22"/>
        <v>6292</v>
      </c>
      <c r="AQ15" s="23">
        <f t="shared" ref="AQ15:AU15" si="23">AQ11+AQ14</f>
        <v>6700</v>
      </c>
      <c r="AR15" s="23">
        <f t="shared" si="23"/>
        <v>6472</v>
      </c>
      <c r="AS15" s="23">
        <f t="shared" si="23"/>
        <v>6886</v>
      </c>
      <c r="AT15" s="24">
        <f t="shared" si="23"/>
        <v>26350</v>
      </c>
      <c r="AU15" s="23">
        <f t="shared" si="23"/>
        <v>6659</v>
      </c>
      <c r="AV15" s="23">
        <f t="shared" ref="AV15:AW15" si="24">AV11+AV14</f>
        <v>6581</v>
      </c>
      <c r="AW15" s="23">
        <f t="shared" si="24"/>
        <v>6386</v>
      </c>
      <c r="AX15" s="23">
        <f>AY15-SUM(AU15:AW15)</f>
        <v>7157</v>
      </c>
      <c r="AY15" s="24">
        <f t="shared" ref="AY15:BB15" si="25">AY11+AY14</f>
        <v>26783</v>
      </c>
      <c r="AZ15" s="23">
        <f t="shared" si="25"/>
        <v>6340</v>
      </c>
      <c r="BA15" s="23">
        <f t="shared" si="25"/>
        <v>7001</v>
      </c>
      <c r="BB15" s="23">
        <f t="shared" si="25"/>
        <v>7045</v>
      </c>
      <c r="BC15" s="23">
        <f>BD15-SUM(AZ15:BB15)</f>
        <v>7657</v>
      </c>
      <c r="BD15" s="24">
        <f t="shared" ref="BD15:BE15" si="26">BD11+BD14</f>
        <v>28043</v>
      </c>
      <c r="BE15" s="23">
        <f t="shared" si="26"/>
        <v>6945</v>
      </c>
      <c r="BF15" s="23">
        <f t="shared" ref="BF15:BG15" si="27">BF11+BF14</f>
        <v>8269</v>
      </c>
      <c r="BG15" s="23">
        <f t="shared" si="27"/>
        <v>7520.5374999999995</v>
      </c>
      <c r="BH15" s="23">
        <f>BI15-SUM(BE15:BG15)</f>
        <v>8252.9775000000009</v>
      </c>
      <c r="BI15" s="24">
        <f>BI11+BI14</f>
        <v>30987.514999999999</v>
      </c>
      <c r="BJ15" s="316"/>
      <c r="BK15" s="348"/>
      <c r="BL15" s="335"/>
    </row>
    <row r="16" spans="1:65">
      <c r="A16" s="1" t="s">
        <v>4</v>
      </c>
      <c r="B16" s="21"/>
      <c r="C16" s="21"/>
      <c r="D16" s="21"/>
      <c r="E16" s="21"/>
      <c r="F16" s="36">
        <v>-1</v>
      </c>
      <c r="G16" s="34" t="e">
        <f t="shared" ref="G16:AR16" si="28">G15/B15-1</f>
        <v>#DIV/0!</v>
      </c>
      <c r="H16" s="35" t="e">
        <f t="shared" si="28"/>
        <v>#DIV/0!</v>
      </c>
      <c r="I16" s="35" t="e">
        <f t="shared" si="28"/>
        <v>#DIV/0!</v>
      </c>
      <c r="J16" s="35" t="e">
        <f t="shared" si="28"/>
        <v>#DIV/0!</v>
      </c>
      <c r="K16" s="36" t="e">
        <f t="shared" si="28"/>
        <v>#DIV/0!</v>
      </c>
      <c r="L16" s="34" t="e">
        <f t="shared" si="28"/>
        <v>#DIV/0!</v>
      </c>
      <c r="M16" s="35" t="e">
        <f t="shared" si="28"/>
        <v>#DIV/0!</v>
      </c>
      <c r="N16" s="35" t="e">
        <f t="shared" si="28"/>
        <v>#DIV/0!</v>
      </c>
      <c r="O16" s="35" t="e">
        <f t="shared" si="28"/>
        <v>#DIV/0!</v>
      </c>
      <c r="P16" s="36" t="e">
        <f t="shared" si="28"/>
        <v>#DIV/0!</v>
      </c>
      <c r="Q16" s="34" t="e">
        <f t="shared" si="28"/>
        <v>#DIV/0!</v>
      </c>
      <c r="R16" s="35" t="e">
        <f t="shared" si="28"/>
        <v>#DIV/0!</v>
      </c>
      <c r="S16" s="35" t="e">
        <f t="shared" si="28"/>
        <v>#DIV/0!</v>
      </c>
      <c r="T16" s="35" t="e">
        <f t="shared" si="28"/>
        <v>#DIV/0!</v>
      </c>
      <c r="U16" s="36" t="e">
        <f t="shared" si="28"/>
        <v>#DIV/0!</v>
      </c>
      <c r="V16" s="34" t="e">
        <f t="shared" si="28"/>
        <v>#DIV/0!</v>
      </c>
      <c r="W16" s="35" t="e">
        <f t="shared" si="28"/>
        <v>#DIV/0!</v>
      </c>
      <c r="X16" s="35" t="e">
        <f t="shared" si="28"/>
        <v>#DIV/0!</v>
      </c>
      <c r="Y16" s="35" t="e">
        <f t="shared" si="28"/>
        <v>#DIV/0!</v>
      </c>
      <c r="Z16" s="36" t="e">
        <f t="shared" si="28"/>
        <v>#DIV/0!</v>
      </c>
      <c r="AA16" s="34" t="e">
        <f t="shared" si="28"/>
        <v>#DIV/0!</v>
      </c>
      <c r="AB16" s="35" t="e">
        <f t="shared" si="28"/>
        <v>#DIV/0!</v>
      </c>
      <c r="AC16" s="35" t="e">
        <f t="shared" si="28"/>
        <v>#DIV/0!</v>
      </c>
      <c r="AD16" s="35" t="e">
        <f t="shared" si="28"/>
        <v>#DIV/0!</v>
      </c>
      <c r="AE16" s="36" t="e">
        <f t="shared" si="28"/>
        <v>#DIV/0!</v>
      </c>
      <c r="AF16" s="34" t="e">
        <f t="shared" si="28"/>
        <v>#DIV/0!</v>
      </c>
      <c r="AG16" s="35" t="e">
        <f t="shared" si="28"/>
        <v>#DIV/0!</v>
      </c>
      <c r="AH16" s="35" t="e">
        <f t="shared" si="28"/>
        <v>#DIV/0!</v>
      </c>
      <c r="AI16" s="35" t="e">
        <f t="shared" si="28"/>
        <v>#DIV/0!</v>
      </c>
      <c r="AJ16" s="36">
        <f t="shared" si="28"/>
        <v>1.6579439966382781E-2</v>
      </c>
      <c r="AK16" s="34" t="e">
        <f t="shared" si="28"/>
        <v>#DIV/0!</v>
      </c>
      <c r="AL16" s="35" t="e">
        <f t="shared" si="28"/>
        <v>#DIV/0!</v>
      </c>
      <c r="AM16" s="35" t="e">
        <f t="shared" si="28"/>
        <v>#DIV/0!</v>
      </c>
      <c r="AN16" s="35" t="e">
        <f t="shared" si="28"/>
        <v>#DIV/0!</v>
      </c>
      <c r="AO16" s="36">
        <f t="shared" si="28"/>
        <v>-5.392506858066215E-2</v>
      </c>
      <c r="AP16" s="34">
        <f t="shared" si="28"/>
        <v>3.589068159367792E-2</v>
      </c>
      <c r="AQ16" s="35">
        <f t="shared" si="28"/>
        <v>9.2450676667210185E-2</v>
      </c>
      <c r="AR16" s="35">
        <f t="shared" si="28"/>
        <v>2.5998731769181882E-2</v>
      </c>
      <c r="AS16" s="35">
        <f t="shared" ref="AS16" si="29">AS15/AN15-1</f>
        <v>3.3778711905119385E-2</v>
      </c>
      <c r="AT16" s="36">
        <f t="shared" ref="AT16:BB16" si="30">AT15/AO15-1</f>
        <v>4.6631712742294162E-2</v>
      </c>
      <c r="AU16" s="34">
        <f t="shared" si="30"/>
        <v>5.832803560076294E-2</v>
      </c>
      <c r="AV16" s="35">
        <f t="shared" si="30"/>
        <v>-1.7761194029850769E-2</v>
      </c>
      <c r="AW16" s="35">
        <f t="shared" si="30"/>
        <v>-1.3288009888751562E-2</v>
      </c>
      <c r="AX16" s="35">
        <f t="shared" ref="AX16" si="31">AX15/AS15-1</f>
        <v>3.93552134766193E-2</v>
      </c>
      <c r="AY16" s="36">
        <f t="shared" si="30"/>
        <v>1.6432637571157427E-2</v>
      </c>
      <c r="AZ16" s="34">
        <f t="shared" si="30"/>
        <v>-4.790509085448269E-2</v>
      </c>
      <c r="BA16" s="35">
        <f t="shared" si="30"/>
        <v>6.3820088132502617E-2</v>
      </c>
      <c r="BB16" s="35">
        <f t="shared" si="30"/>
        <v>0.10319448794237385</v>
      </c>
      <c r="BC16" s="35">
        <f t="shared" ref="BC16" si="32">BC15/AX15-1</f>
        <v>6.9861673885706299E-2</v>
      </c>
      <c r="BD16" s="36">
        <f t="shared" ref="BD16:BE16" si="33">BD15/AY15-1</f>
        <v>4.7044767203076487E-2</v>
      </c>
      <c r="BE16" s="34">
        <f t="shared" si="33"/>
        <v>9.5425867507886508E-2</v>
      </c>
      <c r="BF16" s="35">
        <f t="shared" ref="BF16:BG16" si="34">BF15/BA15-1</f>
        <v>0.18111698328810166</v>
      </c>
      <c r="BG16" s="35">
        <f t="shared" si="34"/>
        <v>6.7499999999999893E-2</v>
      </c>
      <c r="BH16" s="35">
        <f t="shared" ref="BH16" si="35">BH15/BC15-1</f>
        <v>7.7834334595794807E-2</v>
      </c>
      <c r="BI16" s="36">
        <f t="shared" ref="BI16" si="36">BI15/BD15-1</f>
        <v>0.10499999999999998</v>
      </c>
      <c r="BJ16" s="442" t="s">
        <v>517</v>
      </c>
      <c r="BL16" s="383"/>
      <c r="BM16" s="313"/>
    </row>
    <row r="17" spans="1:66">
      <c r="F17" s="26"/>
      <c r="K17" s="26"/>
      <c r="P17" s="26"/>
      <c r="U17" s="26"/>
      <c r="Z17" s="26"/>
      <c r="AC17" s="21"/>
      <c r="AD17" s="21"/>
      <c r="AE17" s="22"/>
      <c r="AG17" s="21"/>
      <c r="AH17" s="21"/>
      <c r="AI17" s="21"/>
      <c r="AJ17" s="22"/>
      <c r="AL17" s="21"/>
      <c r="AM17" s="21"/>
      <c r="AN17" s="21"/>
      <c r="AO17" s="22"/>
      <c r="AQ17" s="21"/>
      <c r="AR17" s="21"/>
      <c r="AS17" s="21"/>
      <c r="AT17" s="22"/>
      <c r="AV17" s="21"/>
      <c r="AW17" s="21"/>
      <c r="AX17" s="21"/>
      <c r="AY17" s="22"/>
      <c r="BA17" s="21"/>
      <c r="BB17" s="21"/>
      <c r="BC17" s="21"/>
      <c r="BD17" s="22"/>
      <c r="BF17" s="21"/>
      <c r="BG17" s="21"/>
      <c r="BH17" s="21"/>
      <c r="BI17" s="22"/>
      <c r="BL17" s="313"/>
      <c r="BM17" s="313"/>
    </row>
    <row r="18" spans="1:66">
      <c r="A18" s="9" t="s">
        <v>10</v>
      </c>
      <c r="B18" s="27">
        <f t="shared" ref="B18:AP18" si="37">+-B11+B21</f>
        <v>0</v>
      </c>
      <c r="C18" s="27">
        <f t="shared" si="37"/>
        <v>0</v>
      </c>
      <c r="D18" s="27">
        <f t="shared" si="37"/>
        <v>0</v>
      </c>
      <c r="E18" s="27">
        <f t="shared" si="37"/>
        <v>0</v>
      </c>
      <c r="F18" s="28">
        <f t="shared" si="37"/>
        <v>0</v>
      </c>
      <c r="G18" s="27">
        <f t="shared" si="37"/>
        <v>0</v>
      </c>
      <c r="H18" s="27">
        <f t="shared" si="37"/>
        <v>0</v>
      </c>
      <c r="I18" s="27">
        <f t="shared" si="37"/>
        <v>0</v>
      </c>
      <c r="J18" s="27">
        <f>+-J11+J21</f>
        <v>0</v>
      </c>
      <c r="K18" s="28">
        <f>+-K11+K21</f>
        <v>0</v>
      </c>
      <c r="L18" s="27">
        <f t="shared" si="37"/>
        <v>0</v>
      </c>
      <c r="M18" s="27">
        <f t="shared" si="37"/>
        <v>0</v>
      </c>
      <c r="N18" s="27">
        <f t="shared" si="37"/>
        <v>0</v>
      </c>
      <c r="O18" s="27">
        <f t="shared" si="37"/>
        <v>0</v>
      </c>
      <c r="P18" s="28">
        <f t="shared" si="37"/>
        <v>0</v>
      </c>
      <c r="Q18" s="27">
        <f t="shared" si="37"/>
        <v>0</v>
      </c>
      <c r="R18" s="27">
        <f t="shared" si="37"/>
        <v>0</v>
      </c>
      <c r="S18" s="27">
        <f t="shared" si="37"/>
        <v>0</v>
      </c>
      <c r="T18" s="27">
        <f t="shared" si="37"/>
        <v>0</v>
      </c>
      <c r="U18" s="28">
        <f t="shared" si="37"/>
        <v>0</v>
      </c>
      <c r="V18" s="27">
        <f t="shared" si="37"/>
        <v>0</v>
      </c>
      <c r="W18" s="27">
        <f t="shared" si="37"/>
        <v>0</v>
      </c>
      <c r="X18" s="27">
        <f t="shared" si="37"/>
        <v>0</v>
      </c>
      <c r="Y18" s="27">
        <f t="shared" si="37"/>
        <v>0</v>
      </c>
      <c r="Z18" s="28">
        <f t="shared" si="37"/>
        <v>0</v>
      </c>
      <c r="AA18" s="27">
        <f t="shared" si="37"/>
        <v>0</v>
      </c>
      <c r="AB18" s="27">
        <f t="shared" si="37"/>
        <v>0</v>
      </c>
      <c r="AC18" s="27">
        <f t="shared" si="37"/>
        <v>0</v>
      </c>
      <c r="AD18" s="27">
        <f t="shared" si="37"/>
        <v>0</v>
      </c>
      <c r="AE18" s="28">
        <f t="shared" si="37"/>
        <v>-23818</v>
      </c>
      <c r="AF18" s="27">
        <f t="shared" si="37"/>
        <v>0</v>
      </c>
      <c r="AG18" s="27">
        <f t="shared" si="37"/>
        <v>0</v>
      </c>
      <c r="AH18" s="27">
        <f t="shared" si="37"/>
        <v>0</v>
      </c>
      <c r="AI18" s="27">
        <f t="shared" si="37"/>
        <v>0</v>
      </c>
      <c r="AJ18" s="28">
        <f t="shared" si="37"/>
        <v>-23212</v>
      </c>
      <c r="AK18" s="27">
        <f t="shared" si="37"/>
        <v>-5419</v>
      </c>
      <c r="AL18" s="27">
        <f t="shared" si="37"/>
        <v>-5554</v>
      </c>
      <c r="AM18" s="27">
        <f t="shared" si="37"/>
        <v>-5622</v>
      </c>
      <c r="AN18" s="27">
        <f t="shared" si="37"/>
        <v>-6133</v>
      </c>
      <c r="AO18" s="28">
        <f t="shared" si="37"/>
        <v>-22728</v>
      </c>
      <c r="AP18" s="27">
        <f t="shared" si="37"/>
        <v>-5721</v>
      </c>
      <c r="AQ18" s="27">
        <f t="shared" ref="AQ18:AU18" si="38">+-AQ11+AQ21</f>
        <v>-6056</v>
      </c>
      <c r="AR18" s="27">
        <f t="shared" si="38"/>
        <v>-5912</v>
      </c>
      <c r="AS18" s="27">
        <f t="shared" si="38"/>
        <v>-6282</v>
      </c>
      <c r="AT18" s="28">
        <f t="shared" si="38"/>
        <v>-23971</v>
      </c>
      <c r="AU18" s="27">
        <f t="shared" si="38"/>
        <v>-5663</v>
      </c>
      <c r="AV18" s="27">
        <f t="shared" ref="AV18:AW18" si="39">+-AV11+AV21</f>
        <v>-6384</v>
      </c>
      <c r="AW18" s="27">
        <f t="shared" si="39"/>
        <v>-5739</v>
      </c>
      <c r="AX18" s="27">
        <f t="shared" ref="AX18:BB18" si="40">+-AX11+AX21</f>
        <v>-6429</v>
      </c>
      <c r="AY18" s="28">
        <f t="shared" si="40"/>
        <v>-24119</v>
      </c>
      <c r="AZ18" s="27">
        <f t="shared" si="40"/>
        <v>-5662</v>
      </c>
      <c r="BA18" s="27">
        <f t="shared" si="40"/>
        <v>-6196</v>
      </c>
      <c r="BB18" s="27">
        <f t="shared" si="40"/>
        <v>-6186</v>
      </c>
      <c r="BC18" s="27">
        <f t="shared" ref="BC18:BE18" si="41">+-BC11+BC21</f>
        <v>-6772</v>
      </c>
      <c r="BD18" s="28">
        <f t="shared" si="41"/>
        <v>-24816</v>
      </c>
      <c r="BE18" s="27">
        <f t="shared" si="41"/>
        <v>-6104</v>
      </c>
      <c r="BF18" s="27">
        <f t="shared" ref="BF18:BG18" si="42">+-BF11+BF21</f>
        <v>-7227</v>
      </c>
      <c r="BG18" s="27">
        <f t="shared" si="42"/>
        <v>-6572.9497749999991</v>
      </c>
      <c r="BH18" s="27">
        <f t="shared" ref="BH18:BI18" si="43">+-BH11+BH21</f>
        <v>-7215.1258500000004</v>
      </c>
      <c r="BI18" s="28">
        <f t="shared" si="43"/>
        <v>-27119.075624999998</v>
      </c>
    </row>
    <row r="19" spans="1:66">
      <c r="A19" s="1" t="s">
        <v>4</v>
      </c>
      <c r="F19" s="36">
        <v>-1</v>
      </c>
      <c r="G19" s="34" t="e">
        <f t="shared" ref="G19:AJ19" si="44">G18/B18-1</f>
        <v>#DIV/0!</v>
      </c>
      <c r="H19" s="35" t="e">
        <f t="shared" si="44"/>
        <v>#DIV/0!</v>
      </c>
      <c r="I19" s="35" t="e">
        <f t="shared" si="44"/>
        <v>#DIV/0!</v>
      </c>
      <c r="J19" s="35" t="e">
        <f t="shared" si="44"/>
        <v>#DIV/0!</v>
      </c>
      <c r="K19" s="36" t="e">
        <f t="shared" si="44"/>
        <v>#DIV/0!</v>
      </c>
      <c r="L19" s="34" t="e">
        <f t="shared" si="44"/>
        <v>#DIV/0!</v>
      </c>
      <c r="M19" s="35" t="e">
        <f t="shared" si="44"/>
        <v>#DIV/0!</v>
      </c>
      <c r="N19" s="35" t="e">
        <f t="shared" si="44"/>
        <v>#DIV/0!</v>
      </c>
      <c r="O19" s="35" t="e">
        <f t="shared" si="44"/>
        <v>#DIV/0!</v>
      </c>
      <c r="P19" s="36" t="e">
        <f t="shared" si="44"/>
        <v>#DIV/0!</v>
      </c>
      <c r="Q19" s="34" t="e">
        <f t="shared" si="44"/>
        <v>#DIV/0!</v>
      </c>
      <c r="R19" s="35" t="e">
        <f t="shared" si="44"/>
        <v>#DIV/0!</v>
      </c>
      <c r="S19" s="35" t="e">
        <f t="shared" si="44"/>
        <v>#DIV/0!</v>
      </c>
      <c r="T19" s="35" t="e">
        <f t="shared" si="44"/>
        <v>#DIV/0!</v>
      </c>
      <c r="U19" s="36" t="e">
        <f t="shared" si="44"/>
        <v>#DIV/0!</v>
      </c>
      <c r="V19" s="34" t="e">
        <f t="shared" si="44"/>
        <v>#DIV/0!</v>
      </c>
      <c r="W19" s="35" t="e">
        <f t="shared" si="44"/>
        <v>#DIV/0!</v>
      </c>
      <c r="X19" s="35" t="e">
        <f t="shared" si="44"/>
        <v>#DIV/0!</v>
      </c>
      <c r="Y19" s="35" t="e">
        <f t="shared" si="44"/>
        <v>#DIV/0!</v>
      </c>
      <c r="Z19" s="36" t="e">
        <f t="shared" si="44"/>
        <v>#DIV/0!</v>
      </c>
      <c r="AA19" s="34" t="e">
        <f t="shared" si="44"/>
        <v>#DIV/0!</v>
      </c>
      <c r="AB19" s="35" t="e">
        <f t="shared" si="44"/>
        <v>#DIV/0!</v>
      </c>
      <c r="AC19" s="35" t="e">
        <f t="shared" si="44"/>
        <v>#DIV/0!</v>
      </c>
      <c r="AD19" s="35" t="e">
        <f t="shared" si="44"/>
        <v>#DIV/0!</v>
      </c>
      <c r="AE19" s="36" t="e">
        <f t="shared" si="44"/>
        <v>#DIV/0!</v>
      </c>
      <c r="AF19" s="35" t="str">
        <f>IFERROR(AF18/AA18-1,"nm")</f>
        <v>nm</v>
      </c>
      <c r="AG19" s="35" t="e">
        <f t="shared" si="44"/>
        <v>#DIV/0!</v>
      </c>
      <c r="AH19" s="35" t="e">
        <f t="shared" si="44"/>
        <v>#DIV/0!</v>
      </c>
      <c r="AI19" s="35" t="e">
        <f t="shared" si="44"/>
        <v>#DIV/0!</v>
      </c>
      <c r="AJ19" s="36">
        <f t="shared" si="44"/>
        <v>-2.5442942312536743E-2</v>
      </c>
      <c r="AK19" s="35" t="str">
        <f>IFERROR(AK18/AF18-1,"nm")</f>
        <v>nm</v>
      </c>
      <c r="AL19" s="35" t="e">
        <f t="shared" ref="AL19:AR19" si="45">AL18/AG18-1</f>
        <v>#DIV/0!</v>
      </c>
      <c r="AM19" s="35" t="e">
        <f t="shared" si="45"/>
        <v>#DIV/0!</v>
      </c>
      <c r="AN19" s="35" t="e">
        <f t="shared" si="45"/>
        <v>#DIV/0!</v>
      </c>
      <c r="AO19" s="36">
        <f t="shared" si="45"/>
        <v>-2.0851283818714483E-2</v>
      </c>
      <c r="AP19" s="35">
        <f>IFERROR(AP18/AK18-1,"nm")</f>
        <v>5.5729839453773744E-2</v>
      </c>
      <c r="AQ19" s="35">
        <f t="shared" si="45"/>
        <v>9.0385307886208244E-2</v>
      </c>
      <c r="AR19" s="35">
        <f t="shared" si="45"/>
        <v>5.1583066524368615E-2</v>
      </c>
      <c r="AS19" s="35">
        <f t="shared" ref="AS19" si="46">AS18/AN18-1</f>
        <v>2.4294798630360326E-2</v>
      </c>
      <c r="AT19" s="36">
        <f t="shared" ref="AT19" si="47">AT18/AO18-1</f>
        <v>5.4690249912002775E-2</v>
      </c>
      <c r="AU19" s="35">
        <f>IFERROR(AU18/AP18-1,"nm")</f>
        <v>-1.0138087746897395E-2</v>
      </c>
      <c r="AV19" s="35">
        <f t="shared" ref="AV19:AW19" si="48">AV18/AQ18-1</f>
        <v>5.4161162483487457E-2</v>
      </c>
      <c r="AW19" s="35">
        <f t="shared" si="48"/>
        <v>-2.9262516914749681E-2</v>
      </c>
      <c r="AX19" s="35">
        <f t="shared" ref="AX19:AY19" si="49">AX18/AS18-1</f>
        <v>2.3400191021967442E-2</v>
      </c>
      <c r="AY19" s="36">
        <f t="shared" si="49"/>
        <v>6.1741270702098117E-3</v>
      </c>
      <c r="AZ19" s="35">
        <f>IFERROR(AZ18/AU18-1,"nm")</f>
        <v>-1.7658484901994509E-4</v>
      </c>
      <c r="BA19" s="35">
        <f t="shared" ref="BA19:BB19" si="50">BA18/AV18-1</f>
        <v>-2.9448621553884724E-2</v>
      </c>
      <c r="BB19" s="35">
        <f t="shared" si="50"/>
        <v>7.7888133821223171E-2</v>
      </c>
      <c r="BC19" s="35">
        <f t="shared" ref="BC19" si="51">BC18/AX18-1</f>
        <v>5.3351998755638563E-2</v>
      </c>
      <c r="BD19" s="36">
        <f t="shared" ref="BD19" si="52">BD18/AY18-1</f>
        <v>2.8898378871429209E-2</v>
      </c>
      <c r="BE19" s="35">
        <f>IFERROR(BE18/AZ18-1,"nm")</f>
        <v>7.8064288237371882E-2</v>
      </c>
      <c r="BF19" s="35">
        <f t="shared" ref="BF19:BG19" si="53">BF18/BA18-1</f>
        <v>0.16639767591994836</v>
      </c>
      <c r="BG19" s="35">
        <f t="shared" si="53"/>
        <v>6.2552501616553347E-2</v>
      </c>
      <c r="BH19" s="35">
        <f t="shared" ref="BH19" si="54">BH18/BC18-1</f>
        <v>6.543500443000605E-2</v>
      </c>
      <c r="BI19" s="36">
        <f t="shared" ref="BI19" si="55">BI18/BD18-1</f>
        <v>9.280607773210825E-2</v>
      </c>
    </row>
    <row r="20" spans="1:66">
      <c r="A20" s="1"/>
      <c r="F20" s="36"/>
      <c r="G20" s="34"/>
      <c r="H20" s="35"/>
      <c r="I20" s="35"/>
      <c r="J20" s="35"/>
      <c r="K20" s="36"/>
      <c r="L20" s="34"/>
      <c r="M20" s="35"/>
      <c r="N20" s="35"/>
      <c r="O20" s="35"/>
      <c r="P20" s="36"/>
      <c r="Q20" s="34"/>
      <c r="R20" s="35"/>
      <c r="S20" s="35"/>
      <c r="T20" s="35"/>
      <c r="U20" s="36"/>
      <c r="V20" s="34"/>
      <c r="W20" s="35"/>
      <c r="X20" s="35"/>
      <c r="Y20" s="35"/>
      <c r="Z20" s="36"/>
      <c r="AA20" s="34"/>
      <c r="AB20" s="35"/>
      <c r="AE20" s="26"/>
      <c r="AF20" s="34"/>
      <c r="AJ20" s="26"/>
      <c r="AK20" s="34"/>
      <c r="AO20" s="26"/>
      <c r="AP20" s="34"/>
      <c r="AT20" s="26"/>
      <c r="AU20" s="34"/>
      <c r="AY20" s="26"/>
      <c r="AZ20" s="34"/>
      <c r="BD20" s="26"/>
      <c r="BE20" s="34"/>
      <c r="BI20" s="26"/>
    </row>
    <row r="21" spans="1:66">
      <c r="A21" s="8" t="s">
        <v>9</v>
      </c>
      <c r="B21" s="74"/>
      <c r="C21" s="74"/>
      <c r="D21" s="74"/>
      <c r="E21" s="23"/>
      <c r="F21" s="182"/>
      <c r="G21" s="74"/>
      <c r="H21" s="74"/>
      <c r="I21" s="74"/>
      <c r="J21" s="23"/>
      <c r="K21" s="182"/>
      <c r="L21" s="74"/>
      <c r="M21" s="74"/>
      <c r="N21" s="74"/>
      <c r="O21" s="23"/>
      <c r="P21" s="182"/>
      <c r="Q21" s="74"/>
      <c r="R21" s="74"/>
      <c r="S21" s="74"/>
      <c r="T21" s="23"/>
      <c r="U21" s="182"/>
      <c r="V21" s="29"/>
      <c r="W21" s="29"/>
      <c r="X21" s="29"/>
      <c r="Y21" s="23"/>
      <c r="Z21" s="30"/>
      <c r="AA21" s="29"/>
      <c r="AB21" s="29"/>
      <c r="AC21" s="29"/>
      <c r="AD21" s="29"/>
      <c r="AE21" s="30">
        <v>2359</v>
      </c>
      <c r="AF21" s="29"/>
      <c r="AG21" s="29"/>
      <c r="AH21" s="29"/>
      <c r="AI21" s="23"/>
      <c r="AJ21" s="30">
        <v>3399</v>
      </c>
      <c r="AK21" s="29">
        <v>655</v>
      </c>
      <c r="AL21" s="29">
        <v>579</v>
      </c>
      <c r="AM21" s="29">
        <v>686</v>
      </c>
      <c r="AN21" s="23">
        <f>AO21-SUM(AK21:AM21)</f>
        <v>528</v>
      </c>
      <c r="AO21" s="30">
        <v>2448</v>
      </c>
      <c r="AP21" s="29">
        <v>571</v>
      </c>
      <c r="AQ21" s="29">
        <v>644</v>
      </c>
      <c r="AR21" s="29">
        <v>560</v>
      </c>
      <c r="AS21" s="23">
        <f>AT21-SUM(AP21:AR21)</f>
        <v>604</v>
      </c>
      <c r="AT21" s="30">
        <v>2379</v>
      </c>
      <c r="AU21" s="29">
        <v>996</v>
      </c>
      <c r="AV21" s="29">
        <v>127</v>
      </c>
      <c r="AW21" s="29">
        <v>647</v>
      </c>
      <c r="AX21" s="23">
        <f t="shared" ref="AX21" si="56">AX28-AX26-AX25</f>
        <v>728</v>
      </c>
      <c r="AY21" s="30">
        <v>2594</v>
      </c>
      <c r="AZ21" s="29">
        <v>678</v>
      </c>
      <c r="BA21" s="29">
        <v>805</v>
      </c>
      <c r="BB21" s="29">
        <v>859</v>
      </c>
      <c r="BC21" s="23">
        <f t="shared" ref="BC21" si="57">BC28-BC26-BC25</f>
        <v>885</v>
      </c>
      <c r="BD21" s="30">
        <v>3227</v>
      </c>
      <c r="BE21" s="29">
        <v>841</v>
      </c>
      <c r="BF21" s="29">
        <v>1042</v>
      </c>
      <c r="BG21" s="95">
        <f t="shared" ref="BG21" si="58">BG28-BG26-BG25</f>
        <v>947.58772499999998</v>
      </c>
      <c r="BH21" s="23">
        <f t="shared" ref="BH21" si="59">BH28-BH26-BH25</f>
        <v>1037.8516500000001</v>
      </c>
      <c r="BI21" s="202">
        <f>SUM(BE21:BH21)</f>
        <v>3868.4393749999999</v>
      </c>
      <c r="BJ21" s="316"/>
      <c r="BL21" s="417"/>
      <c r="BM21" s="346"/>
    </row>
    <row r="22" spans="1:66">
      <c r="A22" s="1" t="s">
        <v>4</v>
      </c>
      <c r="F22" s="36">
        <v>-1</v>
      </c>
      <c r="G22" s="34" t="e">
        <f t="shared" ref="G22:AJ22" si="60">G21/B21-1</f>
        <v>#DIV/0!</v>
      </c>
      <c r="H22" s="35" t="e">
        <f t="shared" si="60"/>
        <v>#DIV/0!</v>
      </c>
      <c r="I22" s="35" t="e">
        <f t="shared" si="60"/>
        <v>#DIV/0!</v>
      </c>
      <c r="J22" s="35" t="e">
        <f t="shared" si="60"/>
        <v>#DIV/0!</v>
      </c>
      <c r="K22" s="36" t="e">
        <f t="shared" si="60"/>
        <v>#DIV/0!</v>
      </c>
      <c r="L22" s="34" t="e">
        <f t="shared" si="60"/>
        <v>#DIV/0!</v>
      </c>
      <c r="M22" s="35" t="e">
        <f t="shared" si="60"/>
        <v>#DIV/0!</v>
      </c>
      <c r="N22" s="35" t="e">
        <f t="shared" si="60"/>
        <v>#DIV/0!</v>
      </c>
      <c r="O22" s="35" t="e">
        <f t="shared" si="60"/>
        <v>#DIV/0!</v>
      </c>
      <c r="P22" s="36" t="e">
        <f t="shared" si="60"/>
        <v>#DIV/0!</v>
      </c>
      <c r="Q22" s="34" t="e">
        <f t="shared" si="60"/>
        <v>#DIV/0!</v>
      </c>
      <c r="R22" s="35" t="e">
        <f t="shared" si="60"/>
        <v>#DIV/0!</v>
      </c>
      <c r="S22" s="35" t="e">
        <f t="shared" si="60"/>
        <v>#DIV/0!</v>
      </c>
      <c r="T22" s="35" t="e">
        <f t="shared" si="60"/>
        <v>#DIV/0!</v>
      </c>
      <c r="U22" s="36" t="e">
        <f t="shared" si="60"/>
        <v>#DIV/0!</v>
      </c>
      <c r="V22" s="34" t="e">
        <f t="shared" si="60"/>
        <v>#DIV/0!</v>
      </c>
      <c r="W22" s="35" t="e">
        <f t="shared" si="60"/>
        <v>#DIV/0!</v>
      </c>
      <c r="X22" s="35" t="e">
        <f t="shared" si="60"/>
        <v>#DIV/0!</v>
      </c>
      <c r="Y22" s="35" t="e">
        <f t="shared" si="60"/>
        <v>#DIV/0!</v>
      </c>
      <c r="Z22" s="36" t="e">
        <f t="shared" si="60"/>
        <v>#DIV/0!</v>
      </c>
      <c r="AA22" s="232" t="e">
        <f t="shared" si="60"/>
        <v>#DIV/0!</v>
      </c>
      <c r="AB22" s="33" t="e">
        <f t="shared" si="60"/>
        <v>#DIV/0!</v>
      </c>
      <c r="AC22" s="33" t="e">
        <f t="shared" si="60"/>
        <v>#DIV/0!</v>
      </c>
      <c r="AD22" s="33" t="e">
        <f t="shared" si="60"/>
        <v>#DIV/0!</v>
      </c>
      <c r="AE22" s="137" t="e">
        <f t="shared" si="60"/>
        <v>#DIV/0!</v>
      </c>
      <c r="AF22" s="35" t="str">
        <f>IFERROR(AF21/AA21-1,"nm")</f>
        <v>nm</v>
      </c>
      <c r="AG22" s="33" t="e">
        <f t="shared" si="60"/>
        <v>#DIV/0!</v>
      </c>
      <c r="AH22" s="33" t="e">
        <f t="shared" si="60"/>
        <v>#DIV/0!</v>
      </c>
      <c r="AI22" s="33" t="e">
        <f t="shared" si="60"/>
        <v>#DIV/0!</v>
      </c>
      <c r="AJ22" s="137">
        <f t="shared" si="60"/>
        <v>0.44086477320898676</v>
      </c>
      <c r="AK22" s="35" t="str">
        <f>IFERROR(AK21/AF21-1,"nm")</f>
        <v>nm</v>
      </c>
      <c r="AL22" s="33" t="e">
        <f t="shared" ref="AL22:AR22" si="61">AL21/AG21-1</f>
        <v>#DIV/0!</v>
      </c>
      <c r="AM22" s="33" t="e">
        <f t="shared" si="61"/>
        <v>#DIV/0!</v>
      </c>
      <c r="AN22" s="33" t="e">
        <f t="shared" si="61"/>
        <v>#DIV/0!</v>
      </c>
      <c r="AO22" s="137">
        <f t="shared" si="61"/>
        <v>-0.27978817299205649</v>
      </c>
      <c r="AP22" s="35">
        <f>IFERROR(AP21/AK21-1,"nm")</f>
        <v>-0.12824427480916034</v>
      </c>
      <c r="AQ22" s="33">
        <f t="shared" si="61"/>
        <v>0.11226252158894656</v>
      </c>
      <c r="AR22" s="33">
        <f t="shared" si="61"/>
        <v>-0.18367346938775508</v>
      </c>
      <c r="AS22" s="33">
        <f t="shared" ref="AS22" si="62">AS21/AN21-1</f>
        <v>0.14393939393939403</v>
      </c>
      <c r="AT22" s="137">
        <f t="shared" ref="AT22" si="63">AT21/AO21-1</f>
        <v>-2.8186274509803932E-2</v>
      </c>
      <c r="AU22" s="35">
        <f>IFERROR(AU21/AP21-1,"nm")</f>
        <v>0.74430823117337996</v>
      </c>
      <c r="AV22" s="33">
        <f t="shared" ref="AV22:AW22" si="64">AV21/AQ21-1</f>
        <v>-0.80279503105590067</v>
      </c>
      <c r="AW22" s="33">
        <f t="shared" si="64"/>
        <v>0.15535714285714275</v>
      </c>
      <c r="AX22" s="33">
        <f t="shared" ref="AX22:AY22" si="65">AX21/AS21-1</f>
        <v>0.20529801324503305</v>
      </c>
      <c r="AY22" s="137">
        <f t="shared" si="65"/>
        <v>9.0374106767549423E-2</v>
      </c>
      <c r="AZ22" s="35">
        <f>IFERROR(AZ21/AU21-1,"nm")</f>
        <v>-0.31927710843373491</v>
      </c>
      <c r="BA22" s="33">
        <f t="shared" ref="BA22:BB22" si="66">BA21/AV21-1</f>
        <v>5.3385826771653546</v>
      </c>
      <c r="BB22" s="33">
        <f t="shared" si="66"/>
        <v>0.32766615146831524</v>
      </c>
      <c r="BC22" s="33">
        <f t="shared" ref="BC22" si="67">BC21/AX21-1</f>
        <v>0.21565934065934056</v>
      </c>
      <c r="BD22" s="137">
        <f t="shared" ref="BD22" si="68">BD21/AY21-1</f>
        <v>0.24402467232074021</v>
      </c>
      <c r="BE22" s="35">
        <f>IFERROR(BE21/AZ21-1,"nm")</f>
        <v>0.24041297935103234</v>
      </c>
      <c r="BF22" s="33">
        <f t="shared" ref="BF22" si="69">BF21/BA21-1</f>
        <v>0.2944099378881988</v>
      </c>
      <c r="BG22" s="33">
        <f t="shared" ref="BG22" si="70">BG21/BB21-1</f>
        <v>0.10312889988358553</v>
      </c>
      <c r="BH22" s="33">
        <f t="shared" ref="BH22" si="71">BH21/BC21-1</f>
        <v>0.1727137288135594</v>
      </c>
      <c r="BI22" s="137">
        <f t="shared" ref="BI22" si="72">BI21/BD21-1</f>
        <v>0.19877266036566477</v>
      </c>
      <c r="BL22" s="383"/>
      <c r="BN22" s="348"/>
    </row>
    <row r="23" spans="1:66">
      <c r="A23" s="1" t="s">
        <v>225</v>
      </c>
      <c r="B23" s="34" t="e">
        <f t="shared" ref="B23:AE23" si="73">B21/B11</f>
        <v>#DIV/0!</v>
      </c>
      <c r="C23" s="35" t="e">
        <f t="shared" si="73"/>
        <v>#DIV/0!</v>
      </c>
      <c r="D23" s="35" t="e">
        <f t="shared" si="73"/>
        <v>#DIV/0!</v>
      </c>
      <c r="E23" s="35" t="e">
        <f t="shared" si="73"/>
        <v>#DIV/0!</v>
      </c>
      <c r="F23" s="36" t="e">
        <f t="shared" si="73"/>
        <v>#DIV/0!</v>
      </c>
      <c r="G23" s="34" t="e">
        <f>G21/G11</f>
        <v>#DIV/0!</v>
      </c>
      <c r="H23" s="35" t="e">
        <f>H21/H11</f>
        <v>#DIV/0!</v>
      </c>
      <c r="I23" s="35" t="e">
        <f>I21/I11</f>
        <v>#DIV/0!</v>
      </c>
      <c r="J23" s="35" t="e">
        <f>J21/J11</f>
        <v>#DIV/0!</v>
      </c>
      <c r="K23" s="36" t="e">
        <f>K21/K11</f>
        <v>#DIV/0!</v>
      </c>
      <c r="L23" s="34" t="e">
        <f t="shared" si="73"/>
        <v>#DIV/0!</v>
      </c>
      <c r="M23" s="35" t="e">
        <f t="shared" si="73"/>
        <v>#DIV/0!</v>
      </c>
      <c r="N23" s="35" t="e">
        <f t="shared" si="73"/>
        <v>#DIV/0!</v>
      </c>
      <c r="O23" s="35" t="e">
        <f t="shared" si="73"/>
        <v>#DIV/0!</v>
      </c>
      <c r="P23" s="36" t="e">
        <f t="shared" si="73"/>
        <v>#DIV/0!</v>
      </c>
      <c r="Q23" s="34" t="e">
        <f t="shared" si="73"/>
        <v>#DIV/0!</v>
      </c>
      <c r="R23" s="35" t="e">
        <f t="shared" si="73"/>
        <v>#DIV/0!</v>
      </c>
      <c r="S23" s="35" t="e">
        <f t="shared" si="73"/>
        <v>#DIV/0!</v>
      </c>
      <c r="T23" s="35" t="e">
        <f t="shared" si="73"/>
        <v>#DIV/0!</v>
      </c>
      <c r="U23" s="36" t="e">
        <f t="shared" si="73"/>
        <v>#DIV/0!</v>
      </c>
      <c r="V23" s="34" t="e">
        <f t="shared" si="73"/>
        <v>#DIV/0!</v>
      </c>
      <c r="W23" s="35" t="e">
        <f t="shared" si="73"/>
        <v>#DIV/0!</v>
      </c>
      <c r="X23" s="35" t="e">
        <f t="shared" si="73"/>
        <v>#DIV/0!</v>
      </c>
      <c r="Y23" s="35" t="e">
        <f t="shared" si="73"/>
        <v>#DIV/0!</v>
      </c>
      <c r="Z23" s="36" t="e">
        <f t="shared" si="73"/>
        <v>#DIV/0!</v>
      </c>
      <c r="AA23" s="232" t="str">
        <f>IFERROR(AA21/AA11,"nm")</f>
        <v>nm</v>
      </c>
      <c r="AB23" s="33" t="e">
        <f t="shared" si="73"/>
        <v>#DIV/0!</v>
      </c>
      <c r="AC23" s="33" t="e">
        <f t="shared" si="73"/>
        <v>#DIV/0!</v>
      </c>
      <c r="AD23" s="33" t="e">
        <f t="shared" si="73"/>
        <v>#DIV/0!</v>
      </c>
      <c r="AE23" s="137">
        <f t="shared" si="73"/>
        <v>9.0117278526951144E-2</v>
      </c>
      <c r="AF23" s="232" t="str">
        <f>IFERROR(AF21/AF11,"nm")</f>
        <v>nm</v>
      </c>
      <c r="AG23" s="33" t="e">
        <f t="shared" ref="AG23:AJ23" si="74">AG21/AG11</f>
        <v>#DIV/0!</v>
      </c>
      <c r="AH23" s="33" t="e">
        <f t="shared" si="74"/>
        <v>#DIV/0!</v>
      </c>
      <c r="AI23" s="33" t="e">
        <f t="shared" si="74"/>
        <v>#DIV/0!</v>
      </c>
      <c r="AJ23" s="137">
        <f t="shared" si="74"/>
        <v>0.12772913456841156</v>
      </c>
      <c r="AK23" s="232">
        <f>IFERROR(AK21/AK11,"nm")</f>
        <v>0.10783668093513335</v>
      </c>
      <c r="AL23" s="33">
        <f t="shared" ref="AL23:AO23" si="75">AL21/AL11</f>
        <v>9.440730474482309E-2</v>
      </c>
      <c r="AM23" s="33">
        <f t="shared" si="75"/>
        <v>0.10875079264426125</v>
      </c>
      <c r="AN23" s="33">
        <f t="shared" si="75"/>
        <v>7.9267377270680076E-2</v>
      </c>
      <c r="AO23" s="137">
        <f t="shared" si="75"/>
        <v>9.7235462345090562E-2</v>
      </c>
      <c r="AP23" s="232">
        <f>IFERROR(AP21/AP11,"nm")</f>
        <v>9.0750158931977118E-2</v>
      </c>
      <c r="AQ23" s="33">
        <f t="shared" ref="AQ23:AT23" si="76">AQ21/AQ11</f>
        <v>9.6119402985074626E-2</v>
      </c>
      <c r="AR23" s="33">
        <f t="shared" si="76"/>
        <v>8.6526576019777507E-2</v>
      </c>
      <c r="AS23" s="33">
        <f t="shared" si="76"/>
        <v>8.7714202730177174E-2</v>
      </c>
      <c r="AT23" s="137">
        <f t="shared" si="76"/>
        <v>9.0284629981024669E-2</v>
      </c>
      <c r="AU23" s="232">
        <f>IFERROR(AU21/AU11,"nm")</f>
        <v>0.14957200780898033</v>
      </c>
      <c r="AV23" s="33">
        <f t="shared" ref="AV23:AW23" si="77">AV21/AV11</f>
        <v>1.9505452311472892E-2</v>
      </c>
      <c r="AW23" s="33">
        <f t="shared" si="77"/>
        <v>0.10131537738803632</v>
      </c>
      <c r="AX23" s="33">
        <f t="shared" ref="AX23:AY23" si="78">AX21/AX11</f>
        <v>0.10171859717758837</v>
      </c>
      <c r="AY23" s="137">
        <f t="shared" si="78"/>
        <v>9.7106277842249095E-2</v>
      </c>
      <c r="AZ23" s="232">
        <f>IFERROR(AZ21/AZ11,"nm")</f>
        <v>0.10694006309148266</v>
      </c>
      <c r="BA23" s="33">
        <f t="shared" ref="BA23:BD23" si="79">BA21/BA11</f>
        <v>0.11498357377517497</v>
      </c>
      <c r="BB23" s="33">
        <f t="shared" si="79"/>
        <v>0.12193044712562101</v>
      </c>
      <c r="BC23" s="33">
        <f t="shared" si="79"/>
        <v>0.11558051456183883</v>
      </c>
      <c r="BD23" s="137">
        <f t="shared" si="79"/>
        <v>0.11507328031950932</v>
      </c>
      <c r="BE23" s="232">
        <f>IFERROR(BE21/BE11,"nm")</f>
        <v>0.1210943124550036</v>
      </c>
      <c r="BF23" s="33">
        <f t="shared" ref="BF23" si="80">BF21/BF11</f>
        <v>0.12601281896238964</v>
      </c>
      <c r="BG23" s="33">
        <f t="shared" ref="BG23" si="81">BG21/BG11</f>
        <v>0.126</v>
      </c>
      <c r="BH23" s="33">
        <f t="shared" ref="BH23:BI23" si="82">BH21/BH11</f>
        <v>0.12575481394442187</v>
      </c>
      <c r="BI23" s="137">
        <f t="shared" si="82"/>
        <v>0.12483864469287066</v>
      </c>
    </row>
    <row r="24" spans="1:66">
      <c r="F24" s="26"/>
      <c r="K24" s="26"/>
      <c r="P24" s="26"/>
      <c r="U24" s="26"/>
      <c r="Z24" s="26"/>
      <c r="AE24" s="26"/>
      <c r="AJ24" s="26"/>
      <c r="AO24" s="26"/>
      <c r="AT24" s="26"/>
      <c r="AY24" s="26"/>
      <c r="BD24" s="26"/>
      <c r="BI24" s="26"/>
      <c r="BM24" s="337"/>
    </row>
    <row r="25" spans="1:66">
      <c r="A25" t="s">
        <v>292</v>
      </c>
      <c r="B25" s="18"/>
      <c r="C25" s="18"/>
      <c r="D25" s="18"/>
      <c r="E25" s="19"/>
      <c r="F25" s="20"/>
      <c r="G25" s="18"/>
      <c r="H25" s="18"/>
      <c r="I25" s="18"/>
      <c r="J25" s="19"/>
      <c r="K25" s="20"/>
      <c r="L25" s="18"/>
      <c r="M25" s="18"/>
      <c r="N25" s="18"/>
      <c r="O25" s="19"/>
      <c r="P25" s="20"/>
      <c r="Q25" s="18"/>
      <c r="R25" s="18"/>
      <c r="S25" s="18"/>
      <c r="T25" s="19"/>
      <c r="U25" s="20"/>
      <c r="V25" s="18"/>
      <c r="W25" s="18"/>
      <c r="X25" s="18"/>
      <c r="Y25" s="19"/>
      <c r="Z25" s="20"/>
      <c r="AA25" s="41"/>
      <c r="AB25" s="41"/>
      <c r="AC25" s="41"/>
      <c r="AD25" s="41"/>
      <c r="AE25" s="43">
        <v>0</v>
      </c>
      <c r="AF25" s="41"/>
      <c r="AG25" s="18"/>
      <c r="AH25" s="41"/>
      <c r="AI25" s="21"/>
      <c r="AJ25" s="43">
        <v>0</v>
      </c>
      <c r="AK25" s="41">
        <v>0</v>
      </c>
      <c r="AL25" s="18">
        <v>0</v>
      </c>
      <c r="AM25" s="41">
        <v>8</v>
      </c>
      <c r="AN25" s="21">
        <f>AO25-SUM(AK25:AM25)</f>
        <v>0</v>
      </c>
      <c r="AO25" s="43">
        <v>8</v>
      </c>
      <c r="AP25" s="41">
        <v>13</v>
      </c>
      <c r="AQ25" s="18">
        <v>18</v>
      </c>
      <c r="AR25" s="41">
        <v>9</v>
      </c>
      <c r="AS25" s="21">
        <f>AT25-SUM(AP25:AR25)</f>
        <v>2</v>
      </c>
      <c r="AT25" s="43">
        <v>42</v>
      </c>
      <c r="AU25" s="41">
        <v>9</v>
      </c>
      <c r="AV25" s="18">
        <v>7</v>
      </c>
      <c r="AW25" s="41">
        <v>14</v>
      </c>
      <c r="AX25" s="41">
        <v>0</v>
      </c>
      <c r="AY25" s="43">
        <v>36</v>
      </c>
      <c r="AZ25" s="41">
        <v>0</v>
      </c>
      <c r="BA25" s="18">
        <v>4</v>
      </c>
      <c r="BB25" s="41">
        <v>0</v>
      </c>
      <c r="BC25" s="41">
        <v>0</v>
      </c>
      <c r="BD25" s="43">
        <v>4</v>
      </c>
      <c r="BE25" s="41">
        <v>4</v>
      </c>
      <c r="BF25" s="18">
        <v>1</v>
      </c>
      <c r="BG25" s="41">
        <v>0</v>
      </c>
      <c r="BH25" s="41">
        <v>0</v>
      </c>
      <c r="BI25" s="43">
        <f>SUM(BE25:BH25)</f>
        <v>5</v>
      </c>
      <c r="BK25" s="336"/>
      <c r="BL25" s="336"/>
      <c r="BM25" s="338"/>
    </row>
    <row r="26" spans="1:66">
      <c r="A26" s="6" t="s">
        <v>299</v>
      </c>
      <c r="B26" s="88"/>
      <c r="C26" s="88"/>
      <c r="D26" s="88"/>
      <c r="E26" s="19"/>
      <c r="F26" s="199"/>
      <c r="G26" s="88"/>
      <c r="H26" s="88"/>
      <c r="I26" s="88"/>
      <c r="J26" s="19"/>
      <c r="K26" s="199"/>
      <c r="L26" s="88"/>
      <c r="M26" s="88"/>
      <c r="N26" s="88"/>
      <c r="O26" s="19"/>
      <c r="P26" s="199"/>
      <c r="Q26" s="88"/>
      <c r="R26" s="88"/>
      <c r="S26" s="88"/>
      <c r="T26" s="19"/>
      <c r="U26" s="199"/>
      <c r="V26" s="18"/>
      <c r="W26" s="18"/>
      <c r="X26" s="18"/>
      <c r="Y26" s="19"/>
      <c r="Z26" s="20"/>
      <c r="AA26" s="41"/>
      <c r="AB26" s="41"/>
      <c r="AC26" s="41"/>
      <c r="AD26" s="41"/>
      <c r="AE26" s="43">
        <v>502</v>
      </c>
      <c r="AF26" s="41"/>
      <c r="AG26" s="18"/>
      <c r="AH26" s="41"/>
      <c r="AI26" s="21"/>
      <c r="AJ26" s="43">
        <v>-239</v>
      </c>
      <c r="AK26" s="41">
        <v>0</v>
      </c>
      <c r="AL26" s="18">
        <v>0</v>
      </c>
      <c r="AM26" s="41">
        <v>0</v>
      </c>
      <c r="AN26" s="21">
        <f>AO26-SUM(AK26:AM26)</f>
        <v>42</v>
      </c>
      <c r="AO26" s="43">
        <v>42</v>
      </c>
      <c r="AP26" s="41">
        <v>0</v>
      </c>
      <c r="AQ26" s="18">
        <v>0</v>
      </c>
      <c r="AR26" s="41">
        <v>1</v>
      </c>
      <c r="AS26" s="21">
        <f>AT26-SUM(AP26:AR26)</f>
        <v>12</v>
      </c>
      <c r="AT26" s="43">
        <v>13</v>
      </c>
      <c r="AU26" s="41">
        <v>-375</v>
      </c>
      <c r="AV26" s="18">
        <v>575</v>
      </c>
      <c r="AW26" s="41">
        <v>0</v>
      </c>
      <c r="AX26" s="41">
        <v>0</v>
      </c>
      <c r="AY26" s="43">
        <f>-375+575-102</f>
        <v>98</v>
      </c>
      <c r="AZ26" s="41">
        <v>0</v>
      </c>
      <c r="BA26" s="18">
        <v>0</v>
      </c>
      <c r="BB26" s="41">
        <v>0</v>
      </c>
      <c r="BC26" s="41">
        <v>0</v>
      </c>
      <c r="BD26" s="43">
        <v>0</v>
      </c>
      <c r="BE26" s="41">
        <v>0</v>
      </c>
      <c r="BF26" s="18">
        <v>0</v>
      </c>
      <c r="BG26" s="41">
        <v>0</v>
      </c>
      <c r="BH26" s="41">
        <v>0</v>
      </c>
      <c r="BI26" s="43">
        <f>SUM(BE26:BH26)</f>
        <v>0</v>
      </c>
      <c r="BK26" s="335"/>
      <c r="BL26" s="335"/>
      <c r="BM26" s="335"/>
    </row>
    <row r="27" spans="1:66">
      <c r="F27" s="26"/>
      <c r="K27" s="26"/>
      <c r="P27" s="26"/>
      <c r="U27" s="26"/>
      <c r="Z27" s="26"/>
      <c r="AE27" s="26"/>
      <c r="AJ27" s="26"/>
      <c r="AO27" s="26"/>
      <c r="AT27" s="26"/>
      <c r="AY27" s="26"/>
      <c r="BD27" s="26"/>
      <c r="BI27" s="26"/>
    </row>
    <row r="28" spans="1:66">
      <c r="A28" s="8" t="s">
        <v>223</v>
      </c>
      <c r="B28" s="23">
        <f t="shared" ref="B28:AA28" si="83">B21+B26+B25</f>
        <v>0</v>
      </c>
      <c r="C28" s="23">
        <f t="shared" si="83"/>
        <v>0</v>
      </c>
      <c r="D28" s="23">
        <f t="shared" si="83"/>
        <v>0</v>
      </c>
      <c r="E28" s="23">
        <f t="shared" si="83"/>
        <v>0</v>
      </c>
      <c r="F28" s="24">
        <f t="shared" si="83"/>
        <v>0</v>
      </c>
      <c r="G28" s="23">
        <f t="shared" si="83"/>
        <v>0</v>
      </c>
      <c r="H28" s="23">
        <f t="shared" si="83"/>
        <v>0</v>
      </c>
      <c r="I28" s="23">
        <f t="shared" si="83"/>
        <v>0</v>
      </c>
      <c r="J28" s="23">
        <f>J21+J26+J25</f>
        <v>0</v>
      </c>
      <c r="K28" s="24">
        <f>K21+K26+K25</f>
        <v>0</v>
      </c>
      <c r="L28" s="23">
        <f t="shared" si="83"/>
        <v>0</v>
      </c>
      <c r="M28" s="23">
        <f t="shared" si="83"/>
        <v>0</v>
      </c>
      <c r="N28" s="23">
        <f t="shared" si="83"/>
        <v>0</v>
      </c>
      <c r="O28" s="23">
        <f t="shared" si="83"/>
        <v>0</v>
      </c>
      <c r="P28" s="24">
        <f t="shared" si="83"/>
        <v>0</v>
      </c>
      <c r="Q28" s="23">
        <f t="shared" si="83"/>
        <v>0</v>
      </c>
      <c r="R28" s="23">
        <f t="shared" si="83"/>
        <v>0</v>
      </c>
      <c r="S28" s="23">
        <f t="shared" si="83"/>
        <v>0</v>
      </c>
      <c r="T28" s="23">
        <f t="shared" si="83"/>
        <v>0</v>
      </c>
      <c r="U28" s="24">
        <f t="shared" si="83"/>
        <v>0</v>
      </c>
      <c r="V28" s="23">
        <f t="shared" si="83"/>
        <v>0</v>
      </c>
      <c r="W28" s="23">
        <f t="shared" si="83"/>
        <v>0</v>
      </c>
      <c r="X28" s="23">
        <f t="shared" si="83"/>
        <v>0</v>
      </c>
      <c r="Y28" s="23">
        <f t="shared" si="83"/>
        <v>0</v>
      </c>
      <c r="Z28" s="24">
        <f t="shared" si="83"/>
        <v>0</v>
      </c>
      <c r="AA28" s="23">
        <f t="shared" si="83"/>
        <v>0</v>
      </c>
      <c r="AB28" s="23">
        <f>AB21+AB26+AB25</f>
        <v>0</v>
      </c>
      <c r="AC28" s="23">
        <f>AC21+AC26+AC25</f>
        <v>0</v>
      </c>
      <c r="AD28" s="23">
        <f>AD21+AD26+AD25</f>
        <v>0</v>
      </c>
      <c r="AE28" s="24">
        <f>AE21+SUM(AE25:AE26)</f>
        <v>2861</v>
      </c>
      <c r="AF28" s="23">
        <f t="shared" ref="AF28" si="84">AF21+AF26+AF25</f>
        <v>0</v>
      </c>
      <c r="AG28" s="23">
        <f>AG21+AG26+AG25</f>
        <v>0</v>
      </c>
      <c r="AH28" s="23">
        <f>AH21+AH26+AH25</f>
        <v>0</v>
      </c>
      <c r="AI28" s="23">
        <f>AI21+AI26+AI25</f>
        <v>0</v>
      </c>
      <c r="AJ28" s="24">
        <f>AJ21+SUM(AJ25:AJ26)</f>
        <v>3160</v>
      </c>
      <c r="AK28" s="23">
        <f t="shared" ref="AK28" si="85">AK21+AK26+AK25</f>
        <v>655</v>
      </c>
      <c r="AL28" s="23">
        <f>AL21+AL26+AL25</f>
        <v>579</v>
      </c>
      <c r="AM28" s="23">
        <f>AM21+AM26+AM25</f>
        <v>694</v>
      </c>
      <c r="AN28" s="23">
        <f>AN21+AN26+AN25</f>
        <v>570</v>
      </c>
      <c r="AO28" s="24">
        <f>AO21+SUM(AO25:AO26)</f>
        <v>2498</v>
      </c>
      <c r="AP28" s="23">
        <f t="shared" ref="AP28" si="86">AP21+AP26+AP25</f>
        <v>584</v>
      </c>
      <c r="AQ28" s="23">
        <f>AQ21+AQ26+AQ25</f>
        <v>662</v>
      </c>
      <c r="AR28" s="23">
        <f>AR21+AR26+AR25</f>
        <v>570</v>
      </c>
      <c r="AS28" s="23">
        <f>AS21+AS26+AS25</f>
        <v>618</v>
      </c>
      <c r="AT28" s="24">
        <f>AT21+SUM(AT25:AT26)</f>
        <v>2434</v>
      </c>
      <c r="AU28" s="23">
        <f t="shared" ref="AU28" si="87">AU21+AU26+AU25</f>
        <v>630</v>
      </c>
      <c r="AV28" s="23">
        <f>AV21+AV26+AV25</f>
        <v>709</v>
      </c>
      <c r="AW28" s="23">
        <f>AW21+AW26+AW25</f>
        <v>661</v>
      </c>
      <c r="AX28" s="23">
        <f>AY28-SUM(AU28:AW28)</f>
        <v>728</v>
      </c>
      <c r="AY28" s="24">
        <f>AY21+SUM(AY25:AY26)</f>
        <v>2728</v>
      </c>
      <c r="AZ28" s="23">
        <f t="shared" ref="AZ28" si="88">AZ21+AZ26+AZ25</f>
        <v>678</v>
      </c>
      <c r="BA28" s="23">
        <f>BA21+BA26+BA25</f>
        <v>809</v>
      </c>
      <c r="BB28" s="23">
        <f>BB21+BB26+BB25</f>
        <v>859</v>
      </c>
      <c r="BC28" s="23">
        <f>BD28-SUM(AZ28:BB28)</f>
        <v>885</v>
      </c>
      <c r="BD28" s="24">
        <f>BD21+SUM(BD25:BD26)</f>
        <v>3231</v>
      </c>
      <c r="BE28" s="23">
        <f t="shared" ref="BE28" si="89">BE21+BE26+BE25</f>
        <v>845</v>
      </c>
      <c r="BF28" s="23">
        <f>BF21+BF26+BF25</f>
        <v>1043</v>
      </c>
      <c r="BG28" s="23">
        <f t="shared" ref="BG28" si="90">BG31*BG15</f>
        <v>947.58772499999998</v>
      </c>
      <c r="BH28" s="23">
        <f>BI28-SUM(BE28:BG28)</f>
        <v>1037.8516500000001</v>
      </c>
      <c r="BI28" s="24">
        <f>BI31*BI15</f>
        <v>3873.4393749999999</v>
      </c>
      <c r="BJ28" s="316" t="s">
        <v>518</v>
      </c>
      <c r="BK28" s="316">
        <f>BI28-BD28</f>
        <v>642.43937499999993</v>
      </c>
      <c r="BM28" s="348"/>
      <c r="BN28" s="348"/>
    </row>
    <row r="29" spans="1:66">
      <c r="A29" s="1" t="s">
        <v>4</v>
      </c>
      <c r="F29" s="36">
        <v>-1</v>
      </c>
      <c r="G29" s="34" t="e">
        <f t="shared" ref="G29:AR29" si="91">G28/B28-1</f>
        <v>#DIV/0!</v>
      </c>
      <c r="H29" s="35" t="e">
        <f t="shared" si="91"/>
        <v>#DIV/0!</v>
      </c>
      <c r="I29" s="35" t="e">
        <f t="shared" si="91"/>
        <v>#DIV/0!</v>
      </c>
      <c r="J29" s="35" t="e">
        <f t="shared" si="91"/>
        <v>#DIV/0!</v>
      </c>
      <c r="K29" s="36" t="e">
        <f t="shared" si="91"/>
        <v>#DIV/0!</v>
      </c>
      <c r="L29" s="34" t="e">
        <f t="shared" si="91"/>
        <v>#DIV/0!</v>
      </c>
      <c r="M29" s="35" t="e">
        <f t="shared" si="91"/>
        <v>#DIV/0!</v>
      </c>
      <c r="N29" s="35" t="e">
        <f t="shared" si="91"/>
        <v>#DIV/0!</v>
      </c>
      <c r="O29" s="35" t="e">
        <f t="shared" si="91"/>
        <v>#DIV/0!</v>
      </c>
      <c r="P29" s="36" t="e">
        <f t="shared" si="91"/>
        <v>#DIV/0!</v>
      </c>
      <c r="Q29" s="34" t="e">
        <f t="shared" si="91"/>
        <v>#DIV/0!</v>
      </c>
      <c r="R29" s="35" t="e">
        <f t="shared" si="91"/>
        <v>#DIV/0!</v>
      </c>
      <c r="S29" s="35" t="e">
        <f t="shared" si="91"/>
        <v>#DIV/0!</v>
      </c>
      <c r="T29" s="35" t="e">
        <f t="shared" si="91"/>
        <v>#DIV/0!</v>
      </c>
      <c r="U29" s="36" t="e">
        <f t="shared" si="91"/>
        <v>#DIV/0!</v>
      </c>
      <c r="V29" s="34" t="e">
        <f t="shared" si="91"/>
        <v>#DIV/0!</v>
      </c>
      <c r="W29" s="35" t="e">
        <f t="shared" si="91"/>
        <v>#DIV/0!</v>
      </c>
      <c r="X29" s="35" t="e">
        <f t="shared" si="91"/>
        <v>#DIV/0!</v>
      </c>
      <c r="Y29" s="35" t="e">
        <f t="shared" si="91"/>
        <v>#DIV/0!</v>
      </c>
      <c r="Z29" s="36" t="e">
        <f t="shared" si="91"/>
        <v>#DIV/0!</v>
      </c>
      <c r="AA29" s="232" t="e">
        <f t="shared" si="91"/>
        <v>#DIV/0!</v>
      </c>
      <c r="AB29" s="33" t="e">
        <f t="shared" si="91"/>
        <v>#DIV/0!</v>
      </c>
      <c r="AC29" s="33" t="e">
        <f t="shared" si="91"/>
        <v>#DIV/0!</v>
      </c>
      <c r="AD29" s="33" t="e">
        <f t="shared" si="91"/>
        <v>#DIV/0!</v>
      </c>
      <c r="AE29" s="137" t="e">
        <f t="shared" si="91"/>
        <v>#DIV/0!</v>
      </c>
      <c r="AF29" s="232" t="e">
        <f t="shared" si="91"/>
        <v>#DIV/0!</v>
      </c>
      <c r="AG29" s="33" t="e">
        <f t="shared" si="91"/>
        <v>#DIV/0!</v>
      </c>
      <c r="AH29" s="33" t="e">
        <f t="shared" si="91"/>
        <v>#DIV/0!</v>
      </c>
      <c r="AI29" s="33" t="e">
        <f t="shared" si="91"/>
        <v>#DIV/0!</v>
      </c>
      <c r="AJ29" s="137">
        <f t="shared" si="91"/>
        <v>0.10450891296749387</v>
      </c>
      <c r="AK29" s="232" t="e">
        <f t="shared" si="91"/>
        <v>#DIV/0!</v>
      </c>
      <c r="AL29" s="33" t="e">
        <f t="shared" si="91"/>
        <v>#DIV/0!</v>
      </c>
      <c r="AM29" s="33" t="e">
        <f t="shared" si="91"/>
        <v>#DIV/0!</v>
      </c>
      <c r="AN29" s="33" t="e">
        <f t="shared" si="91"/>
        <v>#DIV/0!</v>
      </c>
      <c r="AO29" s="137">
        <f t="shared" si="91"/>
        <v>-0.20949367088607596</v>
      </c>
      <c r="AP29" s="232">
        <f t="shared" si="91"/>
        <v>-0.10839694656488552</v>
      </c>
      <c r="AQ29" s="33">
        <f t="shared" si="91"/>
        <v>0.14335060449050085</v>
      </c>
      <c r="AR29" s="33">
        <f t="shared" si="91"/>
        <v>-0.17867435158501443</v>
      </c>
      <c r="AS29" s="33">
        <f t="shared" ref="AS29" si="92">AS28/AN28-1</f>
        <v>8.4210526315789513E-2</v>
      </c>
      <c r="AT29" s="137">
        <f t="shared" ref="AT29:BB29" si="93">AT28/AO28-1</f>
        <v>-2.562049639711772E-2</v>
      </c>
      <c r="AU29" s="232">
        <f t="shared" si="93"/>
        <v>7.8767123287671215E-2</v>
      </c>
      <c r="AV29" s="33">
        <f t="shared" si="93"/>
        <v>7.0996978851963766E-2</v>
      </c>
      <c r="AW29" s="33">
        <f t="shared" si="93"/>
        <v>0.1596491228070176</v>
      </c>
      <c r="AX29" s="33">
        <f t="shared" ref="AX29" si="94">AX28/AS28-1</f>
        <v>0.17799352750809061</v>
      </c>
      <c r="AY29" s="137">
        <f t="shared" si="93"/>
        <v>0.12078882497945775</v>
      </c>
      <c r="AZ29" s="232">
        <f t="shared" si="93"/>
        <v>7.6190476190476142E-2</v>
      </c>
      <c r="BA29" s="33">
        <f t="shared" si="93"/>
        <v>0.14104372355430184</v>
      </c>
      <c r="BB29" s="33">
        <f t="shared" si="93"/>
        <v>0.29954614220877462</v>
      </c>
      <c r="BC29" s="33">
        <f t="shared" ref="BC29" si="95">BC28/AX28-1</f>
        <v>0.21565934065934056</v>
      </c>
      <c r="BD29" s="137">
        <f t="shared" ref="BD29:BF29" si="96">BD28/AY28-1</f>
        <v>0.18438416422287385</v>
      </c>
      <c r="BE29" s="232">
        <f t="shared" si="96"/>
        <v>0.24631268436578169</v>
      </c>
      <c r="BF29" s="33">
        <f t="shared" si="96"/>
        <v>0.28924598269468471</v>
      </c>
      <c r="BG29" s="33">
        <f t="shared" ref="BG29" si="97">BG28/BB28-1</f>
        <v>0.10312889988358553</v>
      </c>
      <c r="BH29" s="33">
        <f t="shared" ref="BH29" si="98">BH28/BC28-1</f>
        <v>0.1727137288135594</v>
      </c>
      <c r="BI29" s="137">
        <f t="shared" ref="BI29" si="99">BI28/BD28-1</f>
        <v>0.19883608016094079</v>
      </c>
    </row>
    <row r="30" spans="1:66">
      <c r="F30" s="26"/>
      <c r="K30" s="26"/>
      <c r="P30" s="26"/>
      <c r="U30" s="26"/>
      <c r="Z30" s="26"/>
      <c r="AE30" s="26"/>
      <c r="AJ30" s="26"/>
      <c r="AO30" s="26"/>
      <c r="AT30" s="26"/>
      <c r="AY30" s="26"/>
      <c r="BD30" s="26"/>
      <c r="BI30" s="26"/>
    </row>
    <row r="31" spans="1:66" s="4" customFormat="1">
      <c r="A31" s="8" t="s">
        <v>224</v>
      </c>
      <c r="B31" s="122" t="e">
        <f t="shared" ref="B31:R31" si="100">+B28/B15</f>
        <v>#DIV/0!</v>
      </c>
      <c r="C31" s="122" t="e">
        <f t="shared" si="100"/>
        <v>#DIV/0!</v>
      </c>
      <c r="D31" s="122" t="e">
        <f t="shared" si="100"/>
        <v>#DIV/0!</v>
      </c>
      <c r="E31" s="122" t="e">
        <f t="shared" si="100"/>
        <v>#DIV/0!</v>
      </c>
      <c r="F31" s="123" t="e">
        <f t="shared" si="100"/>
        <v>#DIV/0!</v>
      </c>
      <c r="G31" s="122" t="e">
        <f t="shared" si="100"/>
        <v>#DIV/0!</v>
      </c>
      <c r="H31" s="122" t="e">
        <f t="shared" si="100"/>
        <v>#DIV/0!</v>
      </c>
      <c r="I31" s="122" t="e">
        <f t="shared" si="100"/>
        <v>#DIV/0!</v>
      </c>
      <c r="J31" s="122" t="e">
        <f t="shared" si="100"/>
        <v>#DIV/0!</v>
      </c>
      <c r="K31" s="123" t="e">
        <f t="shared" si="100"/>
        <v>#DIV/0!</v>
      </c>
      <c r="L31" s="122" t="e">
        <f t="shared" si="100"/>
        <v>#DIV/0!</v>
      </c>
      <c r="M31" s="122" t="e">
        <f t="shared" si="100"/>
        <v>#DIV/0!</v>
      </c>
      <c r="N31" s="122" t="e">
        <f t="shared" si="100"/>
        <v>#DIV/0!</v>
      </c>
      <c r="O31" s="122" t="e">
        <f t="shared" si="100"/>
        <v>#DIV/0!</v>
      </c>
      <c r="P31" s="123" t="e">
        <f t="shared" si="100"/>
        <v>#DIV/0!</v>
      </c>
      <c r="Q31" s="122" t="e">
        <f t="shared" si="100"/>
        <v>#DIV/0!</v>
      </c>
      <c r="R31" s="122" t="e">
        <f t="shared" si="100"/>
        <v>#DIV/0!</v>
      </c>
      <c r="S31" s="122" t="e">
        <f>+S28/S15</f>
        <v>#DIV/0!</v>
      </c>
      <c r="T31" s="122" t="e">
        <f t="shared" ref="T31:AD31" si="101">+T28/T15</f>
        <v>#DIV/0!</v>
      </c>
      <c r="U31" s="123" t="e">
        <f t="shared" si="101"/>
        <v>#DIV/0!</v>
      </c>
      <c r="V31" s="122" t="e">
        <f t="shared" si="101"/>
        <v>#DIV/0!</v>
      </c>
      <c r="W31" s="122" t="e">
        <f t="shared" si="101"/>
        <v>#DIV/0!</v>
      </c>
      <c r="X31" s="122" t="e">
        <f t="shared" si="101"/>
        <v>#DIV/0!</v>
      </c>
      <c r="Y31" s="122" t="e">
        <f t="shared" si="101"/>
        <v>#DIV/0!</v>
      </c>
      <c r="Z31" s="123" t="e">
        <f>+Z28/Z15</f>
        <v>#DIV/0!</v>
      </c>
      <c r="AA31" s="122" t="e">
        <f t="shared" si="101"/>
        <v>#DIV/0!</v>
      </c>
      <c r="AB31" s="122" t="e">
        <f t="shared" si="101"/>
        <v>#DIV/0!</v>
      </c>
      <c r="AC31" s="122" t="e">
        <f t="shared" si="101"/>
        <v>#DIV/0!</v>
      </c>
      <c r="AD31" s="122" t="e">
        <f t="shared" si="101"/>
        <v>#DIV/0!</v>
      </c>
      <c r="AE31" s="123">
        <f>+AE28/AE15</f>
        <v>0.10929441876456432</v>
      </c>
      <c r="AF31" s="122" t="e">
        <f t="shared" ref="AF31:AI31" si="102">+AF28/AF15</f>
        <v>#DIV/0!</v>
      </c>
      <c r="AG31" s="122" t="e">
        <f t="shared" si="102"/>
        <v>#DIV/0!</v>
      </c>
      <c r="AH31" s="122" t="e">
        <f t="shared" si="102"/>
        <v>#DIV/0!</v>
      </c>
      <c r="AI31" s="122" t="e">
        <f t="shared" si="102"/>
        <v>#DIV/0!</v>
      </c>
      <c r="AJ31" s="123">
        <f>+AJ28/AJ15</f>
        <v>0.11874788621246853</v>
      </c>
      <c r="AK31" s="122">
        <f t="shared" ref="AK31:AN31" si="103">+AK28/AK15</f>
        <v>0.10783668093513335</v>
      </c>
      <c r="AL31" s="122">
        <f t="shared" si="103"/>
        <v>9.440730474482309E-2</v>
      </c>
      <c r="AM31" s="122">
        <f t="shared" si="103"/>
        <v>0.11001902346227013</v>
      </c>
      <c r="AN31" s="122">
        <f t="shared" si="103"/>
        <v>8.5572736826302356E-2</v>
      </c>
      <c r="AO31" s="123">
        <f>+AO28/AO15</f>
        <v>9.9221480775341597E-2</v>
      </c>
      <c r="AP31" s="122">
        <f t="shared" ref="AP31:AS31" si="104">+AP28/AP15</f>
        <v>9.281627463445645E-2</v>
      </c>
      <c r="AQ31" s="122">
        <f t="shared" si="104"/>
        <v>9.8805970149253727E-2</v>
      </c>
      <c r="AR31" s="122">
        <f t="shared" si="104"/>
        <v>8.8071693448702096E-2</v>
      </c>
      <c r="AS31" s="122">
        <f t="shared" si="104"/>
        <v>8.9747313389485911E-2</v>
      </c>
      <c r="AT31" s="123">
        <f>+AT28/AT15</f>
        <v>9.2371916508538904E-2</v>
      </c>
      <c r="AU31" s="122">
        <f t="shared" ref="AU31:AW31" si="105">+AU28/AU15</f>
        <v>9.4608800120138156E-2</v>
      </c>
      <c r="AV31" s="122">
        <f t="shared" si="105"/>
        <v>0.10773438687129616</v>
      </c>
      <c r="AW31" s="122">
        <f t="shared" si="105"/>
        <v>0.10350767303476355</v>
      </c>
      <c r="AX31" s="122">
        <f>AX28/AX15</f>
        <v>0.10171859717758837</v>
      </c>
      <c r="AY31" s="123">
        <f>+AY28/AY15</f>
        <v>0.10185565470634357</v>
      </c>
      <c r="AZ31" s="122">
        <f t="shared" ref="AZ31:BB31" si="106">+AZ28/AZ15</f>
        <v>0.10694006309148266</v>
      </c>
      <c r="BA31" s="122">
        <f t="shared" si="106"/>
        <v>0.11555492072561063</v>
      </c>
      <c r="BB31" s="122">
        <f t="shared" si="106"/>
        <v>0.12193044712562101</v>
      </c>
      <c r="BC31" s="122">
        <f>BC28/BC15</f>
        <v>0.11558051456183883</v>
      </c>
      <c r="BD31" s="123">
        <f>+BD28/BD15</f>
        <v>0.11521591841101166</v>
      </c>
      <c r="BE31" s="122">
        <f t="shared" ref="BE31:BF31" si="107">+BE28/BE15</f>
        <v>0.1216702663786897</v>
      </c>
      <c r="BF31" s="122">
        <f t="shared" si="107"/>
        <v>0.12613375256983916</v>
      </c>
      <c r="BG31" s="195">
        <v>0.126</v>
      </c>
      <c r="BH31" s="122">
        <f>BH28/BH15</f>
        <v>0.12575481394442187</v>
      </c>
      <c r="BI31" s="208">
        <v>0.125</v>
      </c>
      <c r="BJ31" s="320"/>
    </row>
    <row r="32" spans="1:66">
      <c r="A32" s="1" t="s">
        <v>4</v>
      </c>
      <c r="F32" s="36">
        <v>-2146826281</v>
      </c>
      <c r="G32" s="34" t="e">
        <f t="shared" ref="G32:AR32" si="108">G31/B31-1</f>
        <v>#DIV/0!</v>
      </c>
      <c r="H32" s="35" t="e">
        <f t="shared" si="108"/>
        <v>#DIV/0!</v>
      </c>
      <c r="I32" s="35" t="e">
        <f t="shared" si="108"/>
        <v>#DIV/0!</v>
      </c>
      <c r="J32" s="35" t="e">
        <f t="shared" si="108"/>
        <v>#DIV/0!</v>
      </c>
      <c r="K32" s="36" t="e">
        <f t="shared" si="108"/>
        <v>#DIV/0!</v>
      </c>
      <c r="L32" s="34" t="e">
        <f t="shared" si="108"/>
        <v>#DIV/0!</v>
      </c>
      <c r="M32" s="35" t="e">
        <f t="shared" si="108"/>
        <v>#DIV/0!</v>
      </c>
      <c r="N32" s="35" t="e">
        <f t="shared" si="108"/>
        <v>#DIV/0!</v>
      </c>
      <c r="O32" s="35" t="e">
        <f t="shared" si="108"/>
        <v>#DIV/0!</v>
      </c>
      <c r="P32" s="36" t="e">
        <f t="shared" si="108"/>
        <v>#DIV/0!</v>
      </c>
      <c r="Q32" s="34" t="e">
        <f t="shared" si="108"/>
        <v>#DIV/0!</v>
      </c>
      <c r="R32" s="35" t="e">
        <f t="shared" si="108"/>
        <v>#DIV/0!</v>
      </c>
      <c r="S32" s="35" t="e">
        <f t="shared" si="108"/>
        <v>#DIV/0!</v>
      </c>
      <c r="T32" s="35" t="e">
        <f t="shared" si="108"/>
        <v>#DIV/0!</v>
      </c>
      <c r="U32" s="36" t="e">
        <f t="shared" si="108"/>
        <v>#DIV/0!</v>
      </c>
      <c r="V32" s="34" t="e">
        <f t="shared" si="108"/>
        <v>#DIV/0!</v>
      </c>
      <c r="W32" s="35" t="e">
        <f t="shared" si="108"/>
        <v>#DIV/0!</v>
      </c>
      <c r="X32" s="35" t="e">
        <f t="shared" si="108"/>
        <v>#DIV/0!</v>
      </c>
      <c r="Y32" s="35" t="e">
        <f t="shared" si="108"/>
        <v>#DIV/0!</v>
      </c>
      <c r="Z32" s="36" t="e">
        <f t="shared" si="108"/>
        <v>#DIV/0!</v>
      </c>
      <c r="AA32" s="232" t="e">
        <f t="shared" si="108"/>
        <v>#DIV/0!</v>
      </c>
      <c r="AB32" s="33" t="e">
        <f t="shared" si="108"/>
        <v>#DIV/0!</v>
      </c>
      <c r="AC32" s="33" t="e">
        <f t="shared" si="108"/>
        <v>#DIV/0!</v>
      </c>
      <c r="AD32" s="33" t="e">
        <f t="shared" si="108"/>
        <v>#DIV/0!</v>
      </c>
      <c r="AE32" s="137" t="e">
        <f t="shared" si="108"/>
        <v>#DIV/0!</v>
      </c>
      <c r="AF32" s="232" t="e">
        <f t="shared" si="108"/>
        <v>#DIV/0!</v>
      </c>
      <c r="AG32" s="33" t="e">
        <f t="shared" si="108"/>
        <v>#DIV/0!</v>
      </c>
      <c r="AH32" s="33" t="e">
        <f t="shared" si="108"/>
        <v>#DIV/0!</v>
      </c>
      <c r="AI32" s="33" t="e">
        <f t="shared" si="108"/>
        <v>#DIV/0!</v>
      </c>
      <c r="AJ32" s="137">
        <f t="shared" si="108"/>
        <v>8.6495427257528235E-2</v>
      </c>
      <c r="AK32" s="232" t="e">
        <f t="shared" si="108"/>
        <v>#DIV/0!</v>
      </c>
      <c r="AL32" s="33" t="e">
        <f t="shared" si="108"/>
        <v>#DIV/0!</v>
      </c>
      <c r="AM32" s="33" t="e">
        <f t="shared" si="108"/>
        <v>#DIV/0!</v>
      </c>
      <c r="AN32" s="33" t="e">
        <f t="shared" si="108"/>
        <v>#DIV/0!</v>
      </c>
      <c r="AO32" s="137">
        <f t="shared" si="108"/>
        <v>-0.16443581490107106</v>
      </c>
      <c r="AP32" s="232">
        <f t="shared" si="108"/>
        <v>-0.13928847003100997</v>
      </c>
      <c r="AQ32" s="33">
        <f t="shared" si="108"/>
        <v>4.6592426468692771E-2</v>
      </c>
      <c r="AR32" s="33">
        <f t="shared" si="108"/>
        <v>-0.19948668260171065</v>
      </c>
      <c r="AS32" s="33">
        <f t="shared" ref="AS32" si="109">AS31/AN31-1</f>
        <v>4.8783955240992327E-2</v>
      </c>
      <c r="AT32" s="137">
        <f t="shared" ref="AT32:BB32" si="110">AT31/AO31-1</f>
        <v>-6.9033078455174035E-2</v>
      </c>
      <c r="AU32" s="232">
        <f t="shared" si="110"/>
        <v>1.9312620472447417E-2</v>
      </c>
      <c r="AV32" s="33">
        <f t="shared" si="110"/>
        <v>9.036312996629059E-2</v>
      </c>
      <c r="AW32" s="33">
        <f t="shared" si="110"/>
        <v>0.17526606996664862</v>
      </c>
      <c r="AX32" s="33">
        <f t="shared" ref="AX32" si="111">AX31/AS31-1</f>
        <v>0.13338877049332276</v>
      </c>
      <c r="AY32" s="137">
        <f t="shared" si="110"/>
        <v>0.10266906389159947</v>
      </c>
      <c r="AZ32" s="232">
        <f t="shared" si="110"/>
        <v>0.13033949226378261</v>
      </c>
      <c r="BA32" s="33">
        <f t="shared" si="110"/>
        <v>7.2590879118820117E-2</v>
      </c>
      <c r="BB32" s="33">
        <f t="shared" si="110"/>
        <v>0.17798462230592405</v>
      </c>
      <c r="BC32" s="33">
        <f t="shared" ref="BC32" si="112">BC31/AX31-1</f>
        <v>0.13627711911961615</v>
      </c>
      <c r="BD32" s="137">
        <f t="shared" ref="BD32:BF32" si="113">BD31/AY31-1</f>
        <v>0.13116860073391701</v>
      </c>
      <c r="BE32" s="232">
        <f t="shared" si="113"/>
        <v>0.13774260890987122</v>
      </c>
      <c r="BF32" s="33">
        <f t="shared" si="113"/>
        <v>9.1548086206976409E-2</v>
      </c>
      <c r="BG32" s="33">
        <f t="shared" ref="BG32" si="114">BG31/BB31-1</f>
        <v>3.3376018626309678E-2</v>
      </c>
      <c r="BH32" s="33">
        <f t="shared" ref="BH32" si="115">BH31/BC31-1</f>
        <v>8.8027808330438662E-2</v>
      </c>
      <c r="BI32" s="137">
        <f t="shared" ref="BI32" si="116">BI31/BD31-1</f>
        <v>8.4919529557412554E-2</v>
      </c>
    </row>
    <row r="33" spans="1:61">
      <c r="A33" s="1"/>
      <c r="F33" s="26"/>
      <c r="K33" s="26"/>
      <c r="P33" s="26"/>
      <c r="U33" s="26"/>
      <c r="Z33" s="26"/>
      <c r="AE33" s="26"/>
      <c r="AJ33" s="26"/>
      <c r="AO33" s="26"/>
      <c r="AT33" s="26"/>
      <c r="AY33" s="26"/>
      <c r="BD33" s="26"/>
      <c r="BI33" s="26"/>
    </row>
    <row r="34" spans="1:61">
      <c r="A34" s="13" t="s">
        <v>66</v>
      </c>
      <c r="F34" s="26"/>
      <c r="K34" s="26"/>
      <c r="P34" s="26"/>
      <c r="U34" s="26"/>
      <c r="Z34" s="26"/>
      <c r="AE34" s="26"/>
      <c r="AJ34" s="26"/>
      <c r="AO34" s="26"/>
      <c r="AT34" s="26"/>
      <c r="AY34" s="26"/>
      <c r="BD34" s="26"/>
      <c r="BI34" s="26"/>
    </row>
    <row r="35" spans="1:61">
      <c r="A35" s="1" t="s">
        <v>1</v>
      </c>
      <c r="B35" s="34"/>
      <c r="C35" s="35"/>
      <c r="D35" s="35"/>
      <c r="E35" s="35"/>
      <c r="F35" s="36"/>
      <c r="G35" s="34"/>
      <c r="H35" s="35"/>
      <c r="I35" s="35"/>
      <c r="J35" s="35"/>
      <c r="K35" s="36"/>
      <c r="L35" s="34"/>
      <c r="M35" s="35"/>
      <c r="N35" s="35"/>
      <c r="O35" s="35"/>
      <c r="P35" s="36"/>
      <c r="Q35" s="34"/>
      <c r="R35" s="35"/>
      <c r="S35" s="35"/>
      <c r="T35" s="35"/>
      <c r="U35" s="36"/>
      <c r="V35" s="34" t="str">
        <f t="shared" ref="V35:AA35" si="117">IFERROR(V3/V$11,"NM")</f>
        <v>NM</v>
      </c>
      <c r="W35" s="35" t="str">
        <f t="shared" si="117"/>
        <v>NM</v>
      </c>
      <c r="X35" s="35" t="str">
        <f t="shared" si="117"/>
        <v>NM</v>
      </c>
      <c r="Y35" s="35" t="str">
        <f t="shared" si="117"/>
        <v>NM</v>
      </c>
      <c r="Z35" s="36" t="str">
        <f t="shared" si="117"/>
        <v>NM</v>
      </c>
      <c r="AA35" s="232" t="str">
        <f t="shared" si="117"/>
        <v>NM</v>
      </c>
      <c r="AB35" s="120" t="e">
        <f>AB3/AB$11</f>
        <v>#DIV/0!</v>
      </c>
      <c r="AC35" s="120" t="e">
        <f>AC3/AC$11</f>
        <v>#DIV/0!</v>
      </c>
      <c r="AD35" s="120" t="e">
        <f>AD3/AD$11</f>
        <v>#DIV/0!</v>
      </c>
      <c r="AE35" s="227">
        <f>AE3/AE$11</f>
        <v>0</v>
      </c>
      <c r="AF35" s="232" t="str">
        <f>IFERROR(AF3/AF$11,"NM")</f>
        <v>NM</v>
      </c>
      <c r="AG35" s="114" t="e">
        <f>AG3/AG$11</f>
        <v>#DIV/0!</v>
      </c>
      <c r="AH35" s="120" t="e">
        <f>AH3/AH$11</f>
        <v>#DIV/0!</v>
      </c>
      <c r="AI35" s="120" t="e">
        <f>AI3/AI$11</f>
        <v>#DIV/0!</v>
      </c>
      <c r="AJ35" s="227">
        <f>AJ3/AJ$11</f>
        <v>0</v>
      </c>
      <c r="AK35" s="232">
        <f>IFERROR(AK3/AK$11,"NM")</f>
        <v>0</v>
      </c>
      <c r="AL35" s="114">
        <f>AL3/AL$11</f>
        <v>0</v>
      </c>
      <c r="AM35" s="120">
        <f>AM3/AM$11</f>
        <v>0.84590995561192139</v>
      </c>
      <c r="AN35" s="120">
        <f>AN3/AN$11</f>
        <v>0</v>
      </c>
      <c r="AO35" s="227">
        <f>AO3/AO$11</f>
        <v>0</v>
      </c>
      <c r="AP35" s="232">
        <f>IFERROR(AP3/AP$11,"NM")</f>
        <v>0</v>
      </c>
      <c r="AQ35" s="114">
        <f>AQ3/AQ$11</f>
        <v>0</v>
      </c>
      <c r="AR35" s="120">
        <f>AR3/AR$11</f>
        <v>0.82493819530284307</v>
      </c>
      <c r="AS35" s="120">
        <f>AS3/AS$11</f>
        <v>0</v>
      </c>
      <c r="AT35" s="227">
        <f>AT3/AT$11</f>
        <v>0.82910815939278937</v>
      </c>
      <c r="AU35" s="232">
        <f>IFERROR(AU3/AU$11,"NM")</f>
        <v>0.82099414326475451</v>
      </c>
      <c r="AV35" s="120">
        <f t="shared" ref="AV35:BG35" si="118">AV3/AV$11</f>
        <v>0.86883735217324531</v>
      </c>
      <c r="AW35" s="120">
        <f t="shared" si="118"/>
        <v>0.86501722518008139</v>
      </c>
      <c r="AX35" s="120">
        <f t="shared" si="118"/>
        <v>0.86963811652927203</v>
      </c>
      <c r="AY35" s="227">
        <f t="shared" si="118"/>
        <v>0.85621233107475758</v>
      </c>
      <c r="AZ35" s="232">
        <f>IFERROR(AZ3/AZ$11,"NM")</f>
        <v>0.85268138801261828</v>
      </c>
      <c r="BA35" s="120">
        <f t="shared" si="118"/>
        <v>0.8534495072132553</v>
      </c>
      <c r="BB35" s="120">
        <f t="shared" ref="BB35" si="119">BB3/BB$11</f>
        <v>0.85351312987934702</v>
      </c>
      <c r="BC35" s="120">
        <f t="shared" si="118"/>
        <v>0.87096774193548387</v>
      </c>
      <c r="BD35" s="227">
        <f t="shared" si="118"/>
        <v>0.85807509895517597</v>
      </c>
      <c r="BE35" s="120">
        <f t="shared" si="118"/>
        <v>0.86479481641468681</v>
      </c>
      <c r="BF35" s="120">
        <f t="shared" si="118"/>
        <v>0.88245253355907605</v>
      </c>
      <c r="BG35" s="120">
        <f t="shared" si="118"/>
        <v>0</v>
      </c>
      <c r="BH35" s="120">
        <f t="shared" ref="BH35:BI35" si="120">BH3/BH$11</f>
        <v>0</v>
      </c>
      <c r="BI35" s="227">
        <f t="shared" si="120"/>
        <v>0</v>
      </c>
    </row>
    <row r="36" spans="1:61">
      <c r="A36" s="1" t="s">
        <v>2</v>
      </c>
      <c r="B36" s="34"/>
      <c r="C36" s="35"/>
      <c r="D36" s="35"/>
      <c r="E36" s="35"/>
      <c r="F36" s="36"/>
      <c r="G36" s="34"/>
      <c r="H36" s="35"/>
      <c r="I36" s="35"/>
      <c r="J36" s="35"/>
      <c r="K36" s="36"/>
      <c r="L36" s="34"/>
      <c r="M36" s="35"/>
      <c r="N36" s="35"/>
      <c r="O36" s="35"/>
      <c r="P36" s="36"/>
      <c r="Q36" s="34"/>
      <c r="R36" s="35"/>
      <c r="S36" s="35"/>
      <c r="T36" s="35"/>
      <c r="U36" s="36"/>
      <c r="V36" s="34" t="str">
        <f t="shared" ref="V36:AA36" si="121">IFERROR(V6/V$11,"NM")</f>
        <v>NM</v>
      </c>
      <c r="W36" s="35" t="str">
        <f t="shared" si="121"/>
        <v>NM</v>
      </c>
      <c r="X36" s="35" t="str">
        <f t="shared" si="121"/>
        <v>NM</v>
      </c>
      <c r="Y36" s="35" t="str">
        <f t="shared" si="121"/>
        <v>NM</v>
      </c>
      <c r="Z36" s="36" t="str">
        <f t="shared" si="121"/>
        <v>NM</v>
      </c>
      <c r="AA36" s="232" t="str">
        <f t="shared" si="121"/>
        <v>NM</v>
      </c>
      <c r="AB36" s="120" t="e">
        <f>AB6/AB$11</f>
        <v>#DIV/0!</v>
      </c>
      <c r="AC36" s="120" t="e">
        <f>AC6/AC$11</f>
        <v>#DIV/0!</v>
      </c>
      <c r="AD36" s="120" t="e">
        <f>AD6/AD$11</f>
        <v>#DIV/0!</v>
      </c>
      <c r="AE36" s="227">
        <f>AE6/AE$11</f>
        <v>0</v>
      </c>
      <c r="AF36" s="232" t="str">
        <f>IFERROR(AF6/AF$11,"NM")</f>
        <v>NM</v>
      </c>
      <c r="AG36" s="114" t="e">
        <f>AG6/AG$11</f>
        <v>#DIV/0!</v>
      </c>
      <c r="AH36" s="120" t="e">
        <f>AH6/AH$11</f>
        <v>#DIV/0!</v>
      </c>
      <c r="AI36" s="120" t="e">
        <f>AI6/AI$11</f>
        <v>#DIV/0!</v>
      </c>
      <c r="AJ36" s="227">
        <f>AJ6/AJ$11</f>
        <v>0</v>
      </c>
      <c r="AK36" s="232">
        <f>IFERROR(AK6/AK$11,"NM")</f>
        <v>0</v>
      </c>
      <c r="AL36" s="114">
        <f>AL6/AL$11</f>
        <v>0</v>
      </c>
      <c r="AM36" s="120">
        <f>AM6/AM$11</f>
        <v>0.14822447685478757</v>
      </c>
      <c r="AN36" s="120">
        <f>AN6/AN$11</f>
        <v>0</v>
      </c>
      <c r="AO36" s="227">
        <f>AO6/AO$11</f>
        <v>0</v>
      </c>
      <c r="AP36" s="232">
        <f>IFERROR(AP6/AP$11,"NM")</f>
        <v>0</v>
      </c>
      <c r="AQ36" s="114">
        <f>AQ6/AQ$11</f>
        <v>0</v>
      </c>
      <c r="AR36" s="120">
        <f>AR6/AR$11</f>
        <v>0.17042645241038318</v>
      </c>
      <c r="AS36" s="120">
        <f>AS6/AS$11</f>
        <v>0</v>
      </c>
      <c r="AT36" s="227">
        <f>AT6/AT$11</f>
        <v>0.16595825426944971</v>
      </c>
      <c r="AU36" s="232">
        <f>IFERROR(AU6/AU$11,"NM")</f>
        <v>0.17465084847574711</v>
      </c>
      <c r="AV36" s="120">
        <f t="shared" ref="AV36:BG36" si="122">AV6/AV$11</f>
        <v>0.12501919827983413</v>
      </c>
      <c r="AW36" s="120">
        <f t="shared" si="122"/>
        <v>0.12887566551832133</v>
      </c>
      <c r="AX36" s="120">
        <f t="shared" si="122"/>
        <v>0.12547156629872852</v>
      </c>
      <c r="AY36" s="227">
        <f t="shared" si="122"/>
        <v>0.13843447010818702</v>
      </c>
      <c r="AZ36" s="232">
        <f>IFERROR(AZ6/AZ$11,"NM")</f>
        <v>0.14100946372239748</v>
      </c>
      <c r="BA36" s="120">
        <f t="shared" si="122"/>
        <v>0.1416940437080417</v>
      </c>
      <c r="BB36" s="120">
        <f t="shared" ref="BB36" si="123">BB6/BB$11</f>
        <v>0.14052519517388218</v>
      </c>
      <c r="BC36" s="120">
        <f t="shared" si="122"/>
        <v>0.12446127726263549</v>
      </c>
      <c r="BD36" s="227">
        <f t="shared" si="122"/>
        <v>0.13654031309061085</v>
      </c>
      <c r="BE36" s="120">
        <f t="shared" si="122"/>
        <v>0.13074154067674587</v>
      </c>
      <c r="BF36" s="120">
        <f t="shared" si="122"/>
        <v>0.11162171967589793</v>
      </c>
      <c r="BG36" s="120">
        <f t="shared" si="122"/>
        <v>0</v>
      </c>
      <c r="BH36" s="120">
        <f t="shared" ref="BH36:BI36" si="124">BH6/BH$11</f>
        <v>0</v>
      </c>
      <c r="BI36" s="227">
        <f t="shared" si="124"/>
        <v>0</v>
      </c>
    </row>
    <row r="37" spans="1:61">
      <c r="A37" s="1"/>
      <c r="F37" s="26"/>
      <c r="K37" s="26"/>
      <c r="P37" s="26"/>
      <c r="U37" s="26"/>
      <c r="Z37" s="26"/>
      <c r="AE37" s="26"/>
      <c r="AJ37" s="26"/>
      <c r="AO37" s="26"/>
      <c r="AT37" s="26"/>
      <c r="AY37" s="26"/>
      <c r="BD37" s="26"/>
      <c r="BI37" s="26"/>
    </row>
    <row r="38" spans="1:61">
      <c r="A38" s="13" t="s">
        <v>67</v>
      </c>
      <c r="F38" s="26"/>
      <c r="K38" s="26"/>
      <c r="P38" s="26"/>
      <c r="U38" s="26"/>
      <c r="Z38" s="26"/>
      <c r="AE38" s="26"/>
      <c r="AJ38" s="26"/>
      <c r="AO38" s="26"/>
      <c r="AT38" s="26"/>
      <c r="AY38" s="26"/>
      <c r="BD38" s="26"/>
      <c r="BI38" s="26"/>
    </row>
    <row r="39" spans="1:61">
      <c r="A39" s="1" t="s">
        <v>1</v>
      </c>
      <c r="B39" s="31" t="str">
        <f>IFERROR(B3/$F$3,"NM")</f>
        <v>NM</v>
      </c>
      <c r="C39" s="32" t="str">
        <f>IFERROR(C3/$F$3,"NM")</f>
        <v>NM</v>
      </c>
      <c r="D39" s="32" t="str">
        <f>IFERROR(D3/$F$3,"NM")</f>
        <v>NM</v>
      </c>
      <c r="E39" s="32" t="str">
        <f>IFERROR(E3/$F$3,"NM")</f>
        <v>NM</v>
      </c>
      <c r="F39" s="118"/>
      <c r="G39" s="31" t="str">
        <f>IFERROR(G3/$K$3,"NM")</f>
        <v>NM</v>
      </c>
      <c r="H39" s="32" t="str">
        <f>IFERROR(H3/$K$3,"NM")</f>
        <v>NM</v>
      </c>
      <c r="I39" s="32" t="str">
        <f>IFERROR(I3/$K$3,"NM")</f>
        <v>NM</v>
      </c>
      <c r="J39" s="32" t="str">
        <f>IFERROR(J3/$K$3,"NM")</f>
        <v>NM</v>
      </c>
      <c r="K39" s="118"/>
      <c r="L39" s="31" t="str">
        <f>IFERROR(L3/$P$3,"NM")</f>
        <v>NM</v>
      </c>
      <c r="M39" s="32" t="str">
        <f>IFERROR(M3/$P$3,"NM")</f>
        <v>NM</v>
      </c>
      <c r="N39" s="32" t="str">
        <f>IFERROR(N3/$P$3,"NM")</f>
        <v>NM</v>
      </c>
      <c r="O39" s="32" t="str">
        <f>IFERROR(O3/$P$3,"NM")</f>
        <v>NM</v>
      </c>
      <c r="P39" s="118"/>
      <c r="Q39" s="31" t="str">
        <f>IFERROR(Q3/$U$3,"NM")</f>
        <v>NM</v>
      </c>
      <c r="R39" s="32" t="str">
        <f>IFERROR(R3/$U$3,"NM")</f>
        <v>NM</v>
      </c>
      <c r="S39" s="32" t="str">
        <f>IFERROR(S3/$U$3,"NM")</f>
        <v>NM</v>
      </c>
      <c r="T39" s="32" t="str">
        <f>IFERROR(T3/$U$3,"NM")</f>
        <v>NM</v>
      </c>
      <c r="U39" s="118"/>
      <c r="V39" s="31" t="str">
        <f>IFERROR(V3/$Z$3,"NM")</f>
        <v>NM</v>
      </c>
      <c r="W39" s="32" t="str">
        <f>IFERROR(W3/$Z$3,"NM")</f>
        <v>NM</v>
      </c>
      <c r="X39" s="32" t="str">
        <f>IFERROR(X3/$Z$3,"NM")</f>
        <v>NM</v>
      </c>
      <c r="Y39" s="32" t="str">
        <f>IFERROR(Y3/$Z$3,"NM")</f>
        <v>NM</v>
      </c>
      <c r="Z39" s="118"/>
      <c r="AA39" s="31" t="str">
        <f>IFERROR(AA3/$AE$3,"NM")</f>
        <v>NM</v>
      </c>
      <c r="AB39" s="31" t="e">
        <f>AB3/$AE$3</f>
        <v>#DIV/0!</v>
      </c>
      <c r="AC39" s="31" t="e">
        <f>AC3/$AE$3</f>
        <v>#DIV/0!</v>
      </c>
      <c r="AD39" s="31" t="e">
        <f>AD3/$AE$3</f>
        <v>#DIV/0!</v>
      </c>
      <c r="AE39" s="398" t="e">
        <f>1=SUM(AA39:AD39)</f>
        <v>#DIV/0!</v>
      </c>
      <c r="AF39" s="31" t="str">
        <f>IFERROR(AF3/$AJ$3,"NM")</f>
        <v>NM</v>
      </c>
      <c r="AG39" s="31" t="e">
        <f>AG3/$AJ$3</f>
        <v>#DIV/0!</v>
      </c>
      <c r="AH39" s="31" t="e">
        <f>AH3/$AJ$3</f>
        <v>#DIV/0!</v>
      </c>
      <c r="AI39" s="31" t="e">
        <f>AI3/$AJ$3</f>
        <v>#DIV/0!</v>
      </c>
      <c r="AJ39" s="118" t="e">
        <f>1=SUM(AF39:AI39)</f>
        <v>#DIV/0!</v>
      </c>
      <c r="AK39" s="31" t="str">
        <f>IFERROR(AK3/$AO$3,"NM")</f>
        <v>NM</v>
      </c>
      <c r="AL39" s="31" t="e">
        <f>AL3/$AO$3</f>
        <v>#DIV/0!</v>
      </c>
      <c r="AM39" s="31" t="e">
        <f>AM3/$AO$3</f>
        <v>#DIV/0!</v>
      </c>
      <c r="AN39" s="31" t="e">
        <f>AN3/$AO$3</f>
        <v>#DIV/0!</v>
      </c>
      <c r="AO39" s="118" t="e">
        <f>1=SUM(AK39:AN39)</f>
        <v>#DIV/0!</v>
      </c>
      <c r="AP39" s="31">
        <f>IFERROR(AP3/$AT$3,"NM")</f>
        <v>0</v>
      </c>
      <c r="AQ39" s="31" t="e">
        <f>AQ3/$AO$3</f>
        <v>#DIV/0!</v>
      </c>
      <c r="AR39" s="31" t="e">
        <f>AR3/$AO$3</f>
        <v>#DIV/0!</v>
      </c>
      <c r="AS39" s="31" t="e">
        <f>AS3/$AO$3</f>
        <v>#DIV/0!</v>
      </c>
      <c r="AT39" s="118" t="e">
        <f>1=SUM(AP39:AS39)</f>
        <v>#DIV/0!</v>
      </c>
      <c r="AU39" s="31">
        <f>AU3/$AY$3</f>
        <v>0.23902588317593565</v>
      </c>
      <c r="AV39" s="31">
        <f>AV3/$AY$3</f>
        <v>0.24733298356068556</v>
      </c>
      <c r="AW39" s="31">
        <f>AW3/$AY$3</f>
        <v>0.24151801329136061</v>
      </c>
      <c r="AX39" s="31">
        <f>AX3/$AY$3</f>
        <v>0.27212311997201821</v>
      </c>
      <c r="AY39" s="118" t="b">
        <f>1=SUM(AU39:AX39)</f>
        <v>1</v>
      </c>
      <c r="AZ39" s="31"/>
      <c r="BA39" s="31"/>
      <c r="BB39" s="31"/>
      <c r="BC39" s="31"/>
      <c r="BD39" s="118"/>
      <c r="BE39" s="31"/>
      <c r="BF39" s="31"/>
      <c r="BG39" s="31"/>
      <c r="BH39" s="31"/>
      <c r="BI39" s="118"/>
    </row>
    <row r="40" spans="1:61">
      <c r="A40" s="1" t="s">
        <v>2</v>
      </c>
      <c r="B40" s="119" t="str">
        <f>IFERROR(B6/$F$6,"NM")</f>
        <v>NM</v>
      </c>
      <c r="C40" s="120" t="str">
        <f>IFERROR(C6/$F$6,"NM")</f>
        <v>NM</v>
      </c>
      <c r="D40" s="120" t="str">
        <f>IFERROR(D6/$F$6,"NM")</f>
        <v>NM</v>
      </c>
      <c r="E40" s="120" t="str">
        <f>IFERROR(E6/$F$6,"NM")</f>
        <v>NM</v>
      </c>
      <c r="F40" s="118"/>
      <c r="G40" s="119" t="str">
        <f>IFERROR(G6/$K$6,"NM")</f>
        <v>NM</v>
      </c>
      <c r="H40" s="120" t="str">
        <f>IFERROR(H6/$K$6,"NM")</f>
        <v>NM</v>
      </c>
      <c r="I40" s="120" t="str">
        <f>IFERROR(I6/$K$6,"NM")</f>
        <v>NM</v>
      </c>
      <c r="J40" s="120" t="str">
        <f>IFERROR(J6/$K$6,"NM")</f>
        <v>NM</v>
      </c>
      <c r="K40" s="118"/>
      <c r="L40" s="119" t="str">
        <f>IFERROR(L6/$P$6,"NM")</f>
        <v>NM</v>
      </c>
      <c r="M40" s="120" t="str">
        <f>IFERROR(M6/$P$6,"NM")</f>
        <v>NM</v>
      </c>
      <c r="N40" s="120" t="str">
        <f>IFERROR(N6/$P$6,"NM")</f>
        <v>NM</v>
      </c>
      <c r="O40" s="120" t="str">
        <f>IFERROR(O6/$P$6,"NM")</f>
        <v>NM</v>
      </c>
      <c r="P40" s="118"/>
      <c r="Q40" s="119" t="str">
        <f>IFERROR(Q6/$U$6,"NM")</f>
        <v>NM</v>
      </c>
      <c r="R40" s="120" t="str">
        <f>IFERROR(R6/$U$6,"NM")</f>
        <v>NM</v>
      </c>
      <c r="S40" s="120" t="str">
        <f>IFERROR(S6/$U$6,"NM")</f>
        <v>NM</v>
      </c>
      <c r="T40" s="120" t="str">
        <f>IFERROR(T6/$U$6,"NM")</f>
        <v>NM</v>
      </c>
      <c r="U40" s="118"/>
      <c r="V40" s="119" t="str">
        <f>IFERROR(V6/$Z$6,"NM")</f>
        <v>NM</v>
      </c>
      <c r="W40" s="120" t="str">
        <f>IFERROR(W6/$Z$6,"NM")</f>
        <v>NM</v>
      </c>
      <c r="X40" s="120" t="str">
        <f>IFERROR(X6/$Z$6,"NM")</f>
        <v>NM</v>
      </c>
      <c r="Y40" s="120" t="str">
        <f>IFERROR(Y6/$Z$6,"NM")</f>
        <v>NM</v>
      </c>
      <c r="Z40" s="118"/>
      <c r="AA40" s="119" t="str">
        <f>IFERROR(AA6/$AE$6,"NM")</f>
        <v>NM</v>
      </c>
      <c r="AB40" s="119" t="e">
        <f>AB6/$AE$6</f>
        <v>#DIV/0!</v>
      </c>
      <c r="AC40" s="119" t="e">
        <f>AC6/$AE$6</f>
        <v>#DIV/0!</v>
      </c>
      <c r="AD40" s="119" t="e">
        <f>AD6/$AE$6</f>
        <v>#DIV/0!</v>
      </c>
      <c r="AE40" s="398" t="e">
        <f>1=SUM(AA40:AD40)</f>
        <v>#DIV/0!</v>
      </c>
      <c r="AF40" s="119" t="str">
        <f>IFERROR(AF6/$AJ$6,"NM")</f>
        <v>NM</v>
      </c>
      <c r="AG40" s="119" t="e">
        <f>AG6/$AJ$6</f>
        <v>#DIV/0!</v>
      </c>
      <c r="AH40" s="119" t="e">
        <f>AH6/$AJ$6</f>
        <v>#DIV/0!</v>
      </c>
      <c r="AI40" s="119" t="e">
        <f>AI6/$AJ$6</f>
        <v>#DIV/0!</v>
      </c>
      <c r="AJ40" s="118" t="e">
        <f>1=SUM(AF40:AI40)</f>
        <v>#DIV/0!</v>
      </c>
      <c r="AK40" s="119" t="str">
        <f>IFERROR(AK6/$AO$6,"NM")</f>
        <v>NM</v>
      </c>
      <c r="AL40" s="119" t="e">
        <f>AL6/$AO$6</f>
        <v>#DIV/0!</v>
      </c>
      <c r="AM40" s="119" t="e">
        <f>AM6/$AO$6</f>
        <v>#DIV/0!</v>
      </c>
      <c r="AN40" s="119" t="e">
        <f>AN6/$AO$6</f>
        <v>#DIV/0!</v>
      </c>
      <c r="AO40" s="118" t="e">
        <f>1=SUM(AK40:AN40)</f>
        <v>#DIV/0!</v>
      </c>
      <c r="AP40" s="119">
        <f>IFERROR(AP6/$AT$6,"NM")</f>
        <v>0</v>
      </c>
      <c r="AQ40" s="119" t="e">
        <f>AQ6/$AO$6</f>
        <v>#DIV/0!</v>
      </c>
      <c r="AR40" s="119" t="e">
        <f>AR6/$AO$6</f>
        <v>#DIV/0!</v>
      </c>
      <c r="AS40" s="119" t="e">
        <f>AS6/$AO$6</f>
        <v>#DIV/0!</v>
      </c>
      <c r="AT40" s="118" t="e">
        <f>1=SUM(AP40:AS40)</f>
        <v>#DIV/0!</v>
      </c>
      <c r="AU40" s="119">
        <f>AU6/$AY$6</f>
        <v>0.31449432125473231</v>
      </c>
      <c r="AV40" s="119">
        <f>AV6/$AY$6</f>
        <v>0.22011898323418064</v>
      </c>
      <c r="AW40" s="119">
        <f>AW6/$AY$6</f>
        <v>0.22255273120605734</v>
      </c>
      <c r="AX40" s="119">
        <f>AX6/$AY$6</f>
        <v>0.24283396430502974</v>
      </c>
      <c r="AY40" s="118" t="b">
        <f>1=SUM(AU40:AX40)</f>
        <v>1</v>
      </c>
      <c r="AZ40" s="119"/>
      <c r="BA40" s="119"/>
      <c r="BB40" s="119"/>
      <c r="BC40" s="119"/>
      <c r="BD40" s="118"/>
      <c r="BE40" s="119"/>
      <c r="BF40" s="119"/>
      <c r="BG40" s="119"/>
      <c r="BH40" s="119"/>
      <c r="BI40" s="118"/>
    </row>
    <row r="41" spans="1:61">
      <c r="A41" s="1" t="s">
        <v>0</v>
      </c>
      <c r="B41" s="119" t="e">
        <f>B11/$F$11</f>
        <v>#DIV/0!</v>
      </c>
      <c r="C41" s="120" t="e">
        <f>C11/$F$11</f>
        <v>#DIV/0!</v>
      </c>
      <c r="D41" s="120" t="e">
        <f>D11/$F$11</f>
        <v>#DIV/0!</v>
      </c>
      <c r="E41" s="120" t="e">
        <f>E11/$F$11</f>
        <v>#DIV/0!</v>
      </c>
      <c r="F41" s="118" t="e">
        <f>1=SUM(B41:E41)</f>
        <v>#DIV/0!</v>
      </c>
      <c r="G41" s="119" t="e">
        <f>G11/$K$11</f>
        <v>#DIV/0!</v>
      </c>
      <c r="H41" s="120" t="e">
        <f>H11/$K$11</f>
        <v>#DIV/0!</v>
      </c>
      <c r="I41" s="120" t="e">
        <f>I11/$K$11</f>
        <v>#DIV/0!</v>
      </c>
      <c r="J41" s="120" t="e">
        <f>J11/$K$11</f>
        <v>#DIV/0!</v>
      </c>
      <c r="K41" s="118" t="e">
        <f>1=SUM(G41:J41)</f>
        <v>#DIV/0!</v>
      </c>
      <c r="L41" s="119" t="e">
        <f>L11/$P$11</f>
        <v>#DIV/0!</v>
      </c>
      <c r="M41" s="120" t="e">
        <f>M11/$P$11</f>
        <v>#DIV/0!</v>
      </c>
      <c r="N41" s="120" t="e">
        <f>N11/$P$11</f>
        <v>#DIV/0!</v>
      </c>
      <c r="O41" s="120" t="e">
        <f>O11/$P$11</f>
        <v>#DIV/0!</v>
      </c>
      <c r="P41" s="118" t="e">
        <f>1=SUM(L41:O41)</f>
        <v>#DIV/0!</v>
      </c>
      <c r="Q41" s="119" t="e">
        <f>Q11/$U$11</f>
        <v>#DIV/0!</v>
      </c>
      <c r="R41" s="120" t="e">
        <f>R11/$U$11</f>
        <v>#DIV/0!</v>
      </c>
      <c r="S41" s="120" t="e">
        <f>S11/$U$11</f>
        <v>#DIV/0!</v>
      </c>
      <c r="T41" s="120" t="e">
        <f>T11/$U$11</f>
        <v>#DIV/0!</v>
      </c>
      <c r="U41" s="118" t="e">
        <f>1=SUM(Q41:T41)</f>
        <v>#DIV/0!</v>
      </c>
      <c r="V41" s="119" t="e">
        <f>V11/$Z$11</f>
        <v>#DIV/0!</v>
      </c>
      <c r="W41" s="120" t="e">
        <f>W11/$Z$11</f>
        <v>#DIV/0!</v>
      </c>
      <c r="X41" s="120" t="e">
        <f>X11/$Z$11</f>
        <v>#DIV/0!</v>
      </c>
      <c r="Y41" s="120" t="e">
        <f>Y11/$Z$11</f>
        <v>#DIV/0!</v>
      </c>
      <c r="Z41" s="118" t="e">
        <f>1=SUM(V41:Y41)</f>
        <v>#DIV/0!</v>
      </c>
      <c r="AA41" s="119">
        <f>AA11/$AE$11</f>
        <v>0</v>
      </c>
      <c r="AB41" s="119">
        <f>AB11/$AE$11</f>
        <v>0</v>
      </c>
      <c r="AC41" s="119">
        <f>AC11/$AE$11</f>
        <v>0</v>
      </c>
      <c r="AD41" s="119">
        <f>AD11/$AE$11</f>
        <v>0</v>
      </c>
      <c r="AE41" s="398" t="b">
        <f>1=SUM(AA41:AD41)</f>
        <v>0</v>
      </c>
      <c r="AF41" s="119">
        <f>AF11/$AJ$11</f>
        <v>0</v>
      </c>
      <c r="AG41" s="119">
        <f>AG11/$AJ$11</f>
        <v>0</v>
      </c>
      <c r="AH41" s="119">
        <f>AH11/$AJ$11</f>
        <v>0</v>
      </c>
      <c r="AI41" s="119">
        <f>AI11/$AJ$11</f>
        <v>0</v>
      </c>
      <c r="AJ41" s="118" t="b">
        <f>1=SUM(AF41:AI41)</f>
        <v>0</v>
      </c>
      <c r="AK41" s="119">
        <f>AK11/$AO$11</f>
        <v>0.24126151890689546</v>
      </c>
      <c r="AL41" s="119">
        <f>AL11/$AO$11</f>
        <v>0.24360502065459166</v>
      </c>
      <c r="AM41" s="119">
        <f>AM11/$AO$11</f>
        <v>0.25055608516047029</v>
      </c>
      <c r="AN41" s="119">
        <f>AN11/$AO$11</f>
        <v>0.26457737527804259</v>
      </c>
      <c r="AO41" s="118" t="b">
        <f>1=SUM(AK41:AN41)</f>
        <v>1</v>
      </c>
      <c r="AP41" s="119">
        <f>AP11/$AT$11</f>
        <v>0.2387855787476281</v>
      </c>
      <c r="AQ41" s="119">
        <f t="shared" ref="AQ41:AS41" si="125">AQ11/$AT$11</f>
        <v>0.25426944971537002</v>
      </c>
      <c r="AR41" s="119">
        <f t="shared" si="125"/>
        <v>0.2456166982922201</v>
      </c>
      <c r="AS41" s="119">
        <f t="shared" si="125"/>
        <v>0.26132827324478181</v>
      </c>
      <c r="AT41" s="118" t="b">
        <f>1=SUM(AP41:AS41)</f>
        <v>1</v>
      </c>
      <c r="AU41" s="119">
        <f>AU11/$AY$11</f>
        <v>0.24927937708231948</v>
      </c>
      <c r="AV41" s="119">
        <f t="shared" ref="AV41:AX41" si="126">AV11/$AY$11</f>
        <v>0.24373900348145097</v>
      </c>
      <c r="AW41" s="119">
        <f t="shared" si="126"/>
        <v>0.23905963388612286</v>
      </c>
      <c r="AX41" s="119">
        <f t="shared" si="126"/>
        <v>0.26792198555010671</v>
      </c>
      <c r="AY41" s="118" t="b">
        <f>1=SUM(AU41:AX41)</f>
        <v>1</v>
      </c>
      <c r="AZ41" s="119">
        <f t="shared" ref="AZ41:BB41" si="127">AZ11/$BD$11</f>
        <v>0.22608137503120207</v>
      </c>
      <c r="BA41" s="119">
        <f t="shared" si="127"/>
        <v>0.24965231965196305</v>
      </c>
      <c r="BB41" s="119">
        <f t="shared" si="127"/>
        <v>0.25122133865848872</v>
      </c>
      <c r="BC41" s="119">
        <f>BC11/$BD$11</f>
        <v>0.2730449666583461</v>
      </c>
      <c r="BD41" s="118" t="b">
        <f>1=SUM(AZ41:BC41)</f>
        <v>1</v>
      </c>
      <c r="BE41" s="119">
        <f>BE11/$BI$11</f>
        <v>0.22412252160265192</v>
      </c>
      <c r="BF41" s="119">
        <f>BF11/$BI$11</f>
        <v>0.26684940693050091</v>
      </c>
      <c r="BG41" s="119">
        <f>BG11/$BI$11</f>
        <v>0.24269572761804228</v>
      </c>
      <c r="BH41" s="119">
        <f>BH11/$BI$11</f>
        <v>0.26633234384880494</v>
      </c>
      <c r="BI41" s="118" t="b">
        <f>1=SUM(BE41:BH41)</f>
        <v>1</v>
      </c>
    </row>
    <row r="42" spans="1:61">
      <c r="A42" s="1" t="s">
        <v>9</v>
      </c>
      <c r="B42" s="119" t="e">
        <f>B28/$F$28</f>
        <v>#DIV/0!</v>
      </c>
      <c r="C42" s="120" t="e">
        <f>C28/$F$28</f>
        <v>#DIV/0!</v>
      </c>
      <c r="D42" s="120" t="e">
        <f>D28/$F$28</f>
        <v>#DIV/0!</v>
      </c>
      <c r="E42" s="120" t="e">
        <f>E28/$F$28</f>
        <v>#DIV/0!</v>
      </c>
      <c r="F42" s="118" t="e">
        <f>1=SUM(B42:E42)</f>
        <v>#DIV/0!</v>
      </c>
      <c r="G42" s="119" t="e">
        <f>G28/$K$28</f>
        <v>#DIV/0!</v>
      </c>
      <c r="H42" s="120" t="e">
        <f>H28/$K$28</f>
        <v>#DIV/0!</v>
      </c>
      <c r="I42" s="120" t="e">
        <f>I28/$K$28</f>
        <v>#DIV/0!</v>
      </c>
      <c r="J42" s="120" t="e">
        <f>J28/$K$28</f>
        <v>#DIV/0!</v>
      </c>
      <c r="K42" s="118" t="e">
        <f>1=SUM(G42:J42)</f>
        <v>#DIV/0!</v>
      </c>
      <c r="L42" s="119" t="e">
        <f>L28/$P$28</f>
        <v>#DIV/0!</v>
      </c>
      <c r="M42" s="120" t="e">
        <f>M28/$P$28</f>
        <v>#DIV/0!</v>
      </c>
      <c r="N42" s="120" t="e">
        <f>N28/$P$28</f>
        <v>#DIV/0!</v>
      </c>
      <c r="O42" s="120" t="e">
        <f>O28/$P$28</f>
        <v>#DIV/0!</v>
      </c>
      <c r="P42" s="118" t="e">
        <f>1=SUM(L42:O42)</f>
        <v>#DIV/0!</v>
      </c>
      <c r="Q42" s="119" t="e">
        <f>Q28/$U$28</f>
        <v>#DIV/0!</v>
      </c>
      <c r="R42" s="120" t="e">
        <f>R28/$U$28</f>
        <v>#DIV/0!</v>
      </c>
      <c r="S42" s="120" t="e">
        <f>S28/$U$28</f>
        <v>#DIV/0!</v>
      </c>
      <c r="T42" s="120" t="e">
        <f>T28/$U$28</f>
        <v>#DIV/0!</v>
      </c>
      <c r="U42" s="118" t="e">
        <f>1=SUM(Q42:T42)</f>
        <v>#DIV/0!</v>
      </c>
      <c r="V42" s="119" t="e">
        <f>V28/$Z$28</f>
        <v>#DIV/0!</v>
      </c>
      <c r="W42" s="120" t="e">
        <f>W28/$Z$28</f>
        <v>#DIV/0!</v>
      </c>
      <c r="X42" s="120" t="e">
        <f>X28/$Z$28</f>
        <v>#DIV/0!</v>
      </c>
      <c r="Y42" s="120" t="e">
        <f>Y28/$Z$28</f>
        <v>#DIV/0!</v>
      </c>
      <c r="Z42" s="118" t="e">
        <f>1=SUM(V42:Y42)</f>
        <v>#DIV/0!</v>
      </c>
      <c r="AA42" s="119">
        <f>AA28/$AE$28</f>
        <v>0</v>
      </c>
      <c r="AB42" s="119">
        <f>AB28/$AE$28</f>
        <v>0</v>
      </c>
      <c r="AC42" s="119">
        <f>AC28/$AE$28</f>
        <v>0</v>
      </c>
      <c r="AD42" s="119">
        <f>AD28/$AE$28</f>
        <v>0</v>
      </c>
      <c r="AE42" s="398" t="b">
        <f>1=SUM(AA42:AD42)</f>
        <v>0</v>
      </c>
      <c r="AF42" s="119">
        <f>AF28/$AJ$28</f>
        <v>0</v>
      </c>
      <c r="AG42" s="119">
        <f>AG28/$AJ$28</f>
        <v>0</v>
      </c>
      <c r="AH42" s="119">
        <f>AH28/$AJ$28</f>
        <v>0</v>
      </c>
      <c r="AI42" s="119">
        <f>AI28/$AJ$28</f>
        <v>0</v>
      </c>
      <c r="AJ42" s="118" t="b">
        <f>1=SUM(AF42:AI42)</f>
        <v>0</v>
      </c>
      <c r="AK42" s="119">
        <f>AK28/$AO$28</f>
        <v>0.26220976781425143</v>
      </c>
      <c r="AL42" s="119">
        <f>AL28/$AO$28</f>
        <v>0.23178542834267413</v>
      </c>
      <c r="AM42" s="119">
        <f>AM28/$AO$28</f>
        <v>0.27782225780624498</v>
      </c>
      <c r="AN42" s="119">
        <f>AN28/$AO$28</f>
        <v>0.22818254603682947</v>
      </c>
      <c r="AO42" s="118" t="b">
        <f>1=SUM(AK42:AN42)</f>
        <v>1</v>
      </c>
      <c r="AP42" s="119">
        <f>AP28/$AT$28</f>
        <v>0.23993426458504519</v>
      </c>
      <c r="AQ42" s="119">
        <f t="shared" ref="AQ42:AS42" si="128">AQ28/$AT$28</f>
        <v>0.27198027937551356</v>
      </c>
      <c r="AR42" s="119">
        <f t="shared" si="128"/>
        <v>0.23418241577649959</v>
      </c>
      <c r="AS42" s="119">
        <f t="shared" si="128"/>
        <v>0.25390304026294164</v>
      </c>
      <c r="AT42" s="118" t="b">
        <f>1=SUM(AP42:AS42)</f>
        <v>1</v>
      </c>
      <c r="AU42" s="119">
        <f>AU28/$AY$28</f>
        <v>0.23093841642228738</v>
      </c>
      <c r="AV42" s="119">
        <f t="shared" ref="AV42:AX42" si="129">AV28/$AY$28</f>
        <v>0.25989736070381231</v>
      </c>
      <c r="AW42" s="119">
        <f t="shared" si="129"/>
        <v>0.24230205278592376</v>
      </c>
      <c r="AX42" s="119">
        <f t="shared" si="129"/>
        <v>0.26686217008797652</v>
      </c>
      <c r="AY42" s="118" t="b">
        <f>1=SUM(AU42:AX42)</f>
        <v>1</v>
      </c>
      <c r="AZ42" s="119">
        <f t="shared" ref="AZ42:BB42" si="130">AZ28/$BD$28</f>
        <v>0.20984215413184773</v>
      </c>
      <c r="BA42" s="119">
        <f t="shared" si="130"/>
        <v>0.2503868771278242</v>
      </c>
      <c r="BB42" s="119">
        <f t="shared" si="130"/>
        <v>0.26586196224079234</v>
      </c>
      <c r="BC42" s="119">
        <f>BC28/$BD$28</f>
        <v>0.27390900649953576</v>
      </c>
      <c r="BD42" s="118" t="b">
        <f>1=SUM(AZ42:BC42)</f>
        <v>1</v>
      </c>
      <c r="BE42" s="119">
        <f>BE28/$BI$28</f>
        <v>0.21815237523886638</v>
      </c>
      <c r="BF42" s="119">
        <f>BF28/$BI$28</f>
        <v>0.26926973653744096</v>
      </c>
      <c r="BG42" s="119">
        <f>BG28/$BI$28</f>
        <v>0.24463729343898663</v>
      </c>
      <c r="BH42" s="119">
        <f>BH28/$BI$28</f>
        <v>0.26794059478470605</v>
      </c>
      <c r="BI42" s="118" t="b">
        <f>1=SUM(BE42:BH42)</f>
        <v>1</v>
      </c>
    </row>
    <row r="43" spans="1:61">
      <c r="F43" s="26"/>
      <c r="K43" s="26"/>
      <c r="P43" s="26"/>
      <c r="U43" s="26"/>
      <c r="Z43" s="26"/>
      <c r="AE43" s="26"/>
      <c r="AJ43" s="26"/>
      <c r="AO43" s="26"/>
      <c r="AT43" s="26"/>
      <c r="AY43" s="26"/>
      <c r="BD43" s="26"/>
      <c r="BI43" s="26"/>
    </row>
    <row r="44" spans="1:61">
      <c r="A44" s="5"/>
      <c r="B44" s="34"/>
      <c r="C44" s="35"/>
      <c r="D44" s="35"/>
      <c r="E44" s="35"/>
      <c r="F44" s="34"/>
      <c r="G44" s="34"/>
      <c r="H44" s="35"/>
      <c r="I44" s="35"/>
      <c r="J44" s="35"/>
      <c r="K44" s="34"/>
      <c r="L44" s="34"/>
      <c r="M44" s="35"/>
      <c r="N44" s="35"/>
      <c r="O44" s="35"/>
      <c r="P44" s="34"/>
      <c r="Q44" s="34"/>
      <c r="R44" s="35"/>
      <c r="S44" s="35"/>
      <c r="T44" s="35"/>
      <c r="U44" s="34"/>
      <c r="V44" s="34"/>
      <c r="W44" s="35"/>
      <c r="X44" s="35"/>
      <c r="Y44" s="35"/>
      <c r="Z44" s="34"/>
      <c r="AA44" s="34"/>
      <c r="AB44" s="114"/>
      <c r="AC44" s="114"/>
      <c r="AD44" s="114"/>
      <c r="AE44" s="113"/>
      <c r="AF44" s="113"/>
      <c r="AG44" s="113"/>
      <c r="AH44" s="114"/>
      <c r="AI44" s="113"/>
      <c r="AJ44" s="113"/>
      <c r="AK44" s="113"/>
      <c r="AL44" s="113"/>
      <c r="AM44" s="113"/>
      <c r="AN44" s="113"/>
      <c r="AO44" s="113"/>
      <c r="AP44" s="119"/>
      <c r="AQ44" s="119"/>
      <c r="AR44" s="119"/>
      <c r="AS44" s="119"/>
      <c r="AT44" s="119"/>
      <c r="AU44" s="119"/>
      <c r="AV44" s="119"/>
      <c r="AW44" s="119"/>
      <c r="AX44" s="119"/>
      <c r="AY44" s="119">
        <f>(AY28-AT28)/(AY15-AT15)</f>
        <v>0.67898383371824478</v>
      </c>
      <c r="AZ44" s="119"/>
      <c r="BA44" s="119"/>
      <c r="BB44" s="119"/>
      <c r="BC44" s="119"/>
      <c r="BD44" s="119">
        <f>(BD28-AY28)/(BD15-AY15)</f>
        <v>0.39920634920634923</v>
      </c>
      <c r="BE44" s="119"/>
      <c r="BF44" s="119"/>
      <c r="BG44" s="119"/>
      <c r="BH44" s="119"/>
      <c r="BI44" s="119">
        <f>(BI28-BD28)/(BI15-BD15)</f>
        <v>0.21818172941893657</v>
      </c>
    </row>
    <row r="45" spans="1:61">
      <c r="A45" s="2" t="s">
        <v>497</v>
      </c>
      <c r="AP45" s="77"/>
      <c r="AQ45" s="77"/>
      <c r="AU45" s="77"/>
      <c r="AV45" s="77"/>
      <c r="AZ45" s="440">
        <v>0.02</v>
      </c>
      <c r="BA45" s="440">
        <v>0.06</v>
      </c>
      <c r="BB45" s="440">
        <v>0.1</v>
      </c>
      <c r="BE45" s="440"/>
      <c r="BF45" s="440"/>
      <c r="BG45" s="440"/>
    </row>
    <row r="46" spans="1:61">
      <c r="AP46" s="77"/>
      <c r="AQ46" s="77"/>
      <c r="AU46" s="77"/>
      <c r="AV46" s="77"/>
      <c r="AZ46" s="77"/>
      <c r="BA46" s="77"/>
      <c r="BE46" s="77"/>
      <c r="BF46" s="77"/>
    </row>
    <row r="47" spans="1:61">
      <c r="A47" t="s">
        <v>502</v>
      </c>
      <c r="AP47" s="77"/>
      <c r="AQ47" s="77"/>
      <c r="AU47" s="77"/>
      <c r="AV47" s="77"/>
      <c r="AW47" s="25">
        <v>60000</v>
      </c>
      <c r="AX47" s="25">
        <v>63000</v>
      </c>
      <c r="AZ47" s="77">
        <v>61000</v>
      </c>
      <c r="BA47" s="77">
        <v>63500</v>
      </c>
      <c r="BB47" s="25">
        <v>72000</v>
      </c>
      <c r="BC47" s="52"/>
      <c r="BE47" s="77"/>
      <c r="BF47" s="77"/>
      <c r="BH47" s="52"/>
    </row>
    <row r="48" spans="1:61">
      <c r="A48" t="s">
        <v>498</v>
      </c>
      <c r="AW48" s="25">
        <f>AW47*AW51</f>
        <v>26400</v>
      </c>
      <c r="AX48" s="25">
        <f t="shared" ref="AX48:BB48" si="131">AX47*AX51</f>
        <v>27720</v>
      </c>
      <c r="AZ48" s="25">
        <f t="shared" si="131"/>
        <v>28060</v>
      </c>
      <c r="BA48" s="25">
        <f t="shared" si="131"/>
        <v>27940</v>
      </c>
      <c r="BB48" s="25">
        <f t="shared" si="131"/>
        <v>31680</v>
      </c>
    </row>
    <row r="49" spans="1:59">
      <c r="A49" t="s">
        <v>499</v>
      </c>
      <c r="AX49" s="273">
        <f>AX48/AW48-1</f>
        <v>5.0000000000000044E-2</v>
      </c>
      <c r="AZ49" s="273">
        <f>AZ48/AX48-1</f>
        <v>1.2265512265512202E-2</v>
      </c>
      <c r="BA49" s="273">
        <f>BA48/AZ48-1</f>
        <v>-4.2765502494653829E-3</v>
      </c>
      <c r="BB49" s="273">
        <f>BB48/BA48-1</f>
        <v>0.13385826771653542</v>
      </c>
      <c r="BE49" s="273"/>
      <c r="BF49" s="273"/>
      <c r="BG49" s="273"/>
    </row>
    <row r="51" spans="1:59">
      <c r="A51" t="s">
        <v>500</v>
      </c>
      <c r="AS51" s="440">
        <v>0.36</v>
      </c>
      <c r="AW51" s="440">
        <v>0.44</v>
      </c>
      <c r="AX51" s="440">
        <v>0.44</v>
      </c>
      <c r="AY51" s="440">
        <v>0.44</v>
      </c>
      <c r="AZ51" s="440">
        <v>0.46</v>
      </c>
      <c r="BA51" s="440">
        <v>0.44</v>
      </c>
      <c r="BB51" s="440">
        <v>0.44</v>
      </c>
      <c r="BE51" s="440"/>
      <c r="BF51" s="440"/>
      <c r="BG51" s="440"/>
    </row>
    <row r="52" spans="1:59">
      <c r="A52" t="s">
        <v>501</v>
      </c>
      <c r="AW52" s="440">
        <f t="shared" ref="AW52" si="132">1-AW51</f>
        <v>0.56000000000000005</v>
      </c>
      <c r="AX52" s="440">
        <f t="shared" ref="AX52" si="133">1-AX51</f>
        <v>0.56000000000000005</v>
      </c>
      <c r="AY52" s="440">
        <f t="shared" ref="AY52" si="134">1-AY51</f>
        <v>0.56000000000000005</v>
      </c>
      <c r="AZ52" s="440">
        <f t="shared" ref="AZ52:BA52" si="135">1-AZ51</f>
        <v>0.54</v>
      </c>
      <c r="BA52" s="440">
        <f t="shared" si="135"/>
        <v>0.56000000000000005</v>
      </c>
      <c r="BB52" s="440">
        <f>1-BB51</f>
        <v>0.56000000000000005</v>
      </c>
      <c r="BE52" s="440"/>
      <c r="BF52" s="440"/>
      <c r="BG52" s="440"/>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A4B139-1502-4068-8C9E-AF7B50D49EE1}">
  <sheetPr codeName="Sheet3"/>
  <dimension ref="A1:B44"/>
  <sheetViews>
    <sheetView workbookViewId="0"/>
  </sheetViews>
  <sheetFormatPr defaultRowHeight="15"/>
  <cols>
    <col min="1" max="1" width="29" customWidth="1"/>
  </cols>
  <sheetData>
    <row r="1" spans="1:2">
      <c r="A1" s="559" t="s">
        <v>855</v>
      </c>
      <c r="B1" s="567" t="s">
        <v>856</v>
      </c>
    </row>
    <row r="2" spans="1:2">
      <c r="A2" s="559" t="s">
        <v>857</v>
      </c>
      <c r="B2" s="559" t="s">
        <v>858</v>
      </c>
    </row>
    <row r="3" spans="1:2">
      <c r="A3" s="559" t="s">
        <v>859</v>
      </c>
      <c r="B3" s="559" t="s">
        <v>860</v>
      </c>
    </row>
    <row r="4" spans="1:2">
      <c r="A4" s="559" t="s">
        <v>861</v>
      </c>
      <c r="B4" s="559" t="s">
        <v>405</v>
      </c>
    </row>
    <row r="5" spans="1:2">
      <c r="A5" s="559" t="s">
        <v>862</v>
      </c>
      <c r="B5" s="559" t="s">
        <v>863</v>
      </c>
    </row>
    <row r="6" spans="1:2">
      <c r="A6" s="559" t="s">
        <v>864</v>
      </c>
      <c r="B6" s="559"/>
    </row>
    <row r="7" spans="1:2">
      <c r="A7" s="559" t="s">
        <v>865</v>
      </c>
      <c r="B7" s="559" t="s">
        <v>866</v>
      </c>
    </row>
    <row r="8" spans="1:2">
      <c r="A8" s="559" t="s">
        <v>867</v>
      </c>
      <c r="B8" s="559" t="s">
        <v>868</v>
      </c>
    </row>
    <row r="9" spans="1:2">
      <c r="A9" s="559" t="s">
        <v>869</v>
      </c>
      <c r="B9" s="559" t="s">
        <v>870</v>
      </c>
    </row>
    <row r="10" spans="1:2">
      <c r="A10" s="559" t="s">
        <v>871</v>
      </c>
      <c r="B10" s="559"/>
    </row>
    <row r="11" spans="1:2">
      <c r="A11" s="559" t="s">
        <v>872</v>
      </c>
      <c r="B11" s="559"/>
    </row>
    <row r="12" spans="1:2">
      <c r="A12" s="559" t="s">
        <v>873</v>
      </c>
      <c r="B12" s="559"/>
    </row>
    <row r="13" spans="1:2">
      <c r="A13" s="559" t="s">
        <v>874</v>
      </c>
      <c r="B13" s="559"/>
    </row>
    <row r="14" spans="1:2">
      <c r="A14" s="559" t="s">
        <v>875</v>
      </c>
      <c r="B14" s="559"/>
    </row>
    <row r="15" spans="1:2">
      <c r="A15" s="559" t="s">
        <v>876</v>
      </c>
      <c r="B15" s="559"/>
    </row>
    <row r="16" spans="1:2">
      <c r="A16" s="559" t="s">
        <v>877</v>
      </c>
      <c r="B16" s="559"/>
    </row>
    <row r="17" spans="1:2">
      <c r="A17" s="559" t="s">
        <v>878</v>
      </c>
      <c r="B17" s="559" t="s">
        <v>879</v>
      </c>
    </row>
    <row r="18" spans="1:2">
      <c r="A18" s="559" t="s">
        <v>880</v>
      </c>
      <c r="B18" s="559" t="s">
        <v>881</v>
      </c>
    </row>
    <row r="19" spans="1:2">
      <c r="A19" s="559" t="s">
        <v>882</v>
      </c>
      <c r="B19" s="559" t="s">
        <v>323</v>
      </c>
    </row>
    <row r="20" spans="1:2">
      <c r="A20" s="559" t="s">
        <v>883</v>
      </c>
      <c r="B20" s="559" t="s">
        <v>884</v>
      </c>
    </row>
    <row r="21" spans="1:2">
      <c r="A21" s="559" t="s">
        <v>885</v>
      </c>
      <c r="B21" s="559" t="s">
        <v>323</v>
      </c>
    </row>
    <row r="22" spans="1:2">
      <c r="A22" s="559" t="s">
        <v>886</v>
      </c>
      <c r="B22" s="559" t="s">
        <v>887</v>
      </c>
    </row>
    <row r="23" spans="1:2">
      <c r="A23" s="559" t="s">
        <v>431</v>
      </c>
      <c r="B23" s="567" t="s">
        <v>888</v>
      </c>
    </row>
    <row r="24" spans="1:2">
      <c r="A24" s="559" t="s">
        <v>889</v>
      </c>
      <c r="B24" s="559" t="s">
        <v>226</v>
      </c>
    </row>
    <row r="25" spans="1:2">
      <c r="A25" s="559" t="s">
        <v>890</v>
      </c>
      <c r="B25" s="559" t="s">
        <v>891</v>
      </c>
    </row>
    <row r="26" spans="1:2">
      <c r="A26" s="559" t="s">
        <v>892</v>
      </c>
      <c r="B26" s="559" t="s">
        <v>893</v>
      </c>
    </row>
    <row r="27" spans="1:2">
      <c r="A27" s="559" t="s">
        <v>894</v>
      </c>
      <c r="B27" s="559" t="s">
        <v>895</v>
      </c>
    </row>
    <row r="28" spans="1:2">
      <c r="A28" s="559" t="s">
        <v>896</v>
      </c>
      <c r="B28" s="559" t="s">
        <v>897</v>
      </c>
    </row>
    <row r="29" spans="1:2">
      <c r="A29" s="559" t="s">
        <v>898</v>
      </c>
      <c r="B29" s="559"/>
    </row>
    <row r="30" spans="1:2">
      <c r="A30" s="559" t="s">
        <v>899</v>
      </c>
      <c r="B30" s="559"/>
    </row>
    <row r="31" spans="1:2">
      <c r="A31" s="559" t="s">
        <v>900</v>
      </c>
      <c r="B31" s="559"/>
    </row>
    <row r="32" spans="1:2">
      <c r="A32" s="559" t="s">
        <v>901</v>
      </c>
      <c r="B32" s="559"/>
    </row>
    <row r="33" spans="1:2">
      <c r="A33" s="559" t="s">
        <v>902</v>
      </c>
      <c r="B33" s="559"/>
    </row>
    <row r="34" spans="1:2">
      <c r="A34" s="559" t="s">
        <v>903</v>
      </c>
      <c r="B34" s="559"/>
    </row>
    <row r="35" spans="1:2">
      <c r="A35" s="559" t="s">
        <v>904</v>
      </c>
      <c r="B35" s="559" t="s">
        <v>905</v>
      </c>
    </row>
    <row r="36" spans="1:2">
      <c r="A36" s="559" t="s">
        <v>906</v>
      </c>
      <c r="B36" s="559" t="s">
        <v>907</v>
      </c>
    </row>
    <row r="37" spans="1:2">
      <c r="A37" s="559" t="s">
        <v>908</v>
      </c>
      <c r="B37" s="559" t="s">
        <v>909</v>
      </c>
    </row>
    <row r="38" spans="1:2">
      <c r="A38" s="559" t="s">
        <v>910</v>
      </c>
      <c r="B38" s="559" t="s">
        <v>911</v>
      </c>
    </row>
    <row r="39" spans="1:2">
      <c r="A39" s="559" t="s">
        <v>912</v>
      </c>
      <c r="B39" s="559" t="s">
        <v>913</v>
      </c>
    </row>
    <row r="40" spans="1:2">
      <c r="A40" s="559" t="s">
        <v>914</v>
      </c>
      <c r="B40" s="559" t="s">
        <v>915</v>
      </c>
    </row>
    <row r="41" spans="1:2">
      <c r="A41" s="559" t="s">
        <v>916</v>
      </c>
      <c r="B41" s="559" t="s">
        <v>917</v>
      </c>
    </row>
    <row r="42" spans="1:2">
      <c r="A42" s="559" t="s">
        <v>918</v>
      </c>
      <c r="B42" s="559"/>
    </row>
    <row r="43" spans="1:2">
      <c r="A43" s="559" t="s">
        <v>919</v>
      </c>
      <c r="B43" s="559"/>
    </row>
    <row r="44" spans="1:2">
      <c r="A44" s="559" t="s">
        <v>920</v>
      </c>
      <c r="B44" s="559" t="s">
        <v>921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A243F-D757-4273-B0F1-DC70DC1D13FE}">
  <sheetPr codeName="Sheet10"/>
  <dimension ref="A1:A13"/>
  <sheetViews>
    <sheetView workbookViewId="0"/>
  </sheetViews>
  <sheetFormatPr defaultRowHeight="15"/>
  <cols>
    <col min="1" max="1" width="28" customWidth="1"/>
  </cols>
  <sheetData>
    <row r="1" spans="1:1">
      <c r="A1" s="559" t="s">
        <v>922</v>
      </c>
    </row>
    <row r="2" spans="1:1">
      <c r="A2" s="559" t="s">
        <v>923</v>
      </c>
    </row>
    <row r="3" spans="1:1">
      <c r="A3" s="559" t="s">
        <v>924</v>
      </c>
    </row>
    <row r="4" spans="1:1">
      <c r="A4" s="559" t="s">
        <v>925</v>
      </c>
    </row>
    <row r="5" spans="1:1">
      <c r="A5" s="559" t="s">
        <v>926</v>
      </c>
    </row>
    <row r="6" spans="1:1">
      <c r="A6" s="559" t="s">
        <v>927</v>
      </c>
    </row>
    <row r="7" spans="1:1">
      <c r="A7" s="559" t="s">
        <v>928</v>
      </c>
    </row>
    <row r="8" spans="1:1">
      <c r="A8" s="559" t="s">
        <v>929</v>
      </c>
    </row>
    <row r="9" spans="1:1">
      <c r="A9" s="559" t="s">
        <v>930</v>
      </c>
    </row>
    <row r="10" spans="1:1">
      <c r="A10" s="559" t="s">
        <v>931</v>
      </c>
    </row>
    <row r="11" spans="1:1">
      <c r="A11" s="559" t="s">
        <v>932</v>
      </c>
    </row>
    <row r="12" spans="1:1">
      <c r="A12" s="559" t="s">
        <v>933</v>
      </c>
    </row>
    <row r="13" spans="1:1">
      <c r="A13" s="559" t="s">
        <v>934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FdsFormulaCache xmlns="urn:fdsformulacache" version="2" timestamp="1785154472"><![CDATA[{"RTX-US^FE_ESTIMATE(FCFPS,MEAN,QTR_ROLL,2025/2F,45859,,,'')":0.020161666,"RTX-US^FE_ESTIMATE(FCF,MEAN,QTR_ROLL,2025/2F,45859,,,'')":12.533102,"RTX-US^FE_ESTIMATE(CAPEX,MEAN,QTR_ROLL,2025/2F,45859,,,'')":638.45715,"RTX-US^FE_ESTIMATE(CF_OP,MEAN,QTR_ROLL,2025/2F,45859,,,'')":659.6667,"RTX-US^FE_ESTIMATE(NET_DEBT,MEAN,QTR_ROLL,2025/2F,45859,,,'')":37108.0,"RTX-US^FE_ESTIMATE(DEBT,MEAN,QTR_ROLL,2025/2F,45859,,,'')":41300.0,"RTX-US^FE_ESTIMATE(CASH_ST,MEAN,QTR_ROLL,2025/2F,45859,,,'')":3974.3333,"RTX-US^FE_ESTIMATE(DPS,MEAN,QTR_ROLL,2025/2F,45859,,,'')":0.6628571,"RTX-US^FE_ESTIMATE(EPS_GAAP,MEAN,QTR_ROLL,2025/2F,45859,,,'')":1.1427081,"RTX-US^FE_ESTIMATE(NET_INC_REP,MEAN,QTR_ROLL,2025/2F,45859,,,'')":1575.4858,"RTX-US^FE_ESTIMATE(PTX_INC_REP,MEAN,QTR_ROLL,2025/2F,45859,,,'')":2033.7855,"RTX-US^FE_ESTIMATE(EBITDA_REP,MEAN,QTR_ROLL,2025/2F,45859,,,'')":3249.912,"RTX-US^FE_ESTIMATE(EPS,MEAN,QTR,2025/2F,45859,,,'CLASS=59')":null,"RTX-US^FE_ESTIMATE(EPS,MEAN,QTR_ROLL,2025/2F,45859,,,'')":1.4422822,"RTX-US^FE_ESTIMATE(NET_INC,MEAN,QTR_ROLL,2025/2F,45859,,,'')":1946.2,"RTX-US^FE_VALUATION(TAX_RATE,MEAN,QTR_ROLL,2025/2F,45859,,,'')":0.17460553,"RTX-US^FE_ESTIMATE(PTX_INC,MEAN,QTR_ROLL,2025/2F,45859,,,'')":2535.0476,"RTX-US^FE_ESTIMATE(INT_EXP,MEAN,QTR_ROLL,2025/2F,45859,,,'')":null,"RTX-US^FE_ESTIMATE(EBIT,MEAN,QTR_ROLL,2025/2F,45859,,,'')":2599.7183,"RTX-US^FE_ESTIMATE(DEP_AMORT,MEAN,QTR_ROLL,2025/2F,45859,,,'')":941.25,"RTX-US^FE_ESTIMATE(EBITDA,MEAN,QTR_ROLL,2025/2F,45859,,,'')":3249.912,"RTX-US^FE_ESTIMATE(OPER_EXP,MEAN,QTR_ROLL,2025/2F,45859,,,'')":null,"RTX-US^FE_ESTIMATE(SOE,MEAN,QTR_ROLL,2025/2F,45859,,,'')":null,"RTX-US^FE_ESTIMATE(RD_EXP,MEAN,QTR_ROLL,2025/2F,45859,,,'')":714.25,"RTX-US^FE_ESTIMATE(G_A_EXP,MEAN,QTR_ROLL,2025/2F,45859,,,'')":1547.5,"RTX-US^FE_ESTIMATE(SGA,MEAN,QTR_ROLL,2025/2F,45859,,,'')":1519.5,"2025/2F^FE_VALUATION(GROSS_MARGIN,MEAN,QTR_ROLL,2025/2F,45859,,,'')/100":null,"RTX-US^FE_ESTIMATE(GROSS_INC,MEAN,QTR_ROLL,2025/2F,45859,,,'')":4333.0,"RTX-US^FE_ESTIMATE(COS,MEAN,QTR_ROLL,2025/2F,45859,,,'')":15982.25,"RTX-US^FE_ESTIMATE(SALES,MEAN,QTR_ROLL,2025/2F,45859,,,'')":20635.674,"RTX-US^FE_ESTIMATE(FCFPS,MEAN,ANN_ROLL,2027,45936,,,'')":7.295042,"RTX-US^FE_ESTIMATE(FCFPS,MEAN,ANN_ROLL,2026,45936,,,'')":6.3244896,"RTX-US^FE_ESTIMATE(FCFPS,MEAN,ANN_ROLL,2025,45936,,,'')":5.3021913,"RTX-US^FE_ESTIMATE(FCFPS,MEAN,ANN_ROLL,2024,45936,,,'')":3.3707526,"RTX-US^FE_ESTIMATE(FCFPS,MEAN,ANN_ROLL,2023,45936,,,'')":3.8284845,"RTX-US^FE_ESTIMATE(FCFPS,MEAN,ANN_ROLL,2022,45936,,,'')":3.2834578,"RTX-US^FE_ESTIMATE(FCF,MEAN,ANN_ROLL,2027,45936,,,'')":9749.796,"RTX-US^FE_ESTIMATE(FCF,MEAN,ANN_ROLL,2026,45936,,,'')":8381.835,"RTX-US^FE_ESTIMATE(FCF,MEAN,ANN_ROLL,2025,45936,,,'')":7196.4707,"RTX-US^FE_ESTIMATE(FCF,MEAN,ANN_ROLL,2024,45936,,,'')":4534.0,"RTX-US^FE_ESTIMATE(FCF,MEAN,ANN_ROLL,2023,45936,,,'')":5468.0,"RTX-US^FE_ESTIMATE(FCF,MEAN,ANN_ROLL,2022,45936,,,'')":4880.0,"RTX-US^FE_ESTIMATE(DPS,MEAN,ANN_ROLL,2027,45936,,,'')":3.096586,"RTX-US^FE_ESTIMATE(DPS,MEAN,ANN_ROLL,2026,45936,,,'')":2.8567755,"RTX-US^FE_ESTIMATE(DPS,MEAN,ANN_ROLL,2025,45936,,,'')":2.633988,"RTX-US^FE_ESTIMATE(DPS,MEAN,ANN_ROLL,2024,45936,,,'')":2.4640515,"RTX-US^FE_ESTIMATE(DPS,MEAN,ANN_ROLL,2023,45936,,,'')":2.3056726,"RTX-US^FE_ESTIMATE(DPS,MEAN,ANN_ROLL,2022,45936,,,'')":2.14607,"RTX-US^FE_ESTIMATE(EPS_GAAP,MEAN,ANN_ROLL,2027,45936,,,'')":6.40341,"RTX-US^FE_ESTIMATE(EPS_GAAP,MEAN,ANN_ROLL,2026,45936,,,'')":5.442689,"RTX-US^FE_ESTIMATE(EPS_GAAP,MEAN,ANN_ROLL,2025,45936,,,'')":4.6862564,"RTX-US^FE_ESTIMATE(EPS_GAAP,MEAN,ANN_ROLL,2024,45936,,,'')":3.55,"RTX-US^FE_ESTIMATE(EPS_GAAP,MEAN,ANN_ROLL,2023,45936,,,'')":2.23,"RTX-US^FE_ESTIMATE(EPS_GAAP,MEAN,ANN_ROLL,2022,45936,,,'')":3.51,"RTX-US^FE_ESTIMATE(NET_INC_REP,MEAN,ANN_ROLL,2027,45936,,,'')":8672.799,"RTX-US^FE_ESTIMATE(NET_INC_REP,MEAN,ANN_ROLL,2026,45936,,,'')":7333.231,"RTX-US^FE_ESTIMATE(NET_INC_REP,MEAN,ANN_ROLL,2025,45936,,,'')":6368.4014,"RTX-US^FE_ESTIMATE(NET_INC_REP,MEAN,ANN_ROLL,2024,45936,,,'')":4774.0,"RTX-US^FE_ESTIMATE(NET_INC_REP,MEAN,ANN_ROLL,2023,45936,,,'')":3195.0,"RTX-US^FE_ESTIMATE(NET_INC_REP,MEAN,ANN_ROLL,2022,45936,,,'')":5216.0,"RTX-US^FE_ESTIMATE(PTX_INC_REP,MEAN,ANN_ROLL,2027,45936,,,'')":10522.54,"RTX-US^FE_ESTIMATE(PTX_INC_REP,MEAN,ANN_ROLL,2026,45936,,,'')":9351.173,"RTX-US^FE_ESTIMATE(PTX_INC_REP,MEAN,ANN_ROLL,2025,45936,,,'')":8275.276,"RTX-US^FE_ESTIMATE(PTX_INC_REP,MEAN,ANN_ROLL,2024,45936,,,'')":6162.4,"RTX-US^FE_ESTIMATE(PTX_INC_REP,MEAN,ANN_ROLL,2023,45936,,,'')":3791.1428,"RTX-US^FE_ESTIMATE(PTX_INC_REP,MEAN,ANN_ROLL,2022,45936,,,'')":7235.5,"RTX-US^FE_ESTIMATE(EBITDA_REP,MEAN,ANN_ROLL,2027,45936,,,'')":16046.033,"RTX-US^FE_ESTIMATE(EBITDA_REP,MEAN,ANN_ROLL,2026,45936,,,'')":14909.4,"RTX-US^FE_ESTIMATE(EBITDA_REP,MEAN,ANN_ROLL,2025,45936,,,'')":13044.776,"RTX-US^FE_ESTIMATE(EBITDA_REP,MEAN,ANN_ROLL,2024,45936,,,'')":12102.1,"RTX-US^FE_ESTIMATE(EBITDA_REP,MEAN,ANN_ROLL,2023,45936,,,'')":11458.066,"RTX-US^FE_ESTIMATE(EBITDA_REP,MEAN,ANN_ROLL,2022,45936,,,'')":11023.525,"RTX-US^FE_ESTIMATE(EPS,MEAN,ANN_ROLL,2027,45936,,,',CLASS=59,')":null,"RTX-US^FE_ESTIMATE(EPS,MEAN,ANN_ROLL,2026,45936,,,',CLASS=59,')":null,"RTX-US^FE_ESTIMATE(EPS,MEAN,ANN_ROLL,2025,45936,,,',CLASS=59,')":null,"RTX-US^FE_ESTIMATE(EPS,MEAN,ANN_ROLL,2024,45936,,,',CLASS=59,')":null,"RTX-US^FE_ESTIMATE(EPS,MEAN,ANN_ROLL,2023,45936,,,',CLASS=59,')":null,"RTX-US^FE_ESTIMATE(EPS,MEAN,ANN_ROLL,2022,45936,,,',CLASS=59,')":null,"RTX-US^FE_ESTIMATE(EPS,MEAN,ANN_ROLL,2027,45936,,,'')":7.458363,"RTX-US^FE_ESTIMATE(EPS,MEAN,ANN_ROLL,2026,45936,,,'')":6.642077,"RTX-US^FE_ESTIMATE(EPS,MEAN,ANN_ROLL,2025,45936,,,'')":5.9504943,"RTX-US^FE_ESTIMATE(EPS,MEAN,ANN_ROLL,2024,45936,,,'')":5.73,"RTX-US^FE_ESTIMATE(EPS,MEAN,ANN_ROLL,2023,45936,,,'')":5.06,"RTX-US^FE_ESTIMATE(EPS,MEAN,ANN_ROLL,2022,45936,,,'')":4.78,"RTX-US^FE_ESTIMATE(NET_INC,MEAN,ANN_ROLL,2027,45936,,,'')":10135.435,"RTX-US^FE_ESTIMATE(NET_INC,MEAN,ANN_ROLL,2026,45936,,,'')":9041.746,"RTX-US^FE_ESTIMATE(NET_INC,MEAN,ANN_ROLL,2025,45936,,,'')":8078.134,"RTX-US^FE_ESTIMATE(NET_INC,MEAN,ANN_ROLL,2024,45936,,,'')":7705.0,"RTX-US^FE_ESTIMATE(NET_INC,MEAN,ANN_ROLL,2023,45936,,,'')":7263.0,"RTX-US^FE_ESTIMATE(NET_INC,MEAN,ANN_ROLL,2022,45936,,,'')":7098.0,"RTX-US^FE_VALUATION(TAX_RATE,MEAN,ANN_ROLL,2027,45936,,,'')":0.18349363,"RTX-US^FE_VALUATION(TAX_RATE,MEAN,ANN_ROLL,2026,45936,,,'')":0.17638966,"RTX-US^FE_VALUATION(TAX_RATE,MEAN,ANN_ROLL,2025,45936,,,'')":0.17067577,"RTX-US^FE_VALUATION(TAX_RATE,MEAN,ANN_ROLL,2024,45936,,,'')":0.15274101,"RTX-US^FE_VALUATION(TAX_RATE,MEAN,ANN_ROLL,2023,45936,,,'')":0.10869081,"RTX-US^FE_VALUATION(TAX_RATE,MEAN,ANN_ROLL,2022,45936,,,'')":0.13594484,"RTX-US^FE_ESTIMATE(PTX_INC,MEAN,ANN_ROLL,2027,45936,,,'')":13084.015,"RTX-US^FE_ESTIMATE(PTX_INC,MEAN,ANN_ROLL,2026,45936,,,'')":11714.76,"RTX-US^FE_ESTIMATE(PTX_INC,MEAN,ANN_ROLL,2025,45936,,,'')":10313.342,"RTX-US^FE_ESTIMATE(PTX_INC,MEAN,ANN_ROLL,2024,45936,,,'')":9760.3125,"RTX-US^FE_ESTIMATE(PTX_INC,MEAN,ANN_ROLL,2023,45936,,,'')":9073.444,"RTX-US^FE_ESTIMATE(PTX_INC,MEAN,ANN_ROLL,2022,45936,,,'')":7447.8735,"RTX-US^FE_ESTIMATE(INT_EXP,MEAN,ANN_ROLL,2027,45936,,,'')":1639.407,"RTX-US^FE_ESTIMATE(INT_EXP,MEAN,ANN_ROLL,2026,45936,,,'')":1775.707,"RTX-US^FE_ESTIMATE(INT_EXP,MEAN,ANN_ROLL,2025,45936,,,'')":1847.7784,"RTX-US^FE_ESTIMATE(INT_EXP,MEAN,ANN_ROLL,2024,45936,,,'')":1888.0,"RTX-US^FE_ESTIMATE(INT_EXP,MEAN,ANN_ROLL,2023,45936,,,'')":1512.6666,"RTX-US^FE_ESTIMATE(INT_EXP,MEAN,ANN_ROLL,2022,45936,,,'')":1276.0,"RTX-US^FE_ESTIMATE(EBIT,MEAN,ANN_ROLL,2027,45936,,,'')":13309.096,"RTX-US^FE_ESTIMATE(EBIT,MEAN,ANN_ROLL,2026,45936,,,'')":12015.062,"RTX-US^FE_ESTIMATE(EBIT,MEAN,ANN_ROLL,2025,45936,,,'')":10784.593,"RTX-US^FE_ESTIMATE(EBIT,MEAN,ANN_ROLL,2024,45936,,,'')":10183.0,"RTX-US^FE_ESTIMATE(EBIT,MEAN,ANN_ROLL,2023,45936,,,'')":8895.0,"RTX-US^FE_ESTIMATE(EBIT,MEAN,ANN_ROLL,2022,45936,,,'')":7828.25,"RTX-US^FE_ESTIMATE(DEP_AMORT,MEAN,ANN_ROLL,2027,45936,,,'')":4109.75,"RTX-US^FE_ESTIMATE(DEP_AMORT,MEAN,ANN_ROLL,2026,45936,,,'')":3953.5,"RTX-US^FE_ESTIMATE(DEP_AMORT,MEAN,ANN_ROLL,2025,45936,,,'')":3849.5,"RTX-US^FE_ESTIMATE(DEP_AMORT,MEAN,ANN_ROLL,2024,45936,,,'')":4021.0,"RTX-US^FE_ESTIMATE(DEP_AMORT,MEAN,ANN_ROLL,2023,45936,,,'')":3989.0,"RTX-US^FE_ESTIMATE(DEP_AMORT,MEAN,ANN_ROLL,2022,45936,,,'')":3682.3333,"RTX-US^FE_ESTIMATE(EBITDA,MEAN,ANN_ROLL,2027,45936,,,'')":16212.484,"RTX-US^FE_ESTIMATE(EBITDA,MEAN,ANN_ROLL,2026,45936,,,'')":15012.943,"RTX-US^FE_ESTIMATE(EBITDA,MEAN,ANN_ROLL,2025,45936,,,'')":13044.776,"RTX-US^FE_ESTIMATE(EBITDA,MEAN,ANN_ROLL,2024,45936,,,'')":12102.1,"RTX-US^FE_ESTIMATE(EBITDA,MEAN,ANN_ROLL,2023,45936,,,'')":11458.066,"RTX-US^FE_ESTIMATE(EBITDA,MEAN,ANN_ROLL,2022,45936,,,'')":11023.525,"RTX-US^FE_ESTIMATE(OPER_EXP,MEAN,ANN_ROLL,2027,45936,,,'')":null,"RTX-US^FE_ESTIMATE(OPER_EXP,MEAN,ANN_ROLL,2026,45936,,,'')":null,"RTX-US^FE_ESTIMATE(OPER_EXP,MEAN,ANN_ROLL,2025,45936,,,'')":null,"RTX-US^FE_ESTIMATE(OPER_EXP,MEAN,ANN_ROLL,2024,45936,,,'')":null,"RTX-US^FE_ESTIMATE(OPER_EXP,MEAN,ANN_ROLL,2023,45936,,,'')":null,"RTX-US^FE_ESTIMATE(OPER_EXP,MEAN,ANN_ROLL,2022,45936,,,'')":null,"RTX-US^FE_ESTIMATE(SOE,MEAN,ANN_ROLL,2027,45936,,,'')":null,"RTX-US^FE_ESTIMATE(SOE,MEAN,ANN_ROLL,2026,45936,,,'')":null,"RTX-US^FE_ESTIMATE(SOE,MEAN,ANN_ROLL,2025,45936,,,'')":null,"RTX-US^FE_ESTIMATE(SOE,MEAN,ANN_ROLL,2024,45936,,,'')":null,"RTX-US^FE_ESTIMATE(SOE,MEAN,ANN_ROLL,2023,45936,,,'')":null,"RTX-US^FE_ESTIMATE(SOE,MEAN,ANN_ROLL,2022,45936,,,'')":null,"RTX-US^FE_ESTIMATE(RD_EXP,MEAN,ANN_ROLL,2027,45936,,,'')":2713.3333,"RTX-US^FE_ESTIMATE(RD_EXP,MEAN,ANN_ROLL,2026,45936,,,'')":2663.6667,"RTX-US^FE_ESTIMATE(RD_EXP,MEAN,ANN_ROLL,2025,45936,,,'')":2974.0,"RTX-US^FE_ESTIMATE(RD_EXP,MEAN,ANN_ROLL,2024,45936,,,'')":2934.0,"RTX-US^FE_ESTIMATE(RD_EXP,MEAN,ANN_ROLL,2023,45936,,,'')":2805.0,"RTX-US^FE_ESTIMATE(RD_EXP,MEAN,ANN_ROLL,2022,45936,,,'')":2727.0,"RTX-US^FE_ESTIMATE(G_A_EXP,MEAN,ANN_ROLL,2027,45936,,,'')":6585.5,"RTX-US^FE_ESTIMATE(G_A_EXP,MEAN,ANN_ROLL,2026,45936,,,'')":6388.0,"RTX-US^FE_ESTIMATE(G_A_EXP,MEAN,ANN_ROLL,2025,45936,,,'')":6117.0,"RTX-US^FE_ESTIMATE(G_A_EXP,MEAN,ANN_ROLL,2024,45936,,,'')":5806.0,"RTX-US^FE_ESTIMATE(G_A_EXP,MEAN,ANN_ROLL,2023,45936,,,'')":5879.0,"RTX-US^FE_ESTIMATE(G_A_EXP,MEAN,ANN_ROLL,2022,45936,,,'')":5663.0,"RTX-US^FE_ESTIMATE(SGA,MEAN,ANN_ROLL,2027,45936,,,'')":6822.0,"RTX-US^FE_ESTIMATE(SGA,MEAN,ANN_ROLL,2026,45936,,,'')":6517.0,"RTX-US^FE_ESTIMATE(SGA,MEAN,ANN_ROLL,2025,45936,,,'')":6244.0,"RTX-US^FE_ESTIMATE(SGA,MEAN,ANN_ROLL,2024,45936,,,'')":5806.0,"RTX-US^FE_ESTIMATE(SGA,MEAN,ANN_ROLL,2023,45936,,,'')":5816.0,"RTX-US^FE_ESTIMATE(SGA,MEAN,ANN_ROLL,2022,45936,,,'')":5663.0,"RTX-US^FE_VALUATION(GROSS_MARGIN,MEAN,ANN_ROLL,2027,45936,,,'')/100":0.22728482,"RTX-US^FE_VALUATION(GROSS_MARGIN,MEAN,ANN_ROLL,2026,45936,,,'')/100":0.22165975,"RTX-US^FE_VALUATION(GROSS_MARGIN,MEAN,ANN_ROLL,2025,45936,,,'')/100":0.20640825,"RTX-US^FE_VALUATION(GROSS_MARGIN,MEAN,ANN_ROLL,2024,45936,,,'')/100":0.1908519,"RTX-US^FE_VALUATION(GROSS_MARGIN,MEAN,ANN_ROLL,2023,45936,,,'')/100":0.18731354,"RTX-US^FE_VALUATION(GROSS_MARGIN,MEAN,ANN_ROLL,2022,45936,,,'')/100":0.2038495,"RTX-US^FE_ESTIMATE(GROSS_INC,MEAN,ANN_ROLL,2027,45936,,,'')":21820.0,"RTX-US^FE_ESTIMATE(GROSS_INC,MEAN,ANN_ROLL,2026,45936,,,'')":20100.0,"RTX-US^FE_ESTIMATE(GROSS_INC,MEAN,ANN_ROLL,2025,45936,,,'')":17680.0,"RTX-US^FE_ESTIMATE(GROSS_INC,MEAN,ANN_ROLL,2024,45936,,,'')":15409.0,"RTX-US^FE_ESTIMATE(GROSS_INC,MEAN,ANN_ROLL,2023,45936,,,'')":13918.333,"RTX-US^FE_ESTIMATE(GROSS_INC,MEAN,ANN_ROLL,2022,45936,,,'')":13673.0,"RTX-US^FE_ESTIMATE(COS,MEAN,ANN_ROLL,2027,45936,,,'')":73490.0,"RTX-US^FE_ESTIMATE(COS,MEAN,ANN_ROLL,2026,45936,,,'')":69703.336,"RTX-US^FE_ESTIMATE(COS,MEAN,ANN_ROLL,2025,45936,,,'')":66629.664,"RTX-US^FE_ESTIMATE(COS,MEAN,ANN_ROLL,2024,45936,,,'')":65328.0,"RTX-US^FE_ESTIMATE(COS,MEAN,ANN_ROLL,2023,45936,,,'')":56696.0,"RTX-US^FE_ESTIMATE(COS,MEAN,ANN_ROLL,2022,45936,,,'')":53127.6,"RTX-US^FE_ESTIMATE(SALES,MEAN,ANN_ROLL,2027,45936,,,'')":96002.89,"RTX-US^FE_ESTIMATE(SALES,MEAN,ANN_ROLL,2026,45936,,,'')":90679.52,"RTX-US^FE_ESTIMATE(SALES,MEAN,ANN_ROLL,2025,45936,,,'')":85655.49,"RTX-US^FE_ESTIMATE(SALES,MEAN,ANN_ROLL,2024,45936,,,'')":80738.0,"RTX-US^FE_ESTIMATE(SALES,MEAN,ANN_ROLL,2023,45936,,,'')":74305.0,"RTX-US^FE_ESTIMATE(SALES,MEAN,ANN_ROLL,2022,45936,,,'')":67074.0,"RTX-US^FE_ESTIMATE(FCFPS,MEAN,QTR_ROLL,2025/3F,45936,,,'')":2.354136,"RTX-US^FE_ESTIMATE(FCF,MEAN,QTR_ROLL,2025/3F,45936,,,'')":3113.8914,"RTX-US^FE_ESTIMATE(CAPEX,MEAN,QTR_ROLL,2025/3F,45936,,,'')":672.04816,"RTX-US^FE_ESTIMATE(CF_OP,MEAN,QTR_ROLL,2025/3F,45936,,,'')":4136.3335,"RTX-US^FE_ESTIMATE(NET_DEBT,MEAN,QTR_ROLL,2025/3F,45936,,,'')":32026.0,"RTX-US^FE_ESTIMATE(DEBT,MEAN,QTR_ROLL,2025/3F,45936,,,'')":39978.0,"RTX-US^FE_ESTIMATE(CASH_ST,MEAN,QTR_ROLL,2025/3F,45936,,,'')":8235.667,"RTX-US^FE_ESTIMATE(DPS,MEAN,QTR_ROLL,2025/3F,45936,,,'')":0.665,"RTX-US^FE_ESTIMATE(EPS_GAAP,MEAN,QTR_ROLL,2025/3F,45936,,,'')":1.1095172,"RTX-US^FE_ESTIMATE(NET_INC_REP,MEAN,QTR_ROLL,2025/3F,45936,,,'')":1518.0671,"RTX-US^FE_ESTIMATE(PTX_INC_REP,MEAN,QTR_ROLL,2025/3F,45936,,,'')":1962.7087,"RTX-US^FE_ESTIMATE(EBITDA_REP,MEAN,QTR_ROLL,2025/3F,45936,,,'')":3213.048,"RTX-US^FE_ESTIMATE(EPS,MEAN,QTR,2025/3F,45936,,,'CLASS=59')":null,"RTX-US^FE_ESTIMATE(EPS,MEAN,QTR_ROLL,2025/3F,45936,,,'')":1.4052985,"RTX-US^FE_ESTIMATE(NET_INC,MEAN,QTR_ROLL,2025/3F,45936,,,'')":1919.3307,"RTX-US^FE_VALUATION(TAX_RATE,MEAN,QTR_ROLL,2025/3F,45936,,,'')":0.1821085,"RTX-US^FE_ESTIMATE(PTX_INC,MEAN,QTR_ROLL,2025/3F,45936,,,'')":2497.824,"RTX-US^FE_ESTIMATE(INT_EXP,MEAN,QTR_ROLL,2025/3F,45936,,,'')":null,"RTX-US^FE_ESTIMATE(EBIT,MEAN,QTR_ROLL,2025/3F,45936,,,'')":2589.1914,"RTX-US^FE_ESTIMATE(DEP_AMORT,MEAN,QTR_ROLL,2025/3F,45936,,,'')":907.3333,"RTX-US^FE_ESTIMATE(EBITDA,MEAN,QTR_ROLL,2025/3F,45936,,,'')":3213.048,"RTX-US^FE_ESTIMATE(OPER_EXP,MEAN,QTR_ROLL,2025/3F,45936,,,'')":null,"RTX-US^FE_ESTIMATE(SOE,MEAN,QTR_ROLL,2025/3F,45936,,,'')":null,"RTX-US^FE_ESTIMATE(RD_EXP,MEAN,QTR_ROLL,2025/3F,45936,,,'')":762.3333,"RTX-US^FE_ESTIMATE(G_A_EXP,MEAN,QTR_ROLL,2025/3F,45936,,,'')":1527.5,"RTX-US^FE_ESTIMATE(SGA,MEAN,QTR_ROLL,2025/3F,45936,,,'')":1526.0,"2025/3F^FE_VALUATION(GROSS_MARGIN,MEAN,QTR_ROLL,2025/3F,45936,,,'')/100":null,"RTX-US^FE_ESTIMATE(GROSS_INC,MEAN,QTR_ROLL,2025/3F,45936,,,'')":4503.0,"RTX-US^FE_ESTIMATE(COS,MEAN,QTR_ROLL,2025/3F,45936,,,'')":16276.333,"RTX-US^FE_ESTIMATE(SALES,MEAN,QTR_ROLL,2025/3F,45936,,,'')":21283.354,"RTX-US^FE_ESTIMATE(FCFPS,MEAN,ANN_ROLL,2027,45950,,,'')":7.290756,"RTX-US^FE_ESTIMATE(FCFPS,MEAN,ANN_ROLL,2026,45950,,,'')":6.3244896,"RTX-US^FE_ESTIMATE(FCFPS,MEAN,ANN_ROLL,2025,45950,,,'')":5.3307624,"RTX-US^FE_ESTIMATE(FCFPS,MEAN,ANN_ROLL,2024,45950,,,'')":3.3707526,"RTX-US^FE_ESTIMATE(FCFPS,MEAN,ANN_ROLL,2023,45950,,,'')":3.8284845,"RTX-US^FE_ESTIMATE(FCFPS,MEAN,ANN_ROLL,2022,45950,,,'')":3.2834578,"RTX-US^FE_ESTIMATE(FCF,MEAN,ANN_ROLL,2027,45950,,,'')":9627.129,"RTX-US^FE_ESTIMATE(FCF,MEAN,ANN_ROLL,2026,45950,,,'')":8299.435,"RTX-US^FE_ESTIMATE(FCF,MEAN,ANN_ROLL,2025,45950,,,'')":7222.1704,"RTX-US^FE_ESTIMATE(FCF,MEAN,ANN_ROLL,2024,45950,,,'')":4534.0,"RTX-US^FE_ESTIMATE(FCF,MEAN,ANN_ROLL,2023,45950,,,'')":5468.0,"RTX-US^FE_ESTIMATE(FCF,MEAN,ANN_ROLL,2022,45950,,,'')":4880.0,"RTX-US^FE_ESTIMATE(DPS,MEAN,ANN_ROLL,2027,45950,,,'')":3.096586,"RTX-US^FE_ESTIMATE(DPS,MEAN,ANN_ROLL,2026,45950,,,'')":2.8567755,"RTX-US^FE_ESTIMATE(DPS,MEAN,ANN_ROLL,2025,45950,,,'')":2.633988,"RTX-US^FE_ESTIMATE(DPS,MEAN,ANN_ROLL,2024,45950,,,'')":2.4640515,"RTX-US^FE_ESTIMATE(DPS,MEAN,ANN_ROLL,2023,45950,,,'')":2.3056726,"RTX-US^FE_ESTIMATE(DPS,MEAN,ANN_ROLL,2022,45950,,,'')":2.14607,"RTX-US^FE_ESTIMATE(EPS_GAAP,MEAN,ANN_ROLL,2027,45950,,,'')":6.40257,"RTX-US^FE_ESTIMATE(EPS_GAAP,MEAN,ANN_ROLL,2026,45950,,,'')":5.44253,"RTX-US^FE_ESTIMATE(EPS_GAAP,MEAN,ANN_ROLL,2025,45950,,,'')":4.690028,"RTX-US^FE_ESTIMATE(EPS_GAAP,MEAN,ANN_ROLL,2024,45950,,,'')":3.55,"RTX-US^FE_ESTIMATE(EPS_GAAP,MEAN,ANN_ROLL,2023,45950,,,'')":2.23,"RTX-US^FE_ESTIMATE(EPS_GAAP,MEAN,ANN_ROLL,2022,45950,,,'')":3.51,"RTX-US^FE_ESTIMATE(NET_INC_REP,MEAN,ANN_ROLL,2027,45950,,,'')":8671.865,"RTX-US^FE_ESTIMATE(NET_INC_REP,MEAN,ANN_ROLL,2026,45950,,,'')":7333.9946,"RTX-US^FE_ESTIMATE(NET_INC_REP,MEAN,ANN_ROLL,2025,45950,,,'')":6368.7354,"RTX-US^FE_ESTIMATE(NET_INC_REP,MEAN,ANN_ROLL,2024,45950,,,'')":4774.0,"RTX-US^FE_ESTIMATE(NET_INC_REP,MEAN,ANN_ROLL,2023,45950,,,'')":3195.0,"RTX-US^FE_ESTIMATE(NET_INC_REP,MEAN,ANN_ROLL,2022,45950,,,'')":5216.0,"RTX-US^FE_ESTIMATE(PTX_INC_REP,MEAN,ANN_ROLL,2027,45950,,,'')":10485.321,"RTX-US^FE_ESTIMATE(PTX_INC_REP,MEAN,ANN_ROLL,2026,45950,,,'')":9326.95,"RTX-US^FE_ESTIMATE(PTX_INC_REP,MEAN,ANN_ROLL,2025,45950,,,'')":8275.339,"RTX-US^FE_ESTIMATE(PTX_INC_REP,MEAN,ANN_ROLL,2024,45950,,,'')":6162.4,"RTX-US^FE_ESTIMATE(PTX_INC_REP,MEAN,ANN_ROLL,2023,45950,,,'')":3791.1428,"RTX-US^FE_ESTIMATE(PTX_INC_REP,MEAN,ANN_ROLL,2022,45950,,,'')":7235.5,"RTX-US^FE_ESTIMATE(EBITDA_REP,MEAN,ANN_ROLL,2027,45950,,,'')":16031.128,"RTX-US^FE_ESTIMATE(EBITDA_REP,MEAN,ANN_ROLL,2026,45950,,,'')":14900.494,"RTX-US^FE_ESTIMATE(EBITDA_REP,MEAN,ANN_ROLL,2025,45950,,,'')":13044.735,"RTX-US^FE_ESTIMATE(EBITDA_REP,MEAN,ANN_ROLL,2024,45950,,,'')":12102.1,"RTX-US^FE_ESTIMATE(EBITDA_REP,MEAN,ANN_ROLL,2023,45950,,,'')":11458.066,"RTX-US^FE_ESTIMATE(EBITDA_REP,MEAN,ANN_ROLL,2022,45950,,,'')":11023.525,"RTX-US^FE_ESTIMATE(EPS,MEAN,ANN_ROLL,2027,45950,,,',CLASS=59,')":null,"RTX-US^FE_ESTIMATE(EPS,MEAN,ANN_ROLL,2026,45950,,,',CLASS=59,')":null,"RTX-US^FE_ESTIMATE(EPS,MEAN,ANN_ROLL,2025,45950,,,',CLASS=59,')":null,"RTX-US^FE_ESTIMATE(EPS,MEAN,ANN_ROLL,2024,45950,,,',CLASS=59,')":null,"RTX-US^FE_ESTIMATE(EPS,MEAN,ANN_ROLL,2023,45950,,,',CLASS=59,')":null,"RTX-US^FE_ESTIMATE(EPS,MEAN,ANN_ROLL,2022,45950,,,',CLASS=59,')":null,"RTX-US^FE_ESTIMATE(EPS,MEAN,ANN_ROLL,2027,45950,,,'')":7.454958,"RTX-US^FE_ESTIMATE(EPS,MEAN,ANN_ROLL,2026,45950,,,'')":6.641432,"RTX-US^FE_ESTIMATE(EPS,MEAN,ANN_ROLL,2025,45950,,,'')":5.954309,"RTX-US^FE_ESTIMATE(EPS,MEAN,ANN_ROLL,2024,45950,,,'')":5.73,"RTX-US^FE_ESTIMATE(EPS,MEAN,ANN_ROLL,2023,45950,,,'')":5.06,"RTX-US^FE_ESTIMATE(EPS,MEAN,ANN_ROLL,2022,45950,,,'')":4.78,"RTX-US^FE_ESTIMATE(NET_INC,MEAN,ANN_ROLL,2027,45950,,,'')":10136.212,"RTX-US^FE_ESTIMATE(NET_INC,MEAN,ANN_ROLL,2026,45950,,,'')":9042.801,"RTX-US^FE_ESTIMATE(NET_INC,MEAN,ANN_ROLL,2025,45950,,,'')":8085.468,"RTX-US^FE_ESTIMATE(NET_INC,MEAN,ANN_ROLL,2024,45950,,,'')":7705.0,"RTX-US^FE_ESTIMATE(NET_INC,MEAN,ANN_ROLL,2023,45950,,,'')":7263.0,"RTX-US^FE_ESTIMATE(NET_INC,MEAN,ANN_ROLL,2022,45950,,,'')":7098.0,"RTX-US^FE_VALUATION(TAX_RATE,MEAN,ANN_ROLL,2027,45950,,,'')":0.1838067,"RTX-US^FE_VALUATION(TAX_RATE,MEAN,ANN_ROLL,2026,45950,,,'')":0.17663555,"RTX-US^FE_VALUATION(TAX_RATE,MEAN,ANN_ROLL,2025,45950,,,'')":0.17147666,"RTX-US^FE_VALUATION(TAX_RATE,MEAN,ANN_ROLL,2024,45950,,,'')":0.15274101,"RTX-US^FE_VALUATION(TAX_RATE,MEAN,ANN_ROLL,2023,45950,,,'')":0.10869081,"RTX-US^FE_VALUATION(TAX_RATE,MEAN,ANN_ROLL,2022,45950,,,'')":0.13594484,"RTX-US^FE_ESTIMATE(PTX_INC,MEAN,ANN_ROLL,2027,45950,,,'')":13078.05,"RTX-US^FE_ESTIMATE(PTX_INC,MEAN,ANN_ROLL,2026,45950,,,'')":11710.482,"RTX-US^FE_ESTIMATE(PTX_INC,MEAN,ANN_ROLL,2025,45950,,,'')":10322.761,"RTX-US^FE_ESTIMATE(PTX_INC,MEAN,ANN_ROLL,2024,45950,,,'')":9760.3125,"RTX-US^FE_ESTIMATE(PTX_INC,MEAN,ANN_ROLL,2023,45950,,,'')":9073.444,"RTX-US^FE_ESTIMATE(PTX_INC,MEAN,ANN_ROLL,2022,45950,,,'')":7447.8735,"RTX-US^FE_ESTIMATE(INT_EXP,MEAN,ANN_ROLL,2027,45950,,,'')":1639.407,"RTX-US^FE_ESTIMATE(INT_EXP,MEAN,ANN_ROLL,2026,45950,,,'')":1775.707,"RTX-US^FE_ESTIMATE(INT_EXP,MEAN,ANN_ROLL,2025,45950,,,'')":1847.7784,"RTX-US^FE_ESTIMATE(INT_EXP,MEAN,ANN_ROLL,2024,45950,,,'')":1888.0,"RTX-US^FE_ESTIMATE(INT_EXP,MEAN,ANN_ROLL,2023,45950,,,'')":1512.6666,"RTX-US^FE_ESTIMATE(INT_EXP,MEAN,ANN_ROLL,2022,45950,,,'')":1276.0,"RTX-US^FE_ESTIMATE(EBIT,MEAN,ANN_ROLL,2027,45950,,,'')":13310.043,"RTX-US^FE_ESTIMATE(EBIT,MEAN,ANN_ROLL,2026,45950,,,'')":12016.53,"RTX-US^FE_ESTIMATE(EBIT,MEAN,ANN_ROLL,2025,45950,,,'')":10793.918,"RTX-US^FE_ESTIMATE(EBIT,MEAN,ANN_ROLL,2024,45950,,,'')":10183.0,"RTX-US^FE_ESTIMATE(EBIT,MEAN,ANN_ROLL,2023,45950,,,'')":8895.0,"RTX-US^FE_ESTIMATE(EBIT,MEAN,ANN_ROLL,2022,45950,,,'')":7828.25,"RTX-US^FE_ESTIMATE(DEP_AMORT,MEAN,ANN_ROLL,2027,45950,,,'')":4117.25,"RTX-US^FE_ESTIMATE(DEP_AMORT,MEAN,ANN_ROLL,2026,45950,,,'')":3960.5,"RTX-US^FE_ESTIMATE(DEP_AMORT,MEAN,ANN_ROLL,2025,45950,,,'')":3856.25,"RTX-US^FE_ESTIMATE(DEP_AMORT,MEAN,ANN_ROLL,2024,45950,,,'')":4021.0,"RTX-US^FE_ESTIMATE(DEP_AMORT,MEAN,ANN_ROLL,2023,45950,,,'')":3989.0,"RTX-US^FE_ESTIMATE(DEP_AMORT,MEAN,ANN_ROLL,2022,45950,,,'')":3682.3333,"RTX-US^FE_ESTIMATE(EBITDA,MEAN,ANN_ROLL,2027,45950,,,'')":16198.935,"RTX-US^FE_ESTIMATE(EBITDA,MEAN,ANN_ROLL,2026,45950,,,'')":15004.674,"RTX-US^FE_ESTIMATE(EBITDA,MEAN,ANN_ROLL,2025,45950,,,'')":13044.735,"RTX-US^FE_ESTIMATE(EBITDA,MEAN,ANN_ROLL,2024,45950,,,'')":12102.1,"RTX-US^FE_ESTIMATE(EBITDA,MEAN,ANN_ROLL,2023,45950,,,'')":11458.066,"RTX-US^FE_ESTIMATE(EBITDA,MEAN,ANN_ROLL,2022,45950,,,'')":11023.525,"RTX-US^FE_ESTIMATE(OPER_EXP,MEAN,ANN_ROLL,2027,45950,,,'')":null,"RTX-US^FE_ESTIMATE(OPER_EXP,MEAN,ANN_ROLL,2026,45950,,,'')":null,"RTX-US^FE_ESTIMATE(OPER_EXP,MEAN,ANN_ROLL,2025,45950,,,'')":null,"RTX-US^FE_ESTIMATE(OPER_EXP,MEAN,ANN_ROLL,2024,45950,,,'')":null,"RTX-US^FE_ESTIMATE(OPER_EXP,MEAN,ANN_ROLL,2023,45950,,,'')":null,"RTX-US^FE_ESTIMATE(OPER_EXP,MEAN,ANN_ROLL,2022,45950,,,'')":null,"RTX-US^FE_ESTIMATE(SOE,MEAN,ANN_ROLL,2027,45950,,,'')":null,"RTX-US^FE_ESTIMATE(SOE,MEAN,ANN_ROLL,2026,45950,,,'')":null,"RTX-US^FE_ESTIMATE(SOE,MEAN,ANN_ROLL,2025,45950,,,'')":null,"RTX-US^FE_ESTIMATE(SOE,MEAN,ANN_ROLL,2024,45950,,,'')":null,"RTX-US^FE_ESTIMATE(SOE,MEAN,ANN_ROLL,2023,45950,,,'')":null,"RTX-US^FE_ESTIMATE(SOE,MEAN,ANN_ROLL,2022,45950,,,'')":null,"RTX-US^FE_ESTIMATE(RD_EXP,MEAN,ANN_ROLL,2027,45950,,,'')":2720.3333,"RTX-US^FE_ESTIMATE(RD_EXP,MEAN,ANN_ROLL,2026,45950,,,'')":2670.3333,"RTX-US^FE_ESTIMATE(RD_EXP,MEAN,ANN_ROLL,2025,45950,,,'')":2980.3333,"RTX-US^FE_ESTIMATE(RD_EXP,MEAN,ANN_ROLL,2024,45950,,,'')":2934.0,"RTX-US^FE_ESTIMATE(RD_EXP,MEAN,ANN_ROLL,2023,45950,,,'')":2805.0,"RTX-US^FE_ESTIMATE(RD_EXP,MEAN,ANN_ROLL,2022,45950,,,'')":2727.0,"RTX-US^FE_ESTIMATE(G_A_EXP,MEAN,ANN_ROLL,2027,45950,,,'')":6607.5,"RTX-US^FE_ESTIMATE(G_A_EXP,MEAN,ANN_ROLL,2026,45950,,,'')":6409.0,"RTX-US^FE_ESTIMATE(G_A_EXP,MEAN,ANN_ROLL,2025,45950,,,'')":6137.5,"RTX-US^FE_ESTIMATE(G_A_EXP,MEAN,ANN_ROLL,2024,45950,,,'')":5806.0,"RTX-US^FE_ESTIMATE(G_A_EXP,MEAN,ANN_ROLL,2023,45950,,,'')":5879.0,"RTX-US^FE_ESTIMATE(G_A_EXP,MEAN,ANN_ROLL,2022,45950,,,'')":5663.0,"RTX-US^FE_ESTIMATE(SGA,MEAN,ANN_ROLL,2027,45950,,,'')":6822.0,"RTX-US^FE_ESTIMATE(SGA,MEAN,ANN_ROLL,2026,45950,,,'')":6517.0,"RTX-US^FE_ESTIMATE(SGA,MEAN,ANN_ROLL,2025,45950,,,'')":6244.0,"RTX-US^FE_ESTIMATE(SGA,MEAN,ANN_ROLL,2024,45950,,,'')":5806.0,"RTX-US^FE_ESTIMATE(SGA,MEAN,ANN_ROLL,2023,45950,,,'')":5816.0,"RTX-US^FE_ESTIMATE(SGA,MEAN,ANN_ROLL,2022,45950,,,'')":5663.0,"RTX-US^FE_VALUATION(GROSS_MARGIN,MEAN,ANN_ROLL,2027,45950,,,'')/100":0.22856903,"RTX-US^FE_VALUATION(GROSS_MARGIN,MEAN,ANN_ROLL,2026,45950,,,'')/100":0.22291563,"RTX-US^FE_VALUATION(GROSS_MARGIN,MEAN,ANN_ROLL,2025,45950,,,'')/100":0.20765811,"RTX-US^FE_VALUATION(GROSS_MARGIN,MEAN,ANN_ROLL,2024,45950,,,'')/100":0.1908519,"RTX-US^FE_VALUATION(GROSS_MARGIN,MEAN,ANN_ROLL,2023,45950,,,'')/100":0.18731354,"RTX-US^FE_VALUATION(GROSS_MARGIN,MEAN,ANN_ROLL,2022,45950,,,'')/100":0.2038495,"RTX-US^FE_ESTIMATE(GROSS_INC,MEAN,ANN_ROLL,2027,45950,,,'')":21952.0,"RTX-US^FE_ESTIMATE(GROSS_INC,MEAN,ANN_ROLL,2026,45950,,,'')":20224.0,"RTX-US^FE_ESTIMATE(GROSS_INC,MEAN,ANN_ROLL,2025,45950,,,'')":17793.0,"RTX-US^FE_ESTIMATE(GROSS_INC,MEAN,ANN_ROLL,2024,45950,,,'')":15409.0,"RTX-US^FE_ESTIMATE(GROSS_INC,MEAN,ANN_ROLL,2023,45950,,,'')":13918.333,"RTX-US^FE_ESTIMATE(GROSS_INC,MEAN,ANN_ROLL,2022,45950,,,'')":13673.0,"RTX-US^FE_ESTIMATE(COS,MEAN,ANN_ROLL,2027,45950,,,'')":73644.0,"RTX-US^FE_ESTIMATE(COS,MEAN,ANN_ROLL,2026,45950,,,'')":69849.0,"RTX-US^FE_ESTIMATE(COS,MEAN,ANN_ROLL,2025,45950,,,'')":66768.336,"RTX-US^FE_ESTIMATE(COS,MEAN,ANN_ROLL,2024,45950,,,'')":65328.0,"RTX-US^FE_ESTIMATE(COS,MEAN,ANN_ROLL,2023,45950,,,'')":56696.0,"RTX-US^FE_ESTIMATE(COS,MEAN,ANN_ROLL,2022,45950,,,'')":53127.6,"RTX-US^FE_ESTIMATE(SALES,MEAN,ANN_ROLL,2027,45950,,,'')":96041.01,"RTX-US^FE_ESTIMATE(SALES,MEAN,ANN_ROLL,2026,45950,,,'')":90724.91,"RTX-US^FE_ESTIMATE(SALES,MEAN,ANN_ROLL,2025,45950,,,'')":85684.1,"RTX-US^FE_ESTIMATE(SALES,MEAN,ANN_ROLL,2024,45950,,,'')":80738.0,"RTX-US^FE_ESTIMATE(SALES,MEAN,ANN_ROLL,2023,45950,,,'')":74305.0,"RTX-US^FE_ESTIMATE(SALES,MEAN,ANN_ROLL,2022,45950,,,'')":67074.0,"RTX-US^FE_ESTIMATE(FCFPS,MEAN,QTR_ROLL,2025/3F,45950,,,'')":1.8431606,"RTX-US^FE_ESTIMATE(FCF,MEAN,QTR_ROLL,2025/3F,45950,,,'')":2506.6902,"RTX-US^FE_ESTIMATE(CAPEX,MEAN,QTR_ROLL,2025/3F,45950,,,'')":672.04816,"RTX-US^FE_ESTIMATE(CF_OP,MEAN,QTR_ROLL,2025/3F,45950,,,'')":3545.6667,"RTX-US^FE_ESTIMATE(NET_DEBT,MEAN,QTR_ROLL,2025/3F,45950,,,'')":33471.0,"RTX-US^FE_ESTIMATE(DEBT,MEAN,QTR_ROLL,2025/3F,45950,,,'')":39978.0,"RTX-US^FE_ESTIMATE(CASH_ST,MEAN,QTR_ROLL,2025/3F,45950,,,'')":7754.0,"RTX-US^FE_ESTIMATE(DPS,MEAN,QTR_ROLL,2025/3F,45950,,,'')":0.665,"RTX-US^FE_ESTIMATE(EPS_GAAP,MEAN,QTR_ROLL,2025/3F,45950,,,'')":1.115387,"RTX-US^FE_ESTIMATE(NET_INC_REP,MEAN,QTR_ROLL,2025/3F,45950,,,'')":1519.546,"RTX-US^FE_ESTIMATE(PTX_INC_REP,MEAN,QTR_ROLL,2025/3F,45950,,,'')":1969.0388,"RTX-US^FE_ESTIMATE(EBITDA_REP,MEAN,QTR_ROLL,2025/3F,45950,,,'')":3222.5454,"RTX-US^FE_ESTIMATE(EPS,MEAN,QTR,2025/3F,45950,,,'CLASS=59')":null,"RTX-US^FE_ESTIMATE(EPS,MEAN,QTR_ROLL,2025/3F,45950,,,'')":1.4101007,"RTX-US^FE_ESTIMATE(NET_INC,MEAN,QTR_ROLL,2025/3F,45950,,,'')":1891.4193,"RTX-US^FE_VALUATION(TAX_RATE,MEAN,QTR_ROLL,2025/3F,45950,,,'')":0.18387511,"RTX-US^FE_ESTIMATE(PTX_INC,MEAN,QTR_ROLL,2025/3F,45950,,,'')":2501.698,"RTX-US^FE_ESTIMATE(INT_EXP,MEAN,QTR_ROLL,2025/3F,45950,,,'')":470.0,"RTX-US^FE_ESTIMATE(EBIT,MEAN,QTR_ROLL,2025/3F,45950,,,'')":2599.9524,"RTX-US^FE_ESTIMATE(DEP_AMORT,MEAN,QTR_ROLL,2025/3F,45950,,,'')":953.75,"RTX-US^FE_ESTIMATE(EBITDA,MEAN,QTR_ROLL,2025/3F,45950,,,'')":3222.5454,"RTX-US^FE_ESTIMATE(OPER_EXP,MEAN,QTR_ROLL,2025/3F,45950,,,'')":null,"RTX-US^FE_ESTIMATE(SOE,MEAN,QTR_ROLL,2025/3F,45950,,,'')":null,"RTX-US^FE_ESTIMATE(RD_EXP,MEAN,QTR_ROLL,2025/3F,45950,,,'')":766.3333,"RTX-US^FE_ESTIMATE(G_A_EXP,MEAN,QTR_ROLL,2025/3F,45950,,,'')":1541.5,"RTX-US^FE_ESTIMATE(SGA,MEAN,QTR_ROLL,2025/3F,45950,,,'')":1526.0,"2025/3F^FE_VALUATION(GROSS_MARGIN,MEAN,QTR_ROLL,2025/3F,45950,,,'')/100":null,"RTX-US^FE_ESTIMATE(GROSS_INC,MEAN,QTR_ROLL,2025/3F,45950,,,'')":4580.0,"RTX-US^FE_ESTIMATE(COS,MEAN,QTR_ROLL,2025/3F,45950,,,'')":16368.333,"RTX-US^FE_ESTIMATE(SALES,MEAN,QTR_ROLL,2025/3F,45950,,,'')":21303.203,"RTX-US^FE_ESTIMATE(NET_INC,MEAN,ANN_ROLL,2028,46030,,,'')":11208.818,"RTX-US^FE_ESTIMATE(NET_INC,MEAN,ANN_ROLL,2027,46030,,,'')":10285.109,"RTX-US^FE_ESTIMATE(NET_INC,MEAN,ANN_ROLL,2026,46030,,,'')":9197.549,"RTX-US^FE_ESTIMATE(NET_INC,MEAN,ANN_ROLL,2025,46030,,,'')":8393.808,"RTX-US^FE_ESTIMATE(NET_INC,MEAN,ANN_ROLL,2024,46030,,,'')":7705.0,"RTX-US^FE_ESTIMATE(NET_INC,MEAN,ANN_ROLL,2023,46030,,,'')":7263.0,"RTX-US^FE_ESTIMATE(NET_INC,MEAN,ANN_ROLL,2022,46030,,,'')":7098.0,"RTX-US^FE_VALUATION(TAX_RATE,MEAN,ANN_ROLL,2028,46030,,,'')":0.18948106,"RTX-US^FE_VALUATION(TAX_RATE,MEAN,ANN_ROLL,2027,46030,,,'')":0.18644072,"RTX-US^FE_VALUATION(TAX_RATE,MEAN,ANN_ROLL,2026,46030,,,'')":0.18043664,"RTX-US^FE_VALUATION(TAX_RATE,MEAN,ANN_ROLL,2025,46030,,,'')":0.16743939,"RTX-US^FE_VALUATION(TAX_RATE,MEAN,ANN_ROLL,2024,46030,,,'')":0.15274101,"RTX-US^FE_VALUATION(TAX_RATE,MEAN,ANN_ROLL,2023,46030,,,'')":0.10869081,"RTX-US^FE_VALUATION(TAX_RATE,MEAN,ANN_ROLL,2022,46030,,,'')":0.13594484,"RTX-US^FE_ESTIMATE(PTX_INC,MEAN,ANN_ROLL,2028,46030,,,'')":14383.144,"RTX-US^FE_ESTIMATE(PTX_INC,MEAN,ANN_ROLL,2027,46030,,,'')":13206.291,"RTX-US^FE_ESTIMATE(PTX_INC,MEAN,ANN_ROLL,2026,46030,,,'')":11801.756,"RTX-US^FE_ESTIMATE(PTX_INC,MEAN,ANN_ROLL,2025,46030,,,'')":10821.917,"RTX-US^FE_ESTIMATE(PTX_INC,MEAN,ANN_ROLL,2024,46030,,,'')":9760.3125,"RTX-US^FE_ESTIMATE(PTX_INC,MEAN,ANN_ROLL,2023,46030,,,'')":9073.444,"RTX-US^FE_ESTIMATE(PTX_INC,MEAN,ANN_ROLL,2022,46030,,,'')":7447.8735,"RTX-US^FE_ESTIMATE(INT_EXP,MEAN,ANN_ROLL,2028,46030,,,'')":1700.0,"RTX-US^FE_ESTIMATE(INT_EXP,MEAN,ANN_ROLL,2027,46030,,,'')":1651.4342,"RTX-US^FE_ESTIMATE(INT_EXP,MEAN,ANN_ROLL,2026,46030,,,'')":1737.2393,"RTX-US^FE_ESTIMATE(INT_EXP,MEAN,ANN_ROLL,2025,46030,,,'')":1806.9298,"RTX-US^FE_ESTIMATE(INT_EXP,MEAN,ANN_ROLL,2024,46030,,,'')":1888.0,"RTX-US^FE_ESTIMATE(INT_EXP,MEAN,ANN_ROLL,2023,46030,,,'')":1512.6666,"RTX-US^FE_ESTIMATE(INT_EXP,MEAN,ANN_ROLL,2022,46030,,,'')":1276.0,"RTX-US^FE_ESTIMATE(EBIT,MEAN,ANN_ROLL,2028,46030,,,'')":14575.434,"RTX-US^FE_ESTIMATE(EBIT,MEAN,ANN_ROLL,2027,46030,,,'')":13586.877,"RTX-US^FE_ESTIMATE(EBIT,MEAN,ANN_ROLL,2026,46030,,,'')":12256.329,"RTX-US^FE_ESTIMATE(EBIT,MEAN,ANN_ROLL,2025,46030,,,'')":11175.232,"RTX-US^FE_ESTIMATE(EBIT,MEAN,ANN_ROLL,2024,46030,,,'')":10183.0,"RTX-US^FE_ESTIMATE(EBIT,MEAN,ANN_ROLL,2023,46030,,,'')":8895.0,"RTX-US^FE_ESTIMATE(EBIT,MEAN,ANN_ROLL,2022,46030,,,'')":7828.25,"RTX-US^FE_ESTIMATE(DEP_AMORT,MEAN,ANN_ROLL,2028,46030,,,'')":4604.0,"RTX-US^FE_ESTIMATE(DEP_AMORT,MEAN,ANN_ROLL,2027,46030,,,'')":3825.32,"RTX-US^FE_ESTIMATE(DEP_AMORT,MEAN,ANN_ROLL,2026,46030,,,'')":3663.8,"RTX-US^FE_ESTIMATE(DEP_AMORT,MEAN,ANN_ROLL,2025,46030,,,'')":3560.3,"RTX-US^FE_ESTIMATE(DEP_AMORT,MEAN,ANN_ROLL,2024,46030,,,'')":4021.0,"RTX-US^FE_ESTIMATE(DEP_AMORT,MEAN,ANN_ROLL,2023,46030,,,'')":3989.0,"RTX-US^FE_ESTIMATE(DEP_AMORT,MEAN,ANN_ROLL,2022,46030,,,'')":3682.3333,"RTX-US^FE_ESTIMATE(EBITDA,MEAN,ANN_ROLL,2028,46030,,,'')":17163.344,"RTX-US^FE_ESTIMATE(EBITDA,MEAN,ANN_ROLL,2027,46030,,,'')":16871.732,"RTX-US^FE_ESTIMATE(EBITDA,MEAN,ANN_ROLL,2026,46030,,,'')":15500.917,"RTX-US^FE_ESTIMATE(EBITDA,MEAN,ANN_ROLL,2025,46030,,,'')":13445.488,"RTX-US^FE_ESTIMATE(EBITDA,MEAN,ANN_ROLL,2024,46030,,,'')":12102.1,"RTX-US^FE_ESTIMATE(EBITDA,MEAN,ANN_ROLL,2023,46030,,,'')":11458.066,"RTX-US^FE_ESTIMATE(EBITDA,MEAN,ANN_ROLL,2022,46030,,,'')":11023.525,"RTX-US^FE_ESTIMATE(OPER_EXP,MEAN,ANN_ROLL,2028,46030,,,'')":null,"RTX-US^FE_ESTIMATE(OPER_EXP,MEAN,ANN_ROLL,2027,46030,,,'')":null,"RTX-US^FE_ESTIMATE(OPER_EXP,MEAN,ANN_ROLL,2026,46030,,,'')":null,"RTX-US^FE_ESTIMATE(OPER_EXP,MEAN,ANN_ROLL,2025,46030,,,'')":null,"RTX-US^FE_ESTIMATE(OPER_EXP,MEAN,ANN_ROLL,2024,46030,,,'')":null,"RTX-US^FE_ESTIMATE(OPER_EXP,MEAN,ANN_ROLL,2023,46030,,,'')":null,"RTX-US^FE_ESTIMATE(OPER_EXP,MEAN,ANN_ROLL,2022,46030,,,'')":null,"RTX-US^FE_ESTIMATE(SOE,MEAN,ANN_ROLL,2028,46030,,,'')":null,"RTX-US^FE_ESTIMATE(SOE,MEAN,ANN_ROLL,2027,46030,,,'')":null,"RTX-US^FE_ESTIMATE(SOE,MEAN,ANN_ROLL,2026,46030,,,'')":null,"RTX-US^FE_ESTIMATE(SOE,MEAN,ANN_ROLL,2025,46030,,,'')":null,"RTX-US^FE_ESTIMATE(SOE,MEAN,ANN_ROLL,2024,46030,,,'')":null,"RTX-US^FE_ESTIMATE(SOE,MEAN,ANN_ROLL,2023,46030,,,'')":null,"RTX-US^FE_ESTIMATE(SOE,MEAN,ANN_ROLL,2022,46030,,,'')":null,"RTX-US^FE_ESTIMATE(RD_EXP,MEAN,ANN_ROLL,2028,46030,,,'')":3728.0,"RTX-US^FE_ESTIMATE(RD_EXP,MEAN,ANN_ROLL,2027,46030,,,'')":2786.0,"RTX-US^FE_ESTIMATE(RD_EXP,MEAN,ANN_ROLL,2026,46030,,,'')":2723.6667,"RTX-US^FE_ESTIMATE(RD_EXP,MEAN,ANN_ROLL,2025,46030,,,'')":2894.6667,"RTX-US^FE_ESTIMATE(RD_EXP,MEAN,ANN_ROLL,2024,46030,,,'')":2934.0,"RTX-US^FE_ESTIMATE(RD_EXP,MEAN,ANN_ROLL,2023,46030,,,'')":2805.0,"RTX-US^FE_ESTIMATE(RD_EXP,MEAN,ANN_ROLL,2022,46030,,,'')":2727.0,"RTX-US^FE_ESTIMATE(G_A_EXP,MEAN,ANN_ROLL,2028,46030,,,'')":null,"RTX-US^FE_ESTIMATE(G_A_EXP,MEAN,ANN_ROLL,2027,46030,,,'')":6327.0,"RTX-US^FE_ESTIMATE(G_A_EXP,MEAN,ANN_ROLL,2026,46030,,,'')":6196.0,"RTX-US^FE_ESTIMATE(G_A_EXP,MEAN,ANN_ROLL,2025,46030,,,'')":6037.5,"RTX-US^FE_ESTIMATE(G_A_EXP,MEAN,ANN_ROLL,2024,46030,,,'')":5806.0,"RTX-US^FE_ESTIMATE(G_A_EXP,MEAN,ANN_ROLL,2023,46030,,,'')":5879.0,"RTX-US^FE_ESTIMATE(G_A_EXP,MEAN,ANN_ROLL,2022,46030,,,'')":5663.0,"RTX-US^FE_ESTIMATE(SGA,MEAN,ANN_ROLL,2028,46030,,,'')":7113.0,"RTX-US^FE_ESTIMATE(SGA,MEAN,ANN_ROLL,2027,46030,,,'')":6860.0,"RTX-US^FE_ESTIMATE(SGA,MEAN,ANN_ROLL,2026,46030,,,'')":6548.0,"RTX-US^FE_ESTIMATE(SGA,MEAN,ANN_ROLL,2025,46030,,,'')":6086.0,"RTX-US^FE_ESTIMATE(SGA,MEAN,ANN_ROLL,2024,46030,,,'')":5806.0,"RTX-US^FE_ESTIMATE(SGA,MEAN,ANN_ROLL,2023,46030,,,'')":5816.0,"RTX-US^FE_ESTIMATE(SGA,MEAN,ANN_ROLL,2022,46030,,,'')":5663.0,"RTX-US^FE_VALUATION(GROSS_MARGIN,MEAN,ANN_ROLL,2028,46030,,,'')/100":null,"RTX-US^FE_VALUATION(GROSS_MARGIN,MEAN,ANN_ROLL,2027,46030,,,'')/100":0.22042792,"RTX-US^FE_VALUATION(GROSS_MARGIN,MEAN,ANN_ROLL,2026,46030,,,'')/100":0.21675092,"RTX-US^FE_VALUATION(GROSS_MARGIN,MEAN,ANN_ROLL,2025,46030,,,'')/100":0.20457926,"RTX-US^FE_VALUATION(GROSS_MARGIN,MEAN,ANN_ROLL,2024,46030,,,'')/100":0.1908519,"RTX-US^FE_VALUATION(GROSS_MARGIN,MEAN,ANN_ROLL,2023,46030,,,'')/100":0.18731354,"RTX-US^FE_VALUATION(GROSS_MARGIN,MEAN,ANN_ROLL,2022,46030,,,'')/100":0.2038495,"RTX-US^FE_ESTIMATE(GROSS_INC,MEAN,ANN_ROLL,2028,46030,,,'')":null,"RTX-US^FE_ESTIMATE(GROSS_INC,MEAN,ANN_ROLL,2027,46030,,,'')":21697.0,"RTX-US^FE_ESTIMATE(GROSS_INC,MEAN,ANN_ROLL,2026,46030,,,'')":20026.0,"RTX-US^FE_ESTIMATE(GROSS_INC,MEAN,ANN_ROLL,2025,46030,,,'')":17787.0,"RTX-US^FE_ESTIMATE(GROSS_INC,MEAN,ANN_ROLL,2024,46030,,,'')":15409.0,"RTX-US^FE_ESTIMATE(GROSS_INC,MEAN,ANN_ROLL,2023,46030,,,'')":13918.333,"RTX-US^FE_ESTIMATE(GROSS_INC,MEAN,ANN_ROLL,2022,46030,,,'')":13673.0,"RTX-US^FE_ESTIMATE(COS,MEAN,ANN_ROLL,2028,46030,,,'')":73374.0,"RTX-US^FE_ESTIMATE(COS,MEAN,ANN_ROLL,2027,46030,,,'')":74693.664,"RTX-US^FE_ESTIMATE(COS,MEAN,ANN_ROLL,2026,46030,,,'')":70841.664,"RTX-US^FE_ESTIMATE(COS,MEAN,ANN_ROLL,2025,46030,,,'')":68424.336,"RTX-US^FE_ESTIMATE(COS,MEAN,ANN_ROLL,2024,46030,,,'')":65328.0,"RTX-US^FE_ESTIMATE(COS,MEAN,ANN_ROLL,2023,46030,,,'')":56696.0,"RTX-US^FE_ESTIMATE(COS,MEAN,ANN_ROLL,2022,46030,,,'')":53127.6,"RTX-US^FE_ESTIMATE(SALES,MEAN,ANN_ROLL,2028,46030,,,'')":102470.4,"RTX-US^FE_ESTIMATE(SALES,MEAN,ANN_ROLL,2027,46030,,,'')":98431.27,"RTX-US^FE_ESTIMATE(SALES,MEAN,ANN_ROLL,2026,46030,,,'')":92391.76,"RTX-US^FE_ESTIMATE(SALES,MEAN,ANN_ROLL,2025,46030,,,'')":86944.3,"RTX-US^FE_ESTIMATE(SALES,MEAN,ANN_ROLL,2024,46030,,,'')":80738.0,"RTX-US^FE_ESTIMATE(SALES,MEAN,ANN_ROLL,2023,46030,,,'')":74305.0,"RTX-US^FE_ESTIMATE(SALES,MEAN,ANN_ROLL,2022,46030,,,'')":67074.0,"RTX-US^FE_ESTIMATE(FCFPS,MEAN,ANN_ROLL,2028,46030,,,'')":8.126667,"RTX-US^FE_ESTIMATE(FCFPS,MEAN,ANN_ROLL,2027,46030,,,'')":7.2500286,"RTX-US^FE_ESTIMATE(FCFPS,MEAN,ANN_ROLL,2026,46030,,,'')":6.3162484,"RTX-US^FE_ESTIMATE(FCFPS,MEAN,ANN_ROLL,2025,46030,,,'')":5.400221,"RTX-US^FE_ESTIMATE(FCFPS,MEAN,ANN_ROLL,2024,46030,,,'')":3.3707526,"RTX-US^FE_ESTIMATE(FCFPS,MEAN,ANN_ROLL,2023,46030,,,'')":3.8284845,"RTX-US^FE_ESTIMATE(FCFPS,MEAN,ANN_ROLL,2022,46030,,,'')":3.2834578,"RTX-US^FE_ESTIMATE(FCF,MEAN,ANN_ROLL,2028,46030,,,'')":10827.187,"RTX-US^FE_ESTIMATE(FCF,MEAN,ANN_ROLL,2027,46030,,,'')":9800.416,"RTX-US^FE_ESTIMATE(FCF,MEAN,ANN_ROLL,2026,46030,,,'')":8565.9375,"RTX-US^FE_ESTIMATE(FCF,MEAN,ANN_ROLL,2025,46030,,,'')":7286.012,"RTX-US^FE_ESTIMATE(FCF,MEAN,ANN_ROLL,2024,46030,,,'')":4534.0,"RTX-US^FE_ESTIMATE(FCF,MEAN,ANN_ROLL,2023,46030,,,'')":5468.0,"RTX-US^FE_ESTIMATE(FCF,MEAN,ANN_ROLL,2022,46030,,,'')":4880.0,"RTX-US^FE_ESTIMATE(DPS,MEAN,ANN_ROLL,2028,46030,,,'')":3.3440163,"RTX-US^FE_ESTIMATE(DPS,MEAN,ANN_ROLL,2027,46030,,,'')":3.0852501,"RTX-US^FE_ESTIMATE(DPS,MEAN,ANN_ROLL,2026,46030,,,'')":2.8526418,"RTX-US^FE_ESTIMATE(DPS,MEAN,ANN_ROLL,2025,46030,,,'')":2.6407077,"RTX-US^FE_ESTIMATE(DPS,MEAN,ANN_ROLL,2024,46030,,,'')":2.4640515,"RTX-US^FE_ESTIMATE(DPS,MEAN,ANN_ROLL,2023,46030,,,'')":2.3056726,"RTX-US^FE_ESTIMATE(DPS,MEAN,ANN_ROLL,2022,46030,,,'')":2.14607,"RTX-US^FE_ESTIMATE(EPS_GAAP,MEAN,ANN_ROLL,2028,46030,,,'')":7.156453,"RTX-US^FE_ESTIMATE(EPS_GAAP,MEAN,ANN_ROLL,2027,46030,,,'')":6.438863,"RTX-US^FE_ESTIMATE(EPS_GAAP,MEAN,ANN_ROLL,2026,46030,,,'')":5.563083,"RTX-US^FE_ESTIMATE(EPS_GAAP,MEAN,ANN_ROLL,2025,46030,,,'')":4.908474,"RTX-US^FE_ESTIMATE(EPS_GAAP,MEAN,ANN_ROLL,2024,46030,,,'')":3.55,"RTX-US^FE_ESTIMATE(EPS_GAAP,MEAN,ANN_ROLL,2023,46030,,,'')":2.23,"RTX-US^FE_ESTIMATE(EPS_GAAP,MEAN,ANN_ROLL,2022,46030,,,'')":3.51,"RTX-US^FE_ESTIMATE(NET_INC_REP,MEAN,ANN_ROLL,2028,46030,,,'')":9953.251,"RTX-US^FE_ESTIMATE(NET_INC_REP,MEAN,ANN_ROLL,2027,46030,,,'')":8728.149,"RTX-US^FE_ESTIMATE(NET_INC_REP,MEAN,ANN_ROLL,2026,46030,,,'')":7508.439,"RTX-US^FE_ESTIMATE(NET_INC_REP,MEAN,ANN_ROLL,2025,46030,,,'')":6656.045,"RTX-US^FE_ESTIMATE(NET_INC_REP,MEAN,ANN_ROLL,2024,46030,,,'')":4774.0,"RTX-US^FE_ESTIMATE(NET_INC_REP,MEAN,ANN_ROLL,2023,46030,,,'')":3195.0,"RTX-US^FE_ESTIMATE(NET_INC_REP,MEAN,ANN_ROLL,2022,46030,,,'')":5216.0,"RTX-US^FE_ESTIMATE(PTX_INC_REP,MEAN,ANN_ROLL,2028,46030,,,'')":12316.061,"RTX-US^FE_ESTIMATE(PTX_INC_REP,MEAN,ANN_ROLL,2027,46030,,,'')":10959.716,"RTX-US^FE_ESTIMATE(PTX_INC_REP,MEAN,ANN_ROLL,2026,46030,,,'')":9735.878,"RTX-US^FE_ESTIMATE(PTX_INC_REP,MEAN,ANN_ROLL,2025,46030,,,'')":8691.631,"RTX-US^FE_ESTIMATE(PTX_INC_REP,MEAN,ANN_ROLL,2024,46030,,,'')":6162.4,"RTX-US^FE_ESTIMATE(PTX_INC_REP,MEAN,ANN_ROLL,2023,46030,,,'')":3791.1428,"RTX-US^FE_ESTIMATE(PTX_INC_REP,MEAN,ANN_ROLL,2022,46030,,,'')":7235.5,"RTX-US^FE_ESTIMATE(EBITDA_REP,MEAN,ANN_ROLL,2028,46030,,,'')":17163.344,"RTX-US^FE_ESTIMATE(EBITDA_REP,MEAN,ANN_ROLL,2027,46030,,,'')":16671.865,"RTX-US^FE_ESTIMATE(EBITDA_REP,MEAN,ANN_ROLL,2026,46030,,,'')":15422.912,"RTX-US^FE_ESTIMATE(EBITDA_REP,MEAN,ANN_ROLL,2025,46030,,,'')":13445.488,"RTX-US^FE_ESTIMATE(EBITDA_REP,MEAN,ANN_ROLL,2024,46030,,,'')":12102.1,"RTX-US^FE_ESTIMATE(EBITDA_REP,MEAN,ANN_ROLL,2023,46030,,,'')":11458.066,"RTX-US^FE_ESTIMATE(EBITDA_REP,MEAN,ANN_ROLL,2022,46030,,,'')":11023.525,"RTX-US^FE_ESTIMATE(EPS,MEAN,ANN_ROLL,2028,46030,,,',CLASS=59,')":null,"RTX-US^FE_ESTIMATE(EPS,MEAN,ANN_ROLL,2027,46030,,,',CLASS=59,')":null,"RTX-US^FE_ESTIMATE(EPS,MEAN,ANN_ROLL,2026,46030,,,',CLASS=59,')":null,"RTX-US^FE_ESTIMATE(EPS,MEAN,ANN_ROLL,2025,46030,,,',CLASS=59,')":null,"RTX-US^FE_ESTIMATE(EPS,MEAN,ANN_ROLL,2024,46030,,,',CLASS=59,')":null,"RTX-US^FE_ESTIMATE(EPS,MEAN,ANN_ROLL,2023,46030,,,',CLASS=59,')":null,"RTX-US^FE_ESTIMATE(EPS,MEAN,ANN_ROLL,2022,46030,,,',CLASS=59,')":null,"RTX-US^FE_ESTIMATE(EPS,MEAN,ANN_ROLL,2028,46030,,,'')":8.148863,"RTX-US^FE_ESTIMATE(EPS,MEAN,ANN_ROLL,2027,46030,,,'')":7.5313168,"RTX-US^FE_ESTIMATE(EPS,MEAN,ANN_ROLL,2026,46030,,,'')":6.7485776,"RTX-US^FE_ESTIMATE(EPS,MEAN,ANN_ROLL,2025,46030,,,'')":6.1912546,"RTX-US^FE_ESTIMATE(EPS,MEAN,ANN_ROLL,2024,46030,,,'')":5.73,"RTX-US^FE_ESTIMATE(EPS,MEAN,ANN_ROLL,2023,46030,,,'')":5.06,"RTX-US^FE_ESTIMATE(EPS,MEAN,ANN_ROLL,2022,46030,,,'')":4.78,"RTX-US^FE_ESTIMATE(FCFPS,MEAN,QTR_ROLL,2025/4F,46030,,,'')":1.9557216,"RTX-US^FE_ESTIMATE(FCF,MEAN,QTR_ROLL,2025/4F,46030,,,'')":2542.0154,"RTX-US^FE_ESTIMATE(CAPEX,MEAN,QTR_ROLL,2025/4F,46030,,,'')":855.96515,"RTX-US^FE_ESTIMATE(CF_OP,MEAN,QTR_ROLL,2025/4F,46030,,,'')":3313.0,"RTX-US^FE_ESTIMATE(NET_DEBT,MEAN,QTR_ROLL,2025/4F,46030,,,'')":31154.0,"RTX-US^FE_ESTIMATE(DEBT,MEAN,QTR_ROLL,2025/4F,46030,,,'')":38059.0,"RTX-US^FE_ESTIMATE(CASH_ST,MEAN,QTR_ROLL,2025/4F,46030,,,'')":7481.0,"RTX-US^FE_ESTIMATE(DPS,MEAN,QTR_ROLL,2025/4F,46030,,,'')":0.66625,"RTX-US^FE_ESTIMATE(EPS_GAAP,MEAN,QTR_ROLL,2025/4F,46030,,,'')":1.1540451,"RTX-US^FE_ESTIMATE(NET_INC_REP,MEAN,QTR_ROLL,2025/4F,46030,,,'')":1571.1022,"RTX-US^FE_ESTIMATE(PTX_INC_REP,MEAN,QTR_ROLL,2025/4F,46030,,,'')":2223.8328,"RTX-US^FE_ESTIMATE(EBITDA_REP,MEAN,QTR_ROLL,2025/4F,46030,,,'')":3490.8723,"RTX-US^FE_ESTIMATE(EPS,MEAN,QTR,2025/4F,46030,,,'CLASS=59')":null,"RTX-US^FE_ESTIMATE(EPS,MEAN,QTR_ROLL,2025/4F,46030,,,'')":1.4696121,"RTX-US^FE_ESTIMATE(NET_INC,MEAN,QTR_ROLL,2025/4F,46030,,,'')":2004.5632,"RTX-US^FE_VALUATION(TAX_RATE,MEAN,QTR_ROLL,2025/4F,46030,,,'')":0.20364283,"RTX-US^FE_ESTIMATE(PTX_INC,MEAN,QTR_ROLL,2025/4F,46030,,,'')":2702.4438,"RTX-US^FE_ESTIMATE(INT_EXP,MEAN,QTR_ROLL,2025/4F,46030,,,'')":447.275,"RTX-US^FE_ESTIMATE(EBIT,MEAN,QTR_ROLL,2025/4F,46030,,,'')":2788.8918,"RTX-US^FE_ESTIMATE(DEP_AMORT,MEAN,QTR_ROLL,2025/4F,46030,,,'')":1032.2,"RTX-US^FE_ESTIMATE(EBITDA,MEAN,QTR_ROLL,2025/4F,46030,,,'')":3490.8723,"RTX-US^FE_ESTIMATE(OPER_EXP,MEAN,QTR_ROLL,2025/4F,46030,,,'')":null,"RTX-US^FE_ESTIMATE(SOE,MEAN,QTR_ROLL,2025/4F,46030,,,'')":null,"RTX-US^FE_ESTIMATE(RD_EXP,MEAN,QTR_ROLL,2025/4F,46030,,,'')":788.3333,"RTX-US^FE_ESTIMATE(G_A_EXP,MEAN,QTR_ROLL,2025/4F,46030,,,'')":1580.5,"RTX-US^FE_ESTIMATE(SGA,MEAN,QTR_ROLL,2025/4F,46030,,,'')":1574.0,"2025/4F^FE_VALUATION(GROSS_MARGIN,MEAN,QTR_ROLL,2025/4F,46030,,,'')/100":null,"RTX-US^FE_ESTIMATE(GROSS_INC,MEAN,QTR_ROLL,2025/4F,46030,,,'')":4716.0,"RTX-US^FE_ESTIMATE(COS,MEAN,QTR_ROLL,2025/4F,46030,,,'')":17677.334,"RTX-US^FE_ESTIMATE(SALES,MEAN,QTR_ROLL,2025/4F,46030,,,'')":22630.977,"RTX-US^FE_ESTIMATE(FCFPS,MEAN,QTR_ROLL,2025/4F,46048,,,'')":1.9119797,"RTX-US^FE_ESTIMATE(FCF,MEAN,QTR_ROLL,2025/4F,46048,,,'')":2518.1462,"RTX-US^FE_ESTIMATE(CAPEX,MEAN,QTR_ROLL,2025/4F,46048,,,'')":855.96515,"RTX-US^FE_ESTIMATE(CF_OP,MEAN,QTR_ROLL,2025/4F,46048,,,'')":3327.75,"RTX-US^FE_ESTIMATE(NET_DEBT,MEAN,QTR_ROLL,2025/4F,46048,,,'')":31154.0,"RTX-US^FE_ESTIMATE(DEBT,MEAN,QTR_ROLL,2025/4F,46048,,,'')":38059.0,"RTX-US^FE_ESTIMATE(CASH_ST,MEAN,QTR_ROLL,2025/4F,46048,,,'')":7481.0,"RTX-US^FE_ESTIMATE(DPS,MEAN,QTR_ROLL,2025/4F,46048,,,'')":0.66625,"RTX-US^FE_ESTIMATE(EPS_GAAP,MEAN,QTR_ROLL,2025/4F,46048,,,'')":1.1376863,"RTX-US^FE_ESTIMATE(NET_INC_REP,MEAN,QTR_ROLL,2025/4F,46048,,,'')":1570.88,"RTX-US^FE_ESTIMATE(PTX_INC_REP,MEAN,QTR_ROLL,2025/4F,46048,,,'')":2360.222,"RTX-US^FE_ESTIMATE(EBITDA_REP,MEAN,QTR_ROLL,2025/4F,46048,,,'')":3495.9849,"RTX-US^FE_ESTIMATE(EPS,MEAN,QTR,2025/4F,46048,,,'CLASS=59')":null,"RTX-US^FE_ESTIMATE(EPS,MEAN,QTR_ROLL,2025/4F,46048,,,'')":1.4712508,"RTX-US^FE_ESTIMATE(NET_INC,MEAN,QTR_ROLL,2025/4F,46048,,,'')":2007.5789,"RTX-US^FE_VALUATION(TAX_RATE,MEAN,QTR_ROLL,2025/4F,46048,,,'')":0.20351575,"RTX-US^FE_ESTIMATE(PTX_INC,MEAN,QTR_ROLL,2025/4F,46048,,,'')":2703.5854,"RTX-US^FE_ESTIMATE(INT_EXP,MEAN,QTR_ROLL,2025/4F,46048,,,'')":447.275,"RTX-US^FE_ESTIMATE(EBIT,MEAN,QTR_ROLL,2025/4F,46048,,,'')":2796.1545,"RTX-US^FE_ESTIMATE(DEP_AMORT,MEAN,QTR_ROLL,2025/4F,46048,,,'')":1032.2,"RTX-US^FE_ESTIMATE(EBITDA,MEAN,QTR_ROLL,2025/4F,46048,,,'')":3495.9849,"RTX-US^FE_ESTIMATE(OPER_EXP,MEAN,QTR_ROLL,2025/4F,46048,,,'')":null,"RTX-US^FE_ESTIMATE(SOE,MEAN,QTR_ROLL,2025/4F,46048,,,'')":null,"RTX-US^FE_ESTIMATE(RD_EXP,MEAN,QTR_ROLL,2025/4F,46048,,,'')":788.6667,"RTX-US^FE_ESTIMATE(G_A_EXP,MEAN,QTR_ROLL,2025/4F,46048,,,'')":1581.5,"RTX-US^FE_ESTIMATE(SGA,MEAN,QTR_ROLL,2025/4F,46048,,,'')":1574.0,"2025/4F^FE_VALUATION(GROSS_MARGIN,MEAN,QTR_ROLL,2025/4F,46048,,,'')/100":null,"RTX-US^FE_ESTIMATE(GROSS_INC,MEAN,QTR_ROLL,2025/4F,46048,,,'')":4716.0,"RTX-US^FE_ESTIMATE(COS,MEAN,QTR_ROLL,2025/4F,46048,,,'')":17685.0,"RTX-US^FE_ESTIMATE(SALES,MEAN,QTR_ROLL,2025/4F,46048,,,'')":22697.824,"RTX-US^FE_ESTIMATE(NET_INC,MEAN,ANN_ROLL,2028,46048,,,'')":11148.151,"RTX-US^FE_ESTIMATE(NET_INC,MEAN,ANN_ROLL,2027,46048,,,'')":10290.771,"RTX-US^FE_ESTIMATE(NET_INC,MEAN,ANN_ROLL,2026,46048,,,'')":9184.138,"RTX-US^FE_ESTIMATE(NET_INC,MEAN,ANN_ROLL,2025,46048,,,'')":8401.985,"RTX-US^FE_ESTIMATE(NET_INC,MEAN,ANN_ROLL,2024,46048,,,'')":7705.0,"RTX-US^FE_ESTIMATE(NET_INC,MEAN,ANN_ROLL,2023,46048,,,'')":7263.0,"RTX-US^FE_ESTIMATE(NET_INC,MEAN,ANN_ROLL,2022,46048,,,'')":7098.0,"RTX-US^FE_VALUATION(TAX_RATE,MEAN,ANN_ROLL,2028,46048,,,'')":0.18780136,"RTX-US^FE_VALUATION(TAX_RATE,MEAN,ANN_ROLL,2027,46048,,,'')":0.18572423,"RTX-US^FE_VALUATION(TAX_RATE,MEAN,ANN_ROLL,2026,46048,,,'')":0.1804005,"RTX-US^FE_VALUATION(TAX_RATE,MEAN,ANN_ROLL,2025,46048,,,'')":0.16741323,"RTX-US^FE_VALUATION(TAX_RATE,MEAN,ANN_ROLL,2024,46048,,,'')":0.15274101,"RTX-US^FE_VALUATION(TAX_RATE,MEAN,ANN_ROLL,2023,46048,,,'')":0.10869081,"RTX-US^FE_VALUATION(TAX_RATE,MEAN,ANN_ROLL,2022,46048,,,'')":0.13594484,"RTX-US^FE_ESTIMATE(PTX_INC,MEAN,ANN_ROLL,2028,46048,,,'')":14359.144,"RTX-US^FE_ESTIMATE(PTX_INC,MEAN,ANN_ROLL,2027,46048,,,'')":13198.78,"RTX-US^FE_ESTIMATE(PTX_INC,MEAN,ANN_ROLL,2026,46048,,,'')":11768.397,"RTX-US^FE_ESTIMATE(PTX_INC,MEAN,ANN_ROLL,2025,46048,,,'')":10822.944,"RTX-US^FE_ESTIMATE(PTX_INC,MEAN,ANN_ROLL,2024,46048,,,'')":9760.3125,"RTX-US^FE_ESTIMATE(PTX_INC,MEAN,ANN_ROLL,2023,46048,,,'')":9073.444,"RTX-US^FE_ESTIMATE(PTX_INC,MEAN,ANN_ROLL,2022,46048,,,'')":7447.8735,"RTX-US^FE_ESTIMATE(INT_EXP,MEAN,ANN_ROLL,2028,46048,,,'')":1700.0,"RTX-US^FE_ESTIMATE(INT_EXP,MEAN,ANN_ROLL,2027,46048,,,'')":1651.4342,"RTX-US^FE_ESTIMATE(INT_EXP,MEAN,ANN_ROLL,2026,46048,,,'')":1737.2393,"RTX-US^FE_ESTIMATE(INT_EXP,MEAN,ANN_ROLL,2025,46048,,,'')":1806.9298,"RTX-US^FE_ESTIMATE(INT_EXP,MEAN,ANN_ROLL,2024,46048,,,'')":1888.0,"RTX-US^FE_ESTIMATE(INT_EXP,MEAN,ANN_ROLL,2023,46048,,,'')":1512.6666,"RTX-US^FE_ESTIMATE(INT_EXP,MEAN,ANN_ROLL,2022,46048,,,'')":1276.0,"RTX-US^FE_ESTIMATE(EBIT,MEAN,ANN_ROLL,2028,46048,,,'')":14461.934,"RTX-US^FE_ESTIMATE(EBIT,MEAN,ANN_ROLL,2027,46048,,,'')":13573.421,"RTX-US^FE_ESTIMATE(EBIT,MEAN,ANN_ROLL,2026,46048,,,'')":12245.624,"RTX-US^FE_ESTIMATE(EBIT,MEAN,ANN_ROLL,2025,46048,,,'')":11186.243,"RTX-US^FE_ESTIMATE(EBIT,MEAN,ANN_ROLL,2024,46048,,,'')":10183.0,"RTX-US^FE_ESTIMATE(EBIT,MEAN,ANN_ROLL,2023,46048,,,'')":8895.0,"RTX-US^FE_ESTIMATE(EBIT,MEAN,ANN_ROLL,2022,46048,,,'')":7828.25,"RTX-US^FE_ESTIMATE(DEP_AMORT,MEAN,ANN_ROLL,2028,46048,,,'')":4604.0,"RTX-US^FE_ESTIMATE(DEP_AMORT,MEAN,ANN_ROLL,2027,46048,,,'')":4208.47,"RTX-US^FE_ESTIMATE(DEP_AMORT,MEAN,ANN_ROLL,2026,46048,,,'')":4069.656,"RTX-US^FE_ESTIMATE(DEP_AMORT,MEAN,ANN_ROLL,2025,46048,,,'')":3958.562,"RTX-US^FE_ESTIMATE(DEP_AMORT,MEAN,ANN_ROLL,2024,46048,,,'')":4021.0,"RTX-US^FE_ESTIMATE(DEP_AMORT,MEAN,ANN_ROLL,2023,46048,,,'')":3989.0,"RTX-US^FE_ESTIMATE(DEP_AMORT,MEAN,ANN_ROLL,2022,46048,,,'')":3682.3333,"RTX-US^FE_ESTIMATE(EBITDA,MEAN,ANN_ROLL,2028,46048,,,'')":17105.344,"RTX-US^FE_ESTIMATE(EBITDA,MEAN,ANN_ROLL,2027,46048,,,'')":16807.727,"RTX-US^FE_ESTIMATE(EBITDA,MEAN,ANN_ROLL,2026,46048,,,'')":15508.483,"RTX-US^FE_ESTIMATE(EBITDA,MEAN,ANN_ROLL,2025,46048,,,'')":13446.685,"RTX-US^FE_ESTIMATE(EBITDA,MEAN,ANN_ROLL,2024,46048,,,'')":12102.1,"RTX-US^FE_ESTIMATE(EBITDA,MEAN,ANN_ROLL,2023,46048,,,'')":11458.066,"RTX-US^FE_ESTIMATE(EBITDA,MEAN,ANN_ROLL,2022,46048,,,'')":11023.525,"RTX-US^FE_ESTIMATE(OPER_EXP,MEAN,ANN_ROLL,2028,46048,,,'')":null,"RTX-US^FE_ESTIMATE(OPER_EXP,MEAN,ANN_ROLL,2027,46048,,,'')":null,"RTX-US^FE_ESTIMATE(OPER_EXP,MEAN,ANN_ROLL,2026,46048,,,'')":null,"RTX-US^FE_ESTIMATE(OPER_EXP,MEAN,ANN_ROLL,2025,46048,,,'')":null,"RTX-US^FE_ESTIMATE(OPER_EXP,MEAN,ANN_ROLL,2024,46048,,,'')":null,"RTX-US^FE_ESTIMATE(OPER_EXP,MEAN,ANN_ROLL,2023,46048,,,'')":null,"RTX-US^FE_ESTIMATE(OPER_EXP,MEAN,ANN_ROLL,2022,46048,,,'')":null,"RTX-US^FE_ESTIMATE(SOE,MEAN,ANN_ROLL,2028,46048,,,'')":null,"RTX-US^FE_ESTIMATE(SOE,MEAN,ANN_ROLL,2027,46048,,,'')":null,"RTX-US^FE_ESTIMATE(SOE,MEAN,ANN_ROLL,2026,46048,,,'')":null,"RTX-US^FE_ESTIMATE(SOE,MEAN,ANN_ROLL,2025,46048,,,'')":null,"RTX-US^FE_ESTIMATE(SOE,MEAN,ANN_ROLL,2024,46048,,,'')":null,"RTX-US^FE_ESTIMATE(SOE,MEAN,ANN_ROLL,2023,46048,,,'')":null,"RTX-US^FE_ESTIMATE(SOE,MEAN,ANN_ROLL,2022,46048,,,'')":null,"RTX-US^FE_ESTIMATE(RD_EXP,MEAN,ANN_ROLL,2028,46048,,,'')":3728.0,"RTX-US^FE_ESTIMATE(RD_EXP,MEAN,ANN_ROLL,2027,46048,,,'')":2786.6667,"RTX-US^FE_ESTIMATE(RD_EXP,MEAN,ANN_ROLL,2026,46048,,,'')":2724.0,"RTX-US^FE_ESTIMATE(RD_EXP,MEAN,ANN_ROLL,2025,46048,,,'')":2895.0,"RTX-US^FE_ESTIMATE(RD_EXP,MEAN,ANN_ROLL,2024,46048,,,'')":2934.0,"RTX-US^FE_ESTIMATE(RD_EXP,MEAN,ANN_ROLL,2023,46048,,,'')":2805.0,"RTX-US^FE_ESTIMATE(RD_EXP,MEAN,ANN_ROLL,2022,46048,,,'')":2727.0,"RTX-US^FE_ESTIMATE(G_A_EXP,MEAN,ANN_ROLL,2028,46048,,,'')":null,"RTX-US^FE_ESTIMATE(G_A_EXP,MEAN,ANN_ROLL,2027,46048,,,'')":6328.0,"RTX-US^FE_ESTIMATE(G_A_EXP,MEAN,ANN_ROLL,2026,46048,,,'')":6197.5,"RTX-US^FE_ESTIMATE(G_A_EXP,MEAN,ANN_ROLL,2025,46048,,,'')":6038.5,"RTX-US^FE_ESTIMATE(G_A_EXP,MEAN,ANN_ROLL,2024,46048,,,'')":5806.0,"RTX-US^FE_ESTIMATE(G_A_EXP,MEAN,ANN_ROLL,2023,46048,,,'')":5879.0,"RTX-US^FE_ESTIMATE(G_A_EXP,MEAN,ANN_ROLL,2022,46048,,,'')":5663.0,"RTX-US^FE_ESTIMATE(SGA,MEAN,ANN_ROLL,2028,46048,,,'')":7113.0,"RTX-US^FE_ESTIMATE(SGA,MEAN,ANN_ROLL,2027,46048,,,'')":6860.0,"RTX-US^FE_ESTIMATE(SGA,MEAN,ANN_ROLL,2026,46048,,,'')":6548.0,"RTX-US^FE_ESTIMATE(SGA,MEAN,ANN_ROLL,2025,46048,,,'')":6086.0,"RTX-US^FE_ESTIMATE(SGA,MEAN,ANN_ROLL,2024,46048,,,'')":5806.0,"RTX-US^FE_ESTIMATE(SGA,MEAN,ANN_ROLL,2023,46048,,,'')":5816.0,"RTX-US^FE_ESTIMATE(SGA,MEAN,ANN_ROLL,2022,46048,,,'')":5663.0,"RTX-US^FE_VALUATION(GROSS_MARGIN,MEAN,ANN_ROLL,2028,46048,,,'')/100":null,"RTX-US^FE_VALUATION(GROSS_MARGIN,MEAN,ANN_ROLL,2027,46048,,,'')/100":0.2199472,"RTX-US^FE_VALUATION(GROSS_MARGIN,MEAN,ANN_ROLL,2026,46048,,,'')/100":0.21651682,"RTX-US^FE_VALUATION(GROSS_MARGIN,MEAN,ANN_ROLL,2025,46048,,,'')/100":0.20439255,"RTX-US^FE_VALUATION(GROSS_MARGIN,MEAN,ANN_ROLL,2024,46048,,,'')/100":0.1908519,"RTX-US^FE_VALUATION(GROSS_MARGIN,MEAN,ANN_ROLL,2023,46048,,,'')/100":0.18731354,"RTX-US^FE_VALUATION(GROSS_MARGIN,MEAN,ANN_ROLL,2022,46048,,,'')/100":0.2038495,"RTX-US^FE_ESTIMATE(GROSS_INC,MEAN,ANN_ROLL,2028,46048,,,'')":null,"RTX-US^FE_ESTIMATE(GROSS_INC,MEAN,ANN_ROLL,2027,46048,,,'')":21700.0,"RTX-US^FE_ESTIMATE(GROSS_INC,MEAN,ANN_ROLL,2026,46048,,,'')":20028.0,"RTX-US^FE_ESTIMATE(GROSS_INC,MEAN,ANN_ROLL,2025,46048,,,'')":17787.0,"RTX-US^FE_ESTIMATE(GROSS_INC,MEAN,ANN_ROLL,2024,46048,,,'')":15409.0,"RTX-US^FE_ESTIMATE(GROSS_INC,MEAN,ANN_ROLL,2023,46048,,,'')":13918.333,"RTX-US^FE_ESTIMATE(GROSS_INC,MEAN,ANN_ROLL,2022,46048,,,'')":13673.0,"RTX-US^FE_ESTIMATE(COS,MEAN,ANN_ROLL,2028,46048,,,'')":73824.0,"RTX-US^FE_ESTIMATE(COS,MEAN,ANN_ROLL,2027,46048,,,'')":74839.336,"RTX-US^FE_ESTIMATE(COS,MEAN,ANN_ROLL,2026,46048,,,'')":70952.0,"RTX-US^FE_ESTIMATE(COS,MEAN,ANN_ROLL,2025,46048,,,'')":68432.0,"RTX-US^FE_ESTIMATE(COS,MEAN,ANN_ROLL,2024,46048,,,'')":65328.0,"RTX-US^FE_ESTIMATE(COS,MEAN,ANN_ROLL,2023,46048,,,'')":56696.0,"RTX-US^FE_ESTIMATE(COS,MEAN,ANN_ROLL,2022,46048,,,'')":53127.6,"RTX-US^FE_ESTIMATE(SALES,MEAN,ANN_ROLL,2028,46048,,,'')":102521.71,"RTX-US^FE_ESTIMATE(SALES,MEAN,ANN_ROLL,2027,46048,,,'')":98660.04,"RTX-US^FE_ESTIMATE(SALES,MEAN,ANN_ROLL,2026,46048,,,'')":92500.9,"RTX-US^FE_ESTIMATE(SALES,MEAN,ANN_ROLL,2025,46048,,,'')":87023.72,"RTX-US^FE_ESTIMATE(SALES,MEAN,ANN_ROLL,2024,46048,,,'')":80738.0,"RTX-US^FE_ESTIMATE(SALES,MEAN,ANN_ROLL,2023,46048,,,'')":74305.0,"RTX-US^FE_ESTIMATE(SALES,MEAN,ANN_ROLL,2022,46048,,,'')":67074.0,"RTX-US^FE_ESTIMATE(FCFPS,MEAN,ANN_ROLL,2028,46048,,,'')":8.033334,"RTX-US^FE_ESTIMATE(FCFPS,MEAN,ANN_ROLL,2027,46048,,,'')":7.2037783,"RTX-US^FE_ESTIMATE(FCFPS,MEAN,ANN_ROLL,2026,46048,,,'')":6.2837486,"RTX-US^FE_ESTIMATE(FCFPS,MEAN,ANN_ROLL,2025,46048,,,'')":5.386278,"RTX-US^FE_ESTIMATE(FCFPS,MEAN,ANN_ROLL,2024,46048,,,'')":3.3707526,"RTX-US^FE_ESTIMATE(FCFPS,MEAN,ANN_ROLL,2023,46048,,,'')":3.8284845,"RTX-US^FE_ESTIMATE(FCFPS,MEAN,ANN_ROLL,2022,46048,,,'')":3.2834578,"RTX-US^FE_ESTIMATE(FCF,MEAN,ANN_ROLL,2028,46048,,,'')":10773.786,"RTX-US^FE_ESTIMATE(FCF,MEAN,ANN_ROLL,2027,46048,,,'')":9789.054,"RTX-US^FE_ESTIMATE(FCF,MEAN,ANN_ROLL,2026,46048,,,'')":8554.514,"RTX-US^FE_ESTIMATE(FCF,MEAN,ANN_ROLL,2025,46048,,,'')":7275.9414,"RTX-US^FE_ESTIMATE(FCF,MEAN,ANN_ROLL,2024,46048,,,'')":4534.0,"RTX-US^FE_ESTIMATE(FCF,MEAN,ANN_ROLL,2023,46048,,,'')":5468.0,"RTX-US^FE_ESTIMATE(FCF,MEAN,ANN_ROLL,2022,46048,,,'')":4880.0,"RTX-US^FE_ESTIMATE(DPS,MEAN,ANN_ROLL,2028,46048,,,'')":3.3440163,"RTX-US^FE_ESTIMATE(DPS,MEAN,ANN_ROLL,2027,46048,,,'')":3.0852501,"RTX-US^FE_ESTIMATE(DPS,MEAN,ANN_ROLL,2026,46048,,,'')":2.8526418,"RTX-US^FE_ESTIMATE(DPS,MEAN,ANN_ROLL,2025,46048,,,'')":2.6407077,"RTX-US^FE_ESTIMATE(DPS,MEAN,ANN_ROLL,2024,46048,,,'')":2.4640515,"RTX-US^FE_ESTIMATE(DPS,MEAN,ANN_ROLL,2023,46048,,,'')":2.3056726,"RTX-US^FE_ESTIMATE(DPS,MEAN,ANN_ROLL,2022,46048,,,'')":2.14607,"RTX-US^FE_ESTIMATE(EPS_GAAP,MEAN,ANN_ROLL,2028,46048,,,'')":7.156453,"RTX-US^FE_ESTIMATE(EPS_GAAP,MEAN,ANN_ROLL,2027,46048,,,'')":6.438863,"RTX-US^FE_ESTIMATE(EPS_GAAP,MEAN,ANN_ROLL,2026,46048,,,'')":5.5533404,"RTX-US^FE_ESTIMATE(EPS_GAAP,MEAN,ANN_ROLL,2025,46048,,,'')":4.8933372,"RTX-US^FE_ESTIMATE(EPS_GAAP,MEAN,ANN_ROLL,2024,46048,,,'')":3.55,"RTX-US^FE_ESTIMATE(EPS_GAAP,MEAN,ANN_ROLL,2023,46048,,,'')":2.23,"RTX-US^FE_ESTIMATE(EPS_GAAP,MEAN,ANN_ROLL,2022,46048,,,'')":3.51,"RTX-US^FE_ESTIMATE(NET_INC_REP,MEAN,ANN_ROLL,2028,46048,,,'')":9953.251,"RTX-US^FE_ESTIMATE(NET_INC_REP,MEAN,ANN_ROLL,2027,46048,,,'')":8727.982,"RTX-US^FE_ESTIMATE(NET_INC_REP,MEAN,ANN_ROLL,2026,46048,,,'')":7508.339,"RTX-US^FE_ESTIMATE(NET_INC_REP,MEAN,ANN_ROLL,2025,46048,,,'')":6655.8447,"RTX-US^FE_ESTIMATE(NET_INC_REP,MEAN,ANN_ROLL,2024,46048,,,'')":4774.0,"RTX-US^FE_ESTIMATE(NET_INC_REP,MEAN,ANN_ROLL,2023,46048,,,'')":3195.0,"RTX-US^FE_ESTIMATE(NET_INC_REP,MEAN,ANN_ROLL,2022,46048,,,'')":5216.0,"RTX-US^FE_ESTIMATE(PTX_INC_REP,MEAN,ANN_ROLL,2028,46048,,,'')":12316.061,"RTX-US^FE_ESTIMATE(PTX_INC_REP,MEAN,ANN_ROLL,2027,46048,,,'')":10976.254,"RTX-US^FE_ESTIMATE(PTX_INC_REP,MEAN,ANN_ROLL,2026,46048,,,'')":10048.79,"RTX-US^FE_ESTIMATE(PTX_INC_REP,MEAN,ANN_ROLL,2025,46048,,,'')":8991.236,"RTX-US^FE_ESTIMATE(PTX_INC_REP,MEAN,ANN_ROLL,2024,46048,,,'')":6162.4,"RTX-US^FE_ESTIMATE(PTX_INC_REP,MEAN,ANN_ROLL,2023,46048,,,'')":3791.1428,"RTX-US^FE_ESTIMATE(PTX_INC_REP,MEAN,ANN_ROLL,2022,46048,,,'')":7235.5,"RTX-US^FE_ESTIMATE(EBITDA_REP,MEAN,ANN_ROLL,2028,46048,,,'')":17105.344,"RTX-US^FE_ESTIMATE(EBITDA_REP,MEAN,ANN_ROLL,2027,46048,,,'')":16677.705,"RTX-US^FE_ESTIMATE(EBITDA_REP,MEAN,ANN_ROLL,2026,46048,,,'')":15413.139,"RTX-US^FE_ESTIMATE(EBITDA_REP,MEAN,ANN_ROLL,2025,46048,,,'')":13446.685,"RTX-US^FE_ESTIMATE(EBITDA_REP,MEAN,ANN_ROLL,2024,46048,,,'')":12102.1,"RTX-US^FE_ESTIMATE(EBITDA_REP,MEAN,ANN_ROLL,2023,46048,,,'')":11458.066,"RTX-US^FE_ESTIMATE(EBITDA_REP,MEAN,ANN_ROLL,2022,46048,,,'')":11023.525,"RTX-US^FE_ESTIMATE(EPS,MEAN,ANN_ROLL,2028,46048,,,',CLASS=59,')":null,"RTX-US^FE_ESTIMATE(EPS,MEAN,ANN_ROLL,2027,46048,,,',CLASS=59,')":null,"RTX-US^FE_ESTIMATE(EPS,MEAN,ANN_ROLL,2026,46048,,,',CLASS=59,')":null,"RTX-US^FE_ESTIMATE(EPS,MEAN,ANN_ROLL,2025,46048,,,',CLASS=59,')":null,"RTX-US^FE_ESTIMATE(EPS,MEAN,ANN_ROLL,2024,46048,,,',CLASS=59,')":null,"RTX-US^FE_ESTIMATE(EPS,MEAN,ANN_ROLL,2023,46048,,,',CLASS=59,')":null,"RTX-US^FE_ESTIMATE(EPS,MEAN,ANN_ROLL,2022,46048,,,',CLASS=59,')":null,"RTX-US^FE_ESTIMATE(EPS,MEAN,ANN_ROLL,2028,46048,,,'')":8.114051,"RTX-US^FE_ESTIMATE(EPS,MEAN,ANN_ROLL,2027,46048,,,'')":7.497604,"RTX-US^FE_ESTIMATE(EPS,MEAN,ANN_ROLL,2026,46048,,,'')":6.7134867,"RTX-US^FE_ESTIMATE(EPS,MEAN,ANN_ROLL,2025,46048,,,'')":6.2106037,"RTX-US^FE_ESTIMATE(EPS,MEAN,ANN_ROLL,2024,46048,,,'')":5.73,"RTX-US^FE_ESTIMATE(EPS,MEAN,ANN_ROLL,2023,46048,,,'')":5.06,"RTX-US^FE_ESTIMATE(EPS,MEAN,ANN_ROLL,2022,46048,,,'')":4.78,"RTX-US^FE_ESTIMATE(FCFPS,MEAN,QTR_ROLL,2026/1F,46093,,,'')":0.40296835,"RTX-US^FE_ESTIMATE(FCF,MEAN,QTR_ROLL,2026/1F,46093,,,'')":556.5776,"RTX-US^FE_ESTIMATE(CAPEX,MEAN,QTR_ROLL,2026/1F,46093,,,'')":714.00903,"RTX-US^FE_ESTIMATE(CF_OP,MEAN,QTR_ROLL,2026/1F,46093,,,'')":1053.6666,"RTX-US^FE_ESTIMATE(NET_DEBT,MEAN,QTR_ROLL,2026/1F,46093,,,'')":31401.0,"RTX-US^FE_ESTIMATE(DEBT,MEAN,QTR_ROLL,2026/1F,46093,,,'')":37404.0,"RTX-US^FE_ESTIMATE(CASH_ST,MEAN,QTR_ROLL,2026/1F,46093,,,'')":6233.6665,"RTX-US^FE_ESTIMATE(DPS,MEAN,QTR_ROLL,2026/1F,46093,,,'')":0.67,"RTX-US^FE_ESTIMATE(EPS_GAAP,MEAN,QTR_ROLL,2026/1F,46093,,,'')":1.2059735,"RTX-US^FE_ESTIMATE(NET_INC_REP,MEAN,QTR_ROLL,2026/1F,46093,,,'')":1702.2659,"RTX-US^FE_ESTIMATE(PTX_INC_REP,MEAN,QTR_ROLL,2026/1F,46093,,,'')":2241.7605,"RTX-US^FE_ESTIMATE(EBITDA_REP,MEAN,QTR_ROLL,2026/1F,46093,,,'')":3411.2441,"RTX-US^FE_ESTIMATE(EPS,MEAN,QTR,2026/1F,46093,,,'CLASS=59')":null,"RTX-US^FE_ESTIMATE(EPS,MEAN,QTR_ROLL,2026/1F,46093,,,'')":1.4947497,"RTX-US^FE_ESTIMATE(NET_INC,MEAN,QTR_ROLL,2026/1F,46093,,,'')":2019.8424,"RTX-US^FE_VALUATION(TAX_RATE,MEAN,QTR_ROLL,2026/1F,46093,,,'')":0.16835865,"RTX-US^FE_ESTIMATE(PTX_INC,MEAN,QTR_ROLL,2026/1F,46093,,,'')":2599.8071,"RTX-US^FE_ESTIMATE(INT_EXP,MEAN,QTR_ROLL,2026/1F,46093,,,'')":438.0,"RTX-US^FE_ESTIMATE(EBIT,MEAN,QTR_ROLL,2026/1F,46093,,,'')":2697.346,"RTX-US^FE_ESTIMATE(DEP_AMORT,MEAN,QTR_ROLL,2026/1F,46093,,,'')":949.0,"RTX-US^FE_ESTIMATE(EBITDA,MEAN,QTR_ROLL,2026/1F,46093,,,'')":3411.2441,"RTX-US^FE_ESTIMATE(OPER_EXP,MEAN,QTR_ROLL,2026/1F,46093,,,'')":null,"RTX-US^FE_ESTIMATE(SOE,MEAN,QTR_ROLL,2026/1F,46093,,,'')":null,"RTX-US^FE_ESTIMATE(RD_EXP,MEAN,QTR_ROLL,2026/1F,46093,,,'')":623.6667,"RTX-US^FE_ESTIMATE(G_A_EXP,MEAN,QTR_ROLL,2026/1F,46093,,,'')":1455.0,"RTX-US^FE_ESTIMATE(SGA,MEAN,QTR_ROLL,2026/1F,46093,,,'')":1543.0,"2026/1F^FE_VALUATION(GROSS_MARGIN,MEAN,QTR_ROLL,2026/1F,46093,,,'')/100":null,"RTX-US^FE_ESTIMATE(GROSS_INC,MEAN,QTR_ROLL,2026/1F,46093,,,'')":4447.0,"RTX-US^FE_ESTIMATE(COS,MEAN,QTR_ROLL,2026/1F,46093,,,'')":17219.0,"RTX-US^FE_ESTIMATE(SALES,MEAN,QTR_ROLL,2026/1F,46093,,,'')":21368.818,"RTX-US^FE_ESTIMATE(FCFPS,MEAN,QTR_ROLL,2026/1F,46111,,,'')":0.40296835,"RTX-US^FE_ESTIMATE(FCF,MEAN,QTR_ROLL,2026/1F,46111,,,'')":556.5776,"RTX-US^FE_ESTIMATE(CAPEX,MEAN,QTR_ROLL,2026/1F,46111,,,'')":714.69507,"RTX-US^FE_ESTIMATE(CF_OP,MEAN,QTR_ROLL,2026/1F,46111,,,'')":1053.6666,"RTX-US^FE_ESTIMATE(NET_DEBT,MEAN,QTR_ROLL,2026/1F,46111,,,'')":31401.0,"RTX-US^FE_ESTIMATE(DEBT,MEAN,QTR_ROLL,2026/1F,46111,,,'')":37404.0,"RTX-US^FE_ESTIMATE(CASH_ST,MEAN,QTR_ROLL,2026/1F,46111,,,'')":6233.6665,"RTX-US^FE_ESTIMATE(DPS,MEAN,QTR_ROLL,2026/1F,46111,,,'')":0.67,"RTX-US^FE_ESTIMATE(EPS_GAAP,MEAN,QTR_ROLL,2026/1F,46111,,,'')":1.2079479,"RTX-US^FE_ESTIMATE(NET_INC_REP,MEAN,QTR_ROLL,2026/1F,46111,,,'')":1705.56,"RTX-US^FE_ESTIMATE(PTX_INC_REP,MEAN,QTR_ROLL,2026/1F,46111,,,'')":2241.7605,"RTX-US^FE_ESTIMATE(EBITDA_REP,MEAN,QTR_ROLL,2026/1F,46111,,,'')":3414.2021,"RTX-US^FE_ESTIMATE(EPS,MEAN,QTR,2026/1F,46111,,,'CLASS=59')":null,"RTX-US^FE_ESTIMATE(EPS,MEAN,QTR_ROLL,2026/1F,46111,,,'')":1.4959563,"RTX-US^FE_ESTIMATE(NET_INC,MEAN,QTR_ROLL,2026/1F,46111,,,'')":2022.123,"RTX-US^FE_VALUATION(TAX_RATE,MEAN,QTR_ROLL,2026/1F,46111,,,'')":0.16805515,"RTX-US^FE_ESTIMATE(PTX_INC,MEAN,QTR_ROLL,2026/1F,46111,,,'')":2604.5022,"RTX-US^FE_ESTIMATE(INT_EXP,MEAN,QTR_ROLL,2026/1F,46111,,,'')":438.0,"RTX-US^FE_ESTIMATE(EBIT,MEAN,QTR_ROLL,2026/1F,46111,,,'')":2699.4888,"RTX-US^FE_ESTIMATE(DEP_AMORT,MEAN,QTR_ROLL,2026/1F,46111,,,'')":949.0,"RTX-US^FE_ESTIMATE(EBITDA,MEAN,QTR_ROLL,2026/1F,46111,,,'')":3414.2021,"RTX-US^FE_ESTIMATE(OPER_EXP,MEAN,QTR_ROLL,2026/1F,46111,,,'')":null,"RTX-US^FE_ESTIMATE(SOE,MEAN,QTR_ROLL,2026/1F,46111,,,'')":null,"RTX-US^FE_ESTIMATE(RD_EXP,MEAN,QTR_ROLL,2026/1F,46111,,,'')":623.6667,"RTX-US^FE_ESTIMATE(G_A_EXP,MEAN,QTR_ROLL,2026/1F,46111,,,'')":1455.0,"RTX-US^FE_ESTIMATE(SGA,MEAN,QTR_ROLL,2026/1F,46111,,,'')":1543.0,"2026/1F^FE_VALUATION(GROSS_MARGIN,MEAN,QTR_ROLL,2026/1F,46111,,,'')/100":null,"RTX-US^FE_ESTIMATE(GROSS_INC,MEAN,QTR_ROLL,2026/1F,46111,,,'')":4447.0,"RTX-US^FE_ESTIMATE(COS,MEAN,QTR_ROLL,2026/1F,46111,,,'')":17219.0,"RTX-US^FE_ESTIMATE(SALES,MEAN,QTR_ROLL,2026/1F,46111,,,'')":21379.816,"RTX-US^FE_ESTIMATE(FCFPS,MEAN,QTR_ROLL,2026/1F,46127,,,'')":0.31076565,"RTX-US^FE_ESTIMATE(FCF,MEAN,QTR_ROLL,2026/1F,46127,,,'')":322.3922,"RTX-US^FE_ESTIMATE(CAPEX,MEAN,QTR_ROLL,2026/1F,46127,,,'')":714.69507,"RTX-US^FE_ESTIMATE(CF_OP,MEAN,QTR_ROLL,2026/1F,46127,,,'')":1045.6666,"RTX-US^FE_ESTIMATE(NET_DEBT,MEAN,QTR_ROLL,2026/1F,46127,,,'')":31397.0,"RTX-US^FE_ESTIMATE(DEBT,MEAN,QTR_ROLL,2026/1F,46127,,,'')":37404.0,"RTX-US^FE_ESTIMATE(CASH_ST,MEAN,QTR_ROLL,2026/1F,46127,,,'')":6235.0,"RTX-US^FE_ESTIMATE(DPS,MEAN,QTR_ROLL,2026/1F,46127,,,'')":0.67125,"RTX-US^FE_ESTIMATE(EPS_GAAP,MEAN,QTR_ROLL,2026/1F,46127,,,'')":1.21196,"RTX-US^FE_ESTIMATE(NET_INC_REP,MEAN,QTR_ROLL,2026/1F,46127,,,'')":1703.7369,"RTX-US^FE_ESTIMATE(PTX_INC_REP,MEAN,QTR_ROLL,2026/1F,46127,,,'')":2278.5803,"RTX-US^FE_ESTIMATE(EBITDA_REP,MEAN,QTR_ROLL,2026/1F,46127,,,'')":3419.2163,"RTX-US^FE_ESTIMATE(EPS,MEAN,QTR,2026/1F,46127,,,'CLASS=59')":null,"RTX-US^FE_ESTIMATE(EPS,MEAN,QTR_ROLL,2026/1F,46127,,,'')":1.5105584,"RTX-US^FE_ESTIMATE(NET_INC,MEAN,QTR_ROLL,2026/1F,46127,,,'')":2037.4277,"RTX-US^FE_VALUATION(TAX_RATE,MEAN,QTR_ROLL,2026/1F,46127,,,'')":0.16792326,"RTX-US^FE_ESTIMATE(PTX_INC,MEAN,QTR_ROLL,2026/1F,46127,,,'')":2639.83,"RTX-US^FE_ESTIMATE(INT_EXP,MEAN,QTR_ROLL,2026/1F,46127,,,'')":434.5,"RTX-US^FE_ESTIMATE(EBIT,MEAN,QTR_ROLL,2026/1F,46127,,,'')":2722.344,"RTX-US^FE_ESTIMATE(DEP_AMORT,MEAN,QTR_ROLL,2026/1F,46127,,,'')":949.0,"RTX-US^FE_ESTIMATE(EBITDA,MEAN,QTR_ROLL,2026/1F,46127,,,'')":3419.2163,"RTX-US^FE_ESTIMATE(OPER_EXP,MEAN,QTR_ROLL,2026/1F,46127,,,'')":null,"RTX-US^FE_ESTIMATE(SOE,MEAN,QTR_ROLL,2026/1F,46127,,,'')":null,"RTX-US^FE_ESTIMATE(RD_EXP,MEAN,QTR_ROLL,2026/1F,46127,,,'')":623.6667,"RTX-US^FE_ESTIMATE(G_A_EXP,MEAN,QTR_ROLL,2026/1F,46127,,,'')":1455.0,"RTX-US^FE_ESTIMATE(SGA,MEAN,QTR_ROLL,2026/1F,46127,,,'')":1543.0,"2026/1F^FE_VALUATION(GROSS_MARGIN,MEAN,QTR_ROLL,2026/1F,46127,,,'')/100":null,"RTX-US^FE_ESTIMATE(GROSS_INC,MEAN,QTR_ROLL,2026/1F,46127,,,'')":4447.0,"RTX-US^FE_ESTIMATE(COS,MEAN,QTR_ROLL,2026/1F,46127,,,'')":17219.0,"RTX-US^FE_ESTIMATE(SALES,MEAN,QTR_ROLL,2026/1F,46127,,,'')":21438.521,"RTX-US^FE_ESTIMATE(FCFPS,MEAN,QTR_ROLL,2026/1F,46131,,,'')":0.29966468,"RTX-US^FE_ESTIMATE(FCF,MEAN,QTR_ROLL,2026/1F,46131,,,'')":313.3922,"RTX-US^FE_ESTIMATE(CAPEX,MEAN,QTR_ROLL,2026/1F,46131,,,'')":714.69507,"RTX-US^FE_ESTIMATE(CF_OP,MEAN,QTR_ROLL,2026/1F,46131,,,'')":1045.6666,"RTX-US^FE_ESTIMATE(NET_DEBT,MEAN,QTR_ROLL,2026/1F,46131,,,'')":31397.0,"RTX-US^FE_ESTIMATE(DEBT,MEAN,QTR_ROLL,2026/1F,46131,,,'')":37404.0,"RTX-US^FE_ESTIMATE(CASH_ST,MEAN,QTR_ROLL,2026/1F,46131,,,'')":6235.0,"RTX-US^FE_ESTIMATE(DPS,MEAN,QTR_ROLL,2026/1F,46131,,,'')":0.67125,"RTX-US^FE_ESTIMATE(EPS_GAAP,MEAN,QTR_ROLL,2026/1F,46131,,,'')":1.2136266,"RTX-US^FE_ESTIMATE(NET_INC_REP,MEAN,QTR_ROLL,2026/1F,46131,,,'')":1705.8369,"RTX-US^FE_ESTIMATE(PTX_INC_REP,MEAN,QTR_ROLL,2026/1F,46131,,,'')":2278.5803,"RTX-US^FE_ESTIMATE(EBITDA_REP,MEAN,QTR_ROLL,2026/1F,46131,,,'')":3422.671,"RTX-US^FE_ESTIMATE(EPS,MEAN,QTR,2026/1F,46131,,,'CLASS=59')":null,"RTX-US^FE_ESTIMATE(EPS,MEAN,QTR_ROLL,2026/1F,46131,,,'')":1.5147688,"RTX-US^FE_ESTIMATE(NET_INC,MEAN,QTR_ROLL,2026/1F,46131,,,'')":2043.9277,"RTX-US^FE_VALUATION(TAX_RATE,MEAN,QTR_ROLL,2026/1F,46131,,,'')":0.16763957,"RTX-US^FE_ESTIMATE(PTX_INC,MEAN,QTR_ROLL,2026/1F,46131,,,'')":2648.2744,"RTX-US^FE_ESTIMATE(INT_EXP,MEAN,QTR_ROLL,2026/1F,46131,,,'')":434.5,"RTX-US^FE_ESTIMATE(EBIT,MEAN,QTR_ROLL,2026/1F,46131,,,'')":2699.7544,"RTX-US^FE_ESTIMATE(DEP_AMORT,MEAN,QTR_ROLL,2026/1F,46131,,,'')":952.0,"RTX-US^FE_ESTIMATE(EBITDA,MEAN,QTR_ROLL,2026/1F,46131,,,'')":3422.671,"RTX-US^FE_ESTIMATE(OPER_EXP,MEAN,QTR_ROLL,2026/1F,46131,,,'')":null,"RTX-US^FE_ESTIMATE(SOE,MEAN,QTR_ROLL,2026/1F,46131,,,'')":null,"RTX-US^FE_ESTIMATE(RD_EXP,MEAN,QTR_ROLL,2026/1F,46131,,,'')":626.3333,"RTX-US^FE_ESTIMATE(G_A_EXP,MEAN,QTR_ROLL,2026/1F,46131,,,'')":1463.0,"RTX-US^FE_ESTIMATE(SGA,MEAN,QTR_ROLL,2026/1F,46131,,,'')":1543.0,"2026/1F^FE_VALUATION(GROSS_MARGIN,MEAN,QTR_ROLL,2026/1F,46131,,,'')/100":null,"RTX-US^FE_ESTIMATE(GROSS_INC,MEAN,QTR_ROLL,2026/1F,46131,,,'')":4496.0,"RTX-US^FE_ESTIMATE(COS,MEAN,QTR_ROLL,2026/1F,46131,,,'')":16482.334,"RTX-US^FE_ESTIMATE(SALES,MEAN,QTR_ROLL,2026/1F,46131,,,'')":21451.322,"RTX-US^FE_ESTIMATE(FCFPS,MEAN,QTR_ROLL,2026/1F,46132,,,'')":0.29966468,"RTX-US^FE_ESTIMATE(FCF,MEAN,QTR_ROLL,2026/1F,46132,,,'')":313.3922,"RTX-US^FE_ESTIMATE(CAPEX,MEAN,QTR_ROLL,2026/1F,46132,,,'')":714.69507,"RTX-US^FE_ESTIMATE(CF_OP,MEAN,QTR_ROLL,2026/1F,46132,,,'')":1045.6666,"RTX-US^FE_ESTIMATE(NET_DEBT,MEAN,QTR_ROLL,2026/1F,46132,,,'')":31397.0,"RTX-US^FE_ESTIMATE(DEBT,MEAN,QTR_ROLL,2026/1F,46132,,,'')":37404.0,"RTX-US^FE_ESTIMATE(CASH_ST,MEAN,QTR_ROLL,2026/1F,46132,,,'')":6235.0,"RTX-US^FE_ESTIMATE(DPS,MEAN,QTR_ROLL,2026/1F,46132,,,'')":0.67125,"RTX-US^FE_ESTIMATE(EPS_GAAP,MEAN,QTR_ROLL,2026/1F,46132,,,'')":1.2136266,"RTX-US^FE_ESTIMATE(NET_INC_REP,MEAN,QTR_ROLL,2026/1F,46132,,,'')":1705.9369,"RTX-US^FE_ESTIMATE(PTX_INC_REP,MEAN,QTR_ROLL,2026/1F,46132,,,'')":2278.5803,"RTX-US^FE_ESTIMATE(EBITDA_REP,MEAN,QTR_ROLL,2026/1F,46132,,,'')":3423.3982,"RTX-US^FE_ESTIMATE(EPS,MEAN,QTR,2026/1F,46132,,,'CLASS=59')":null,"RTX-US^FE_ESTIMATE(EPS,MEAN,QTR_ROLL,2026/1F,46132,,,'')":1.5147688,"RTX-US^FE_ESTIMATE(NET_INC,MEAN,QTR_ROLL,2026/1F,46132,,,'')":2044.0707,"RTX-US^FE_VALUATION(TAX_RATE,MEAN,QTR_ROLL,2026/1F,46132,,,'')":0.16763957,"RTX-US^FE_ESTIMATE(PTX_INC,MEAN,QTR_ROLL,2026/1F,46132,,,'')":2648.2744,"RTX-US^FE_ESTIMATE(INT_EXP,MEAN,QTR_ROLL,2026/1F,46132,,,'')":434.5,"RTX-US^FE_ESTIMATE(EBIT,MEAN,QTR_ROLL,2026/1F,46132,,,'')":2726.944,"RTX-US^FE_ESTIMATE(DEP_AMORT,MEAN,QTR_ROLL,2026/1F,46132,,,'')":952.0,"RTX-US^FE_ESTIMATE(EBITDA,MEAN,QTR_ROLL,2026/1F,46132,,,'')":3423.3982,"RTX-US^FE_ESTIMATE(OPER_EXP,MEAN,QTR_ROLL,2026/1F,46132,,,'')":null,"RTX-US^FE_ESTIMATE(SOE,MEAN,QTR_ROLL,2026/1F,46132,,,'')":null,"RTX-US^FE_ESTIMATE(RD_EXP,MEAN,QTR_ROLL,2026/1F,46132,,,'')":626.3333,"RTX-US^FE_ESTIMATE(G_A_EXP,MEAN,QTR_ROLL,2026/1F,46132,,,'')":1463.0,"RTX-US^FE_ESTIMATE(SGA,MEAN,QTR_ROLL,2026/1F,46132,,,'')":1543.0,"2026/1F^FE_VALUATION(GROSS_MARGIN,MEAN,QTR_ROLL,2026/1F,46132,,,'')/100":null,"RTX-US^FE_ESTIMATE(GROSS_INC,MEAN,QTR_ROLL,2026/1F,46132,,,'')":4496.0,"RTX-US^FE_ESTIMATE(COS,MEAN,QTR_ROLL,2026/1F,46132,,,'')":16482.334,"RTX-US^FE_ESTIMATE(SALES,MEAN,QTR_ROLL,2026/1F,46132,,,'')":21460.934,"RTX-US^FE_ESTIMATE(NET_INC,MEAN,ANN_ROLL,2028,46132,,,'')":11443.874,"RTX-US^FE_ESTIMATE(NET_INC,MEAN,ANN_ROLL,2027,46132,,,'')":10372.25,"RTX-US^FE_ESTIMATE(NET_INC,MEAN,ANN_ROLL,2026,46132,,,'')":9354.776,"RTX-US^FE_ESTIMATE(NET_INC,MEAN,ANN_ROLL,2025,46132,,,'')":8531.0,"RTX-US^FE_ESTIMATE(NET_INC,MEAN,ANN_ROLL,2024,46132,,,'')":7705.0,"RTX-US^FE_ESTIMATE(NET_INC,MEAN,ANN_ROLL,2023,46132,,,'')":7263.0,"RTX-US^FE_ESTIMATE(NET_INC,MEAN,ANN_ROLL,2022,46132,,,'')":7098.0,"RTX-US^FE_VALUATION(TAX_RATE,MEAN,ANN_ROLL,2028,46132,,,'')":0.18100895,"RTX-US^FE_VALUATION(TAX_RATE,MEAN,ANN_ROLL,2027,46132,,,'')":0.17655103,"RTX-US^FE_VALUATION(TAX_RATE,MEAN,ANN_ROLL,2026,46132,,,'')":0.17062809,"RTX-US^FE_VALUATION(TAX_RATE,MEAN,ANN_ROLL,2025,46132,,,'')":0.17261231,"RTX-US^FE_VALUATION(TAX_RATE,MEAN,ANN_ROLL,2024,46132,,,'')":0.15274101,"RTX-US^FE_VALUATION(TAX_RATE,MEAN,ANN_ROLL,2023,46132,,,'')":0.10869081,"RTX-US^FE_VALUATION(TAX_RATE,MEAN,ANN_ROLL,2022,46132,,,'')":0.13594484,"RTX-US^FE_ESTIMATE(PTX_INC,MEAN,ANN_ROLL,2028,46132,,,'')":14816.025,"RTX-US^FE_ESTIMATE(PTX_INC,MEAN,ANN_ROLL,2027,46132,,,'')":13314.061,"RTX-US^FE_ESTIMATE(PTX_INC,MEAN,ANN_ROLL,2026,46132,,,'')":11942.523,"RTX-US^FE_ESTIMATE(PTX_INC,MEAN,ANN_ROLL,2025,46132,,,'')":10928.795,"RTX-US^FE_ESTIMATE(PTX_INC,MEAN,ANN_ROLL,2024,46132,,,'')":9760.3125,"RTX-US^FE_ESTIMATE(PTX_INC,MEAN,ANN_ROLL,2023,46132,,,'')":9073.444,"RTX-US^FE_ESTIMATE(PTX_INC,MEAN,ANN_ROLL,2022,46132,,,'')":7447.8735,"RTX-US^FE_ESTIMATE(INT_EXP,MEAN,ANN_ROLL,2028,46132,,,'')":1650.0,"RTX-US^FE_ESTIMATE(INT_EXP,MEAN,ANN_ROLL,2027,46132,,,'')":1568.5085,"RTX-US^FE_ESTIMATE(INT_EXP,MEAN,ANN_ROLL,2026,46132,,,'')":1716.0913,"RTX-US^FE_ESTIMATE(INT_EXP,MEAN,ANN_ROLL,2025,46132,,,'')":1793.5,"RTX-US^FE_ESTIMATE(INT_EXP,MEAN,ANN_ROLL,2024,46132,,,'')":1888.0,"RTX-US^FE_ESTIMATE(INT_EXP,MEAN,ANN_ROLL,2023,46132,,,'')":1512.6666,"RTX-US^FE_ESTIMATE(INT_EXP,MEAN,ANN_ROLL,2022,46132,,,'')":1276.0,"RTX-US^FE_ESTIMATE(EBIT,MEAN,ANN_ROLL,2028,46132,,,'')":14871.266,"RTX-US^FE_ESTIMATE(EBIT,MEAN,ANN_ROLL,2027,46132,,,'')":13575.171,"RTX-US^FE_ESTIMATE(EBIT,MEAN,ANN_ROLL,2026,46132,,,'')":12265.61,"RTX-US^FE_ESTIMATE(EBIT,MEAN,ANN_ROLL,2025,46132,,,'')":11356.706,"RTX-US^FE_ESTIMATE(EBIT,MEAN,ANN_ROLL,2024,46132,,,'')":10183.0,"RTX-US^FE_ESTIMATE(EBIT,MEAN,ANN_ROLL,2023,46132,,,'')":8895.0,"RTX-US^FE_ESTIMATE(EBIT,MEAN,ANN_ROLL,2022,46132,,,'')":7828.25,"RTX-US^FE_ESTIMATE(DEP_AMORT,MEAN,ANN_ROLL,2028,46132,,,'')":4826.91,"RTX-US^FE_ESTIMATE(DEP_AMORT,MEAN,ANN_ROLL,2027,46132,,,'')":4240.664,"RTX-US^FE_ESTIMATE(DEP_AMORT,MEAN,ANN_ROLL,2026,46132,,,'')":4095.264,"RTX-US^FE_ESTIMATE(DEP_AMORT,MEAN,ANN_ROLL,2025,46132,,,'')":3578.6,"RTX-US^FE_ESTIMATE(DEP_AMORT,MEAN,ANN_ROLL,2024,46132,,,'')":4021.0,"RTX-US^FE_ESTIMATE(DEP_AMORT,MEAN,ANN_ROLL,2023,46132,,,'')":3989.0,"RTX-US^FE_ESTIMATE(DEP_AMORT,MEAN,ANN_ROLL,2022,46132,,,'')":3682.3333,"RTX-US^FE_ESTIMATE(EBITDA,MEAN,ANN_ROLL,2028,46132,,,'')":18222.14,"RTX-US^FE_ESTIMATE(EBITDA,MEAN,ANN_ROLL,2027,46132,,,'')":16750.959,"RTX-US^FE_ESTIMATE(EBITDA,MEAN,ANN_ROLL,2026,46132,,,'')":15344.92,"RTX-US^FE_ESTIMATE(EBITDA,MEAN,ANN_ROLL,2025,46132,,,'')":13715.272,"RTX-US^FE_ESTIMATE(EBITDA,MEAN,ANN_ROLL,2024,46132,,,'')":12102.1,"RTX-US^FE_ESTIMATE(EBITDA,MEAN,ANN_ROLL,2023,46132,,,'')":11458.066,"RTX-US^FE_ESTIMATE(EBITDA,MEAN,ANN_ROLL,2022,46132,,,'')":11023.525,"RTX-US^FE_ESTIMATE(OPER_EXP,MEAN,ANN_ROLL,2028,46132,,,'')":null,"RTX-US^FE_ESTIMATE(OPER_EXP,MEAN,ANN_ROLL,2027,46132,,,'')":null,"RTX-US^FE_ESTIMATE(OPER_EXP,MEAN,ANN_ROLL,2026,46132,,,'')":null,"RTX-US^FE_ESTIMATE(OPER_EXP,MEAN,ANN_ROLL,2025,46132,,,'')":null,"RTX-US^FE_ESTIMATE(OPER_EXP,MEAN,ANN_ROLL,2024,46132,,,'')":null,"RTX-US^FE_ESTIMATE(OPER_EXP,MEAN,ANN_ROLL,2023,46132,,,'')":null,"RTX-US^FE_ESTIMATE(OPER_EXP,MEAN,ANN_ROLL,2022,46132,,,'')":null,"RTX-US^FE_ESTIMATE(SOE,MEAN,ANN_ROLL,2028,46132,,,'')":null,"RTX-US^FE_ESTIMATE(SOE,MEAN,ANN_ROLL,2027,46132,,,'')":null,"RTX-US^FE_ESTIMATE(SOE,MEAN,ANN_ROLL,2026,46132,,,'')":null,"RTX-US^FE_ESTIMATE(SOE,MEAN,ANN_ROLL,2025,46132,,,'')":null,"RTX-US^FE_ESTIMATE(SOE,MEAN,ANN_ROLL,2024,46132,,,'')":null,"RTX-US^FE_ESTIMATE(SOE,MEAN,ANN_ROLL,2023,46132,,,'')":null,"RTX-US^FE_ESTIMATE(SOE,MEAN,ANN_ROLL,2022,46132,,,'')":null,"RTX-US^FE_ESTIMATE(RD_EXP,MEAN,ANN_ROLL,2028,46132,,,'')":3564.5,"RTX-US^FE_ESTIMATE(RD_EXP,MEAN,ANN_ROLL,2027,46132,,,'')":2862.3333,"RTX-US^FE_ESTIMATE(RD_EXP,MEAN,ANN_ROLL,2026,46132,,,'')":2745.6667,"RTX-US^FE_ESTIMATE(RD_EXP,MEAN,ANN_ROLL,2025,46132,,,'')":2895.3333,"RTX-US^FE_ESTIMATE(RD_EXP,MEAN,ANN_ROLL,2024,46132,,,'')":2934.0,"RTX-US^FE_ESTIMATE(RD_EXP,MEAN,ANN_ROLL,2023,46132,,,'')":2805.0,"RTX-US^FE_ESTIMATE(RD_EXP,MEAN,ANN_ROLL,2022,46132,,,'')":2727.0,"RTX-US^FE_ESTIMATE(G_A_EXP,MEAN,ANN_ROLL,2028,46132,,,'')":7035.0,"RTX-US^FE_ESTIMATE(G_A_EXP,MEAN,ANN_ROLL,2027,46132,,,'')":6403.5,"RTX-US^FE_ESTIMATE(G_A_EXP,MEAN,ANN_ROLL,2026,46132,,,'')":6249.0,"RTX-US^FE_ESTIMATE(G_A_EXP,MEAN,ANN_ROLL,2025,46132,,,'')":6095.0,"RTX-US^FE_ESTIMATE(G_A_EXP,MEAN,ANN_ROLL,2024,46132,,,'')":5806.0,"RTX-US^FE_ESTIMATE(G_A_EXP,MEAN,ANN_ROLL,2023,46132,,,'')":5879.0,"RTX-US^FE_ESTIMATE(G_A_EXP,MEAN,ANN_ROLL,2022,46132,,,'')":5663.0,"RTX-US^FE_ESTIMATE(SGA,MEAN,ANN_ROLL,2028,46132,,,'')":7247.0,"RTX-US^FE_ESTIMATE(SGA,MEAN,ANN_ROLL,2027,46132,,,'')":6982.0,"RTX-US^FE_ESTIMATE(SGA,MEAN,ANN_ROLL,2026,46132,,,'')":6716.0,"RTX-US^FE_ESTIMATE(SGA,MEAN,ANN_ROLL,2025,46132,,,'')":6150.0,"RTX-US^FE_ESTIMATE(SGA,MEAN,ANN_ROLL,2024,46132,,,'')":5806.0,"RTX-US^FE_ESTIMATE(SGA,MEAN,ANN_ROLL,2023,46132,,,'')":5816.0,"RTX-US^FE_ESTIMATE(SGA,MEAN,ANN_ROLL,2022,46132,,,'')":5663.0,"RTX-US^FE_VALUATION(GROSS_MARGIN,MEAN,ANN_ROLL,2028,46132,,,'')/100":0.2167688,"RTX-US^FE_VALUATION(GROSS_MARGIN,MEAN,ANN_ROLL,2027,46132,,,'')/100":0.21573097,"RTX-US^FE_VALUATION(GROSS_MARGIN,MEAN,ANN_ROLL,2026,46132,,,'')/100":0.21295148,"RTX-US^FE_VALUATION(GROSS_MARGIN,MEAN,ANN_ROLL,2025,46132,,,'')/100":0.20076069,"RTX-US^FE_VALUATION(GROSS_MARGIN,MEAN,ANN_ROLL,2024,46132,,,'')/100":0.1908519,"RTX-US^FE_VALUATION(GROSS_MARGIN,MEAN,ANN_ROLL,2023,46132,,,'')/100":0.18731354,"RTX-US^FE_VALUATION(GROSS_MARGIN,MEAN,ANN_ROLL,2022,46132,,,'')/100":0.2038495,"RTX-US^FE_ESTIMATE(GROSS_INC,MEAN,ANN_ROLL,2028,46132,,,'')":23085.0,"RTX-US^FE_ESTIMATE(GROSS_INC,MEAN,ANN_ROLL,2027,46132,,,'')":21583.0,"RTX-US^FE_ESTIMATE(GROSS_INC,MEAN,ANN_ROLL,2026,46132,,,'')":19928.0,"RTX-US^FE_ESTIMATE(GROSS_INC,MEAN,ANN_ROLL,2025,46132,,,'')":17788.0,"RTX-US^FE_ESTIMATE(GROSS_INC,MEAN,ANN_ROLL,2024,46132,,,'')":15409.0,"RTX-US^FE_ESTIMATE(GROSS_INC,MEAN,ANN_ROLL,2023,46132,,,'')":13918.333,"RTX-US^FE_ESTIMATE(GROSS_INC,MEAN,ANN_ROLL,2022,46132,,,'')":13673.0,"RTX-US^FE_ESTIMATE(COS,MEAN,ANN_ROLL,2028,46132,,,'')":79053.0,"RTX-US^FE_ESTIMATE(COS,MEAN,ANN_ROLL,2027,46132,,,'')":76206.336,"RTX-US^FE_ESTIMATE(COS,MEAN,ANN_ROLL,2026,46132,,,'')":72221.664,"RTX-US^FE_ESTIMATE(COS,MEAN,ANN_ROLL,2025,46132,,,'')":72945.664,"RTX-US^FE_ESTIMATE(COS,MEAN,ANN_ROLL,2024,46132,,,'')":65328.0,"RTX-US^FE_ESTIMATE(COS,MEAN,ANN_ROLL,2023,46132,,,'')":56696.0,"RTX-US^FE_ESTIMATE(COS,MEAN,ANN_ROLL,2022,46132,,,'')":53127.6,"RTX-US^FE_ESTIMATE(SALES,MEAN,ANN_ROLL,2028,46132,,,'')":106495.95,"RTX-US^FE_ESTIMATE(SALES,MEAN,ANN_ROLL,2027,46132,,,'')":100045.9,"RTX-US^FE_ESTIMATE(SALES,MEAN,ANN_ROLL,2026,46132,,,'')":93580.0,"RTX-US^FE_ESTIMATE(SALES,MEAN,ANN_ROLL,2025,46132,,,'')":88603.0,"RTX-US^FE_ESTIMATE(SALES,MEAN,ANN_ROLL,2024,46132,,,'')":80738.0,"RTX-US^FE_ESTIMATE(SALES,MEAN,ANN_ROLL,2023,46132,,,'')":74305.0,"RTX-US^FE_ESTIMATE(SALES,MEAN,ANN_ROLL,2022,46132,,,'')":67074.0,"RTX-US^FE_ESTIMATE(FCFPS,MEAN,ANN_ROLL,2028,46132,,,'')":8.070642,"RTX-US^FE_ESTIMATE(FCFPS,MEAN,ANN_ROLL,2027,46132,,,'')":7.265715,"RTX-US^FE_ESTIMATE(FCFPS,MEAN,ANN_ROLL,2026,46132,,,'')":6.277342,"RTX-US^FE_ESTIMATE(FCFPS,MEAN,ANN_ROLL,2025,46132,,,'')":5.859104,"RTX-US^FE_ESTIMATE(FCFPS,MEAN,ANN_ROLL,2024,46132,,,'')":3.3707526,"RTX-US^FE_ESTIMATE(FCFPS,MEAN,ANN_ROLL,2023,46132,,,'')":3.8284845,"RTX-US^FE_ESTIMATE(FCFPS,MEAN,ANN_ROLL,2022,46132,,,'')":3.2834578,"RTX-US^FE_ESTIMATE(FCF,MEAN,ANN_ROLL,2028,46132,,,'')":11008.542,"RTX-US^FE_ESTIMATE(FCF,MEAN,ANN_ROLL,2027,46132,,,'')":10079.343,"RTX-US^FE_ESTIMATE(FCF,MEAN,ANN_ROLL,2026,46132,,,'')":8549.69,"RTX-US^FE_ESTIMATE(FCF,MEAN,ANN_ROLL,2025,46132,,,'')":7940.0,"RTX-US^FE_ESTIMATE(FCF,MEAN,ANN_ROLL,2024,46132,,,'')":4534.0,"RTX-US^FE_ESTIMATE(FCF,MEAN,ANN_ROLL,2023,46132,,,'')":5468.0,"RTX-US^FE_ESTIMATE(FCF,MEAN,ANN_ROLL,2022,46132,,,'')":4880.0,"RTX-US^FE_ESTIMATE(DPS,MEAN,ANN_ROLL,2028,46132,,,'')":3.3178687,"RTX-US^FE_ESTIMATE(DPS,MEAN,ANN_ROLL,2027,46132,,,'')":3.0843165,"RTX-US^FE_ESTIMATE(DPS,MEAN,ANN_ROLL,2026,46132,,,'')":2.8675098,"RTX-US^FE_ESTIMATE(DPS,MEAN,ANN_ROLL,2025,46132,,,'')":2.6473334,"RTX-US^FE_ESTIMATE(DPS,MEAN,ANN_ROLL,2024,46132,,,'')":2.4640515,"RTX-US^FE_ESTIMATE(DPS,MEAN,ANN_ROLL,2023,46132,,,'')":2.3056726,"RTX-US^FE_ESTIMATE(DPS,MEAN,ANN_ROLL,2022,46132,,,'')":2.14607,"RTX-US^FE_ESTIMATE(EPS_GAAP,MEAN,ANN_ROLL,2028,46132,,,'')":7.2758017,"RTX-US^FE_ESTIMATE(EPS_GAAP,MEAN,ANN_ROLL,2027,46132,,,'')":6.471541,"RTX-US^FE_ESTIMATE(EPS_GAAP,MEAN,ANN_ROLL,2026,46132,,,'')":5.6344986,"RTX-US^FE_ESTIMATE(EPS_GAAP,MEAN,ANN_ROLL,2025,46132,,,'')":4.96,"RTX-US^FE_ESTIMATE(EPS_GAAP,MEAN,ANN_ROLL,2024,46132,,,'')":3.55,"RTX-US^FE_ESTIMATE(EPS_GAAP,MEAN,ANN_ROLL,2023,46132,,,'')":2.23,"RTX-US^FE_ESTIMATE(EPS_GAAP,MEAN,ANN_ROLL,2022,46132,,,'')":3.51,"RTX-US^FE_ESTIMATE(NET_INC_REP,MEAN,ANN_ROLL,2028,46132,,,'')":10110.362,"RTX-US^FE_ESTIMATE(NET_INC_REP,MEAN,ANN_ROLL,2027,46132,,,'')":8839.282,"RTX-US^FE_ESTIMATE(NET_INC_REP,MEAN,ANN_ROLL,2026,46132,,,'')":7725.021,"RTX-US^FE_ESTIMATE(NET_INC_REP,MEAN,ANN_ROLL,2025,46132,,,'')":6732.0,"RTX-US^FE_ESTIMATE(NET_INC_REP,MEAN,ANN_ROLL,2024,46132,,,'')":4774.0,"RTX-US^FE_ESTIMATE(NET_INC_REP,MEAN,ANN_ROLL,2023,46132,,,'')":3195.0,"RTX-US^FE_ESTIMATE(NET_INC_REP,MEAN,ANN_ROLL,2022,46132,,,'')":5216.0,"RTX-US^FE_ESTIMATE(PTX_INC_REP,MEAN,ANN_ROLL,2028,46132,,,'')":12708.849,"RTX-US^FE_ESTIMATE(PTX_INC_REP,MEAN,ANN_ROLL,2027,46132,,,'')":11304.39,"RTX-US^FE_ESTIMATE(PTX_INC_REP,MEAN,ANN_ROLL,2026,46132,,,'')":10215.046,"RTX-US^FE_ESTIMATE(PTX_INC_REP,MEAN,ANN_ROLL,2025,46132,,,'')":8795.833,"RTX-US^FE_ESTIMATE(PTX_INC_REP,MEAN,ANN_ROLL,2024,46132,,,'')":6162.4,"RTX-US^FE_ESTIMATE(PTX_INC_REP,MEAN,ANN_ROLL,2023,46132,,,'')":3791.1428,"RTX-US^FE_ESTIMATE(PTX_INC_REP,MEAN,ANN_ROLL,2022,46132,,,'')":7235.5,"RTX-US^FE_ESTIMATE(EBITDA_REP,MEAN,ANN_ROLL,2028,46132,,,'')":18118.07,"RTX-US^FE_ESTIMATE(EBITDA_REP,MEAN,ANN_ROLL,2027,46132,,,'')":16655.77,"RTX-US^FE_ESTIMATE(EBITDA_REP,MEAN,ANN_ROLL,2026,46132,,,'')":15247.79,"RTX-US^FE_ESTIMATE(EBITDA_REP,MEAN,ANN_ROLL,2025,46132,,,'')":13715.272,"RTX-US^FE_ESTIMATE(EBITDA_REP,MEAN,ANN_ROLL,2024,46132,,,'')":12102.1,"RTX-US^FE_ESTIMATE(EBITDA_REP,MEAN,ANN_ROLL,2023,46132,,,'')":11458.066,"RTX-US^FE_ESTIMATE(EBITDA_REP,MEAN,ANN_ROLL,2022,46132,,,'')":11023.525,"RTX-US^FE_ESTIMATE(EPS,MEAN,ANN_ROLL,2028,46132,,,',CLASS=59,')":null,"RTX-US^FE_ESTIMATE(EPS,MEAN,ANN_ROLL,2027,46132,,,',CLASS=59,')":null,"RTX-US^FE_ESTIMATE(EPS,MEAN,ANN_ROLL,2026,46132,,,',CLASS=59,')":null,"RTX-US^FE_ESTIMATE(EPS,MEAN,ANN_ROLL,2025,46132,,,',CLASS=59,')":null,"RTX-US^FE_ESTIMATE(EPS,MEAN,ANN_ROLL,2024,46132,,,',CLASS=59,')":null,"RTX-US^FE_ESTIMATE(EPS,MEAN,ANN_ROLL,2023,46132,,,',CLASS=59,')":null,"RTX-US^FE_ESTIMATE(EPS,MEAN,ANN_ROLL,2022,46132,,,',CLASS=59,')":null,"RTX-US^FE_ESTIMATE(EPS,MEAN,ANN_ROLL,2028,46132,,,'')":8.367094,"RTX-US^FE_ESTIMATE(EPS,MEAN,ANN_ROLL,2027,46132,,,'')":7.5676327,"RTX-US^FE_ESTIMATE(EPS,MEAN,ANN_ROLL,2026,46132,,,'')":6.851647,"RTX-US^FE_ESTIMATE(EPS,MEAN,ANN_ROLL,2025,46132,,,'')":6.29,"RTX-US^FE_ESTIMATE(EPS,MEAN,ANN_ROLL,2024,46132,,,'')":5.73,"RTX-US^FE_ESTIMATE(EPS,MEAN,ANN_ROLL,2023,46132,,,'')":5.06,"RTX-US^FE_ESTIMATE(EPS,MEAN,ANN_ROLL,2022,46132,,,'')":4.78,"RTX-US^FE_ESTIMATE(NET_INC,MEAN,ANN_ROLL,2028,46212,,,'')":11611.736,"RTX-US^FE_ESTIMATE(NET_INC,MEAN,ANN_ROLL,2027,46212,,,'')":10473.739,"RTX-US^FE_ESTIMATE(NET_INC,MEAN,ANN_ROLL,2026,46212,,,'')":9508.27,"RTX-US^FE_ESTIMATE(NET_INC,MEAN,ANN_ROLL,2025,46212,,,'')":8531.0,"RTX-US^FE_ESTIMATE(NET_INC,MEAN,ANN_ROLL,2024,46212,,,'')":7705.0,"RTX-US^FE_ESTIMATE(NET_INC,MEAN,ANN_ROLL,2023,46212,,,'')":7263.0,"RTX-US^FE_ESTIMATE(NET_INC,MEAN,ANN_ROLL,2022,46212,,,'')":7098.0,"RTX-US^FE_VALUATION(TAX_RATE,MEAN,ANN_ROLL,2028,46212,,,'')":0.18176772,"RTX-US^FE_VALUATION(TAX_RATE,MEAN,ANN_ROLL,2027,46212,,,'')":0.17580701,"RTX-US^FE_VALUATION(TAX_RATE,MEAN,ANN_ROLL,2026,46212,,,'')":0.1698268,"RTX-US^FE_VALUATION(TAX_RATE,MEAN,ANN_ROLL,2025,46212,,,'')":0.17261231,"RTX-US^FE_VALUATION(TAX_RATE,MEAN,ANN_ROLL,2024,46212,,,'')":0.15274101,"RTX-US^FE_VALUATION(TAX_RATE,MEAN,ANN_ROLL,2023,46212,,,'')":0.10869081,"RTX-US^FE_VALUATION(TAX_RATE,MEAN,ANN_ROLL,2022,46212,,,'')":0.13594484,"RTX-US^FE_ESTIMATE(PTX_INC,MEAN,ANN_ROLL,2028,46212,,,'')":14913.722,"RTX-US^FE_ESTIMATE(PTX_INC,MEAN,ANN_ROLL,2027,46212,,,'')":13194.524,"RTX-US^FE_ESTIMATE(PTX_INC,MEAN,ANN_ROLL,2026,46212,,,'')":12091.849,"RTX-US^FE_ESTIMATE(PTX_INC,MEAN,ANN_ROLL,2025,46212,,,'')":10928.795,"RTX-US^FE_ESTIMATE(PTX_INC,MEAN,ANN_ROLL,2024,46212,,,'')":9760.3125,"RTX-US^FE_ESTIMATE(PTX_INC,MEAN,ANN_ROLL,2023,46212,,,'')":9073.444,"RTX-US^FE_ESTIMATE(PTX_INC,MEAN,ANN_ROLL,2022,46212,,,'')":7447.8735,"RTX-US^FE_ESTIMATE(INT_EXP,MEAN,ANN_ROLL,2028,46212,,,'')":1650.0,"RTX-US^FE_ESTIMATE(INT_EXP,MEAN,ANN_ROLL,2027,46212,,,'')":1568.5085,"RTX-US^FE_ESTIMATE(INT_EXP,MEAN,ANN_ROLL,2026,46212,,,'')":1649.3004,"RTX-US^FE_ESTIMATE(INT_EXP,MEAN,ANN_ROLL,2025,46212,,,'')":1793.5,"RTX-US^FE_ESTIMATE(INT_EXP,MEAN,ANN_ROLL,2024,46212,,,'')":1888.0,"RTX-US^FE_ESTIMATE(INT_EXP,MEAN,ANN_ROLL,2023,46212,,,'')":1512.6666,"RTX-US^FE_ESTIMATE(INT_EXP,MEAN,ANN_ROLL,2022,46212,,,'')":1276.0,"RTX-US^FE_ESTIMATE(EBIT,MEAN,ANN_ROLL,2028,46212,,,'')":14961.656,"RTX-US^FE_ESTIMATE(EBIT,MEAN,ANN_ROLL,2027,46212,,,'')":13630.89,"RTX-US^FE_ESTIMATE(EBIT,MEAN,ANN_ROLL,2026,46212,,,'')":12369.412,"RTX-US^FE_ESTIMATE(EBIT,MEAN,ANN_ROLL,2025,46212,,,'')":11356.706,"RTX-US^FE_ESTIMATE(EBIT,MEAN,ANN_ROLL,2024,46212,,,'')":10183.0,"RTX-US^FE_ESTIMATE(EBIT,MEAN,ANN_ROLL,2023,46212,,,'')":8895.0,"RTX-US^FE_ESTIMATE(EBIT,MEAN,ANN_ROLL,2022,46212,,,'')":7828.25,"RTX-US^FE_ESTIMATE(DEP_AMORT,MEAN,ANN_ROLL,2028,46212,,,'')":4828.8667,"RTX-US^FE_ESTIMATE(DEP_AMORT,MEAN,ANN_ROLL,2027,46212,,,'')":4274.426,"RTX-US^FE_ESTIMATE(DEP_AMORT,MEAN,ANN_ROLL,2026,46212,,,'')":4129.83,"RTX-US^FE_ESTIMATE(DEP_AMORT,MEAN,ANN_ROLL,2025,46212,,,'')":3578.6,"RTX-US^FE_ESTIMATE(DEP_AMORT,MEAN,ANN_ROLL,2024,46212,,,'')":4021.0,"RTX-US^FE_ESTIMATE(DEP_AMORT,MEAN,ANN_ROLL,2023,46212,,,'')":3989.0,"RTX-US^FE_ESTIMATE(DEP_AMORT,MEAN,ANN_ROLL,2022,46212,,,'')":3682.3333,"RTX-US^FE_ESTIMATE(EBITDA,MEAN,ANN_ROLL,2028,46212,,,'')":18199.299,"RTX-US^FE_ESTIMATE(EBITDA,MEAN,ANN_ROLL,2027,46212,,,'')":16628.01,"RTX-US^FE_ESTIMATE(EBITDA,MEAN,ANN_ROLL,2026,46212,,,'')":15276.911,"RTX-US^FE_ESTIMATE(EBITDA,MEAN,ANN_ROLL,2025,46212,,,'')":13715.272,"RTX-US^FE_ESTIMATE(EBITDA,MEAN,ANN_ROLL,2024,46212,,,'')":12102.1,"RTX-US^FE_ESTIMATE(EBITDA,MEAN,ANN_ROLL,2023,46212,,,'')":11458.066,"RTX-US^FE_ESTIMATE(EBITDA,MEAN,ANN_ROLL,2022,46212,,,'')":11023.525,"RTX-US^FE_ESTIMATE(OPER_EXP,MEAN,ANN_ROLL,2028,46212,,,'')":null,"RTX-US^FE_ESTIMATE(OPER_EXP,MEAN,ANN_ROLL,2027,46212,,,'')":null,"RTX-US^FE_ESTIMATE(OPER_EXP,MEAN,ANN_ROLL,2026,46212,,,'')":null,"RTX-US^FE_ESTIMATE(OPER_EXP,MEAN,ANN_ROLL,2025,46212,,,'')":null,"RTX-US^FE_ESTIMATE(OPER_EXP,MEAN,ANN_ROLL,2024,46212,,,'')":null,"RTX-US^FE_ESTIMATE(OPER_EXP,MEAN,ANN_ROLL,2023,46212,,,'')":null,"RTX-US^FE_ESTIMATE(OPER_EXP,MEAN,ANN_ROLL,2022,46212,,,'')":null,"RTX-US^FE_ESTIMATE(SOE,MEAN,ANN_ROLL,2028,46212,,,'')":null,"RTX-US^FE_ESTIMATE(SOE,MEAN,ANN_ROLL,2027,46212,,,'')":null,"RTX-US^FE_ESTIMATE(SOE,MEAN,ANN_ROLL,2026,46212,,,'')":null,"RTX-US^FE_ESTIMATE(SOE,MEAN,ANN_ROLL,2025,46212,,,'')":null,"RTX-US^FE_ESTIMATE(SOE,MEAN,ANN_ROLL,2024,46212,,,'')":null,"RTX-US^FE_ESTIMATE(SOE,MEAN,ANN_ROLL,2023,46212,,,'')":null,"RTX-US^FE_ESTIMATE(SOE,MEAN,ANN_ROLL,2022,46212,,,'')":null,"RTX-US^FE_ESTIMATE(RD_EXP,MEAN,ANN_ROLL,2028,46212,,,'')":3597.0,"RTX-US^FE_ESTIMATE(RD_EXP,MEAN,ANN_ROLL,2027,46212,,,'')":2817.0,"RTX-US^FE_ESTIMATE(RD_EXP,MEAN,ANN_ROLL,2026,46212,,,'')":2654.0,"RTX-US^FE_ESTIMATE(RD_EXP,MEAN,ANN_ROLL,2025,46212,,,'')":2895.3333,"RTX-US^FE_ESTIMATE(RD_EXP,MEAN,ANN_ROLL,2024,46212,,,'')":2934.0,"RTX-US^FE_ESTIMATE(RD_EXP,MEAN,ANN_ROLL,2023,46212,,,'')":2805.0,"RTX-US^FE_ESTIMATE(RD_EXP,MEAN,ANN_ROLL,2022,46212,,,'')":2727.0,"RTX-US^FE_ESTIMATE(G_A_EXP,MEAN,ANN_ROLL,2028,46212,,,'')":7091.0,"RTX-US^FE_ESTIMATE(G_A_EXP,MEAN,ANN_ROLL,2027,46212,,,'')":6426.0,"RTX-US^FE_ESTIMATE(G_A_EXP,MEAN,ANN_ROLL,2026,46212,,,'')":6246.5,"RTX-US^FE_ESTIMATE(G_A_EXP,MEAN,ANN_ROLL,2025,46212,,,'')":6095.0,"RTX-US^FE_ESTIMATE(G_A_EXP,MEAN,ANN_ROLL,2024,46212,,,'')":5806.0,"RTX-US^FE_ESTIMATE(G_A_EXP,MEAN,ANN_ROLL,2023,46212,,,'')":5879.0,"RTX-US^FE_ESTIMATE(G_A_EXP,MEAN,ANN_ROLL,2022,46212,,,'')":5663.0,"RTX-US^FE_ESTIMATE(SGA,MEAN,ANN_ROLL,2028,46212,,,'')":7321.0,"RTX-US^FE_ESTIMATE(SGA,MEAN,ANN_ROLL,2027,46212,,,'')":7057.0,"RTX-US^FE_ESTIMATE(SGA,MEAN,ANN_ROLL,2026,46212,,,'')":6649.0,"RTX-US^FE_ESTIMATE(SGA,MEAN,ANN_ROLL,2025,46212,,,'')":6150.0,"RTX-US^FE_ESTIMATE(SGA,MEAN,ANN_ROLL,2024,46212,,,'')":5806.0,"RTX-US^FE_ESTIMATE(SGA,MEAN,ANN_ROLL,2023,46212,,,'')":5816.0,"RTX-US^FE_ESTIMATE(SGA,MEAN,ANN_ROLL,2022,46212,,,'')":5663.0,"RTX-US^FE_VALUATION(GROSS_MARGIN,MEAN,ANN_ROLL,2028,46212,,,'')/100":0.21626724,"RTX-US^FE_VALUATION(GROSS_MARGIN,MEAN,ANN_ROLL,2027,46212,,,'')/100":0.21576804,"RTX-US^FE_VALUATION(GROSS_MARGIN,MEAN,ANN_ROLL,2026,46212,,,'')/100":0.21165907,"RTX-US^FE_VALUATION(GROSS_MARGIN,MEAN,ANN_ROLL,2025,46212,,,'')/100":0.20076069,"RTX-US^FE_VALUATION(GROSS_MARGIN,MEAN,ANN_ROLL,2024,46212,,,'')/100":0.1908519,"RTX-US^FE_VALUATION(GROSS_MARGIN,MEAN,ANN_ROLL,2023,46212,,,'')/100":0.18731354,"RTX-US^FE_VALUATION(GROSS_MARGIN,MEAN,ANN_ROLL,2022,46212,,,'')/100":0.2038495,"RTX-US^FE_ESTIMATE(GROSS_INC,MEAN,ANN_ROLL,2028,46212,,,'')":23280.0,"RTX-US^FE_ESTIMATE(GROSS_INC,MEAN,ANN_ROLL,2027,46212,,,'')":21756.0,"RTX-US^FE_ESTIMATE(GROSS_INC,MEAN,ANN_ROLL,2026,46212,,,'')":19937.0,"RTX-US^FE_ESTIMATE(GROSS_INC,MEAN,ANN_ROLL,2025,46212,,,'')":17788.0,"RTX-US^FE_ESTIMATE(GROSS_INC,MEAN,ANN_ROLL,2024,46212,,,'')":15409.0,"RTX-US^FE_ESTIMATE(GROSS_INC,MEAN,ANN_ROLL,2023,46212,,,'')":13918.333,"RTX-US^FE_ESTIMATE(GROSS_INC,MEAN,ANN_ROLL,2022,46212,,,'')":13673.0,"RTX-US^FE_ESTIMATE(COS,MEAN,ANN_ROLL,2028,46212,,,'')":85193.0,"RTX-US^FE_ESTIMATE(COS,MEAN,ANN_ROLL,2027,46212,,,'')":80158.336,"RTX-US^FE_ESTIMATE(COS,MEAN,ANN_ROLL,2026,46212,,,'')":76286.0,"RTX-US^FE_ESTIMATE(COS,MEAN,ANN_ROLL,2025,46212,,,'')":72945.664,"RTX-US^FE_ESTIMATE(COS,MEAN,ANN_ROLL,2024,46212,,,'')":65328.0,"RTX-US^FE_ESTIMATE(COS,MEAN,ANN_ROLL,2023,46212,,,'')":56696.0,"RTX-US^FE_ESTIMATE(COS,MEAN,ANN_ROLL,2022,46212,,,'')":53127.6,"RTX-US^FE_ESTIMATE(SALES,MEAN,ANN_ROLL,2028,46212,,,'')":107644.59,"RTX-US^FE_ESTIMATE(SALES,MEAN,ANN_ROLL,2027,46212,,,'')":100830.51,"RTX-US^FE_ESTIMATE(SALES,MEAN,ANN_ROLL,2026,46212,,,'')":94193.93,"RTX-US^FE_ESTIMATE(SALES,MEAN,ANN_ROLL,2025,46212,,,'')":88603.0,"RTX-US^FE_ESTIMATE(SALES,MEAN,ANN_ROLL,2024,46212,,,'')":80738.0,"RTX-US^FE_ESTIMATE(SALES,MEAN,ANN_ROLL,2023,46212,,,'')":74305.0,"RTX-US^FE_ESTIMATE(SALES,MEAN,ANN_ROLL,2022,46212,,,'')":67074.0,"RTX-US^FE_ESTIMATE(FCFPS,MEAN,ANN_ROLL,2028,46212,,,'')":8.20042,"RTX-US^FE_ESTIMATE(FCFPS,MEAN,ANN_ROLL,2027,46212,,,'')":7.4069963,"RTX-US^FE_ESTIMATE(FCFPS,MEAN,ANN_ROLL,2026,46212,,,'')":6.3082027,"RTX-US^FE_ESTIMATE(FCFPS,MEAN,ANN_ROLL,2025,46212,,,'')":5.859104,"RTX-US^FE_ESTIMATE(FCFPS,MEAN,ANN_ROLL,2024,46212,,,'')":3.3707526,"RTX-US^FE_ESTIMATE(FCFPS,MEAN,ANN_ROLL,2023,46212,,,'')":3.8284845,"RTX-US^FE_ESTIMATE(FCFPS,MEAN,ANN_ROLL,2022,46212,,,'')":3.2834578,"RTX-US^FE_ESTIMATE(FCF,MEAN,ANN_ROLL,2028,46212,,,'')":11242.94,"RTX-US^FE_ESTIMATE(FCF,MEAN,ANN_ROLL,2027,46212,,,'')":10160.371,"RTX-US^FE_ESTIMATE(FCF,MEAN,ANN_ROLL,2026,46212,,,'')":8593.227,"RTX-US^FE_ESTIMATE(FCF,MEAN,ANN_ROLL,2025,46212,,,'')":7940.0,"RTX-US^FE_ESTIMATE(FCF,MEAN,ANN_ROLL,2024,46212,,,'')":4534.0,"RTX-US^FE_ESTIMATE(FCF,MEAN,ANN_ROLL,2023,46212,,,'')":5468.0,"RTX-US^FE_ESTIMATE(FCF,MEAN,ANN_ROLL,2022,46212,,,'')":4880.0,"RTX-US^FE_ESTIMATE(DPS,MEAN,ANN_ROLL,2028,46212,,,'')":3.2853541,"RTX-US^FE_ESTIMATE(DPS,MEAN,ANN_ROLL,2027,46212,,,'')":3.058177,"RTX-US^FE_ESTIMATE(DPS,MEAN,ANN_ROLL,2026,46212,,,'')":2.847073,"RTX-US^FE_ESTIMATE(DPS,MEAN,ANN_ROLL,2025,46212,,,'')":2.6473334,"RTX-US^FE_ESTIMATE(DPS,MEAN,ANN_ROLL,2024,46212,,,'')":2.4640515,"RTX-US^FE_ESTIMATE(DPS,MEAN,ANN_ROLL,2023,46212,,,'')":2.3056726,"RTX-US^FE_ESTIMATE(DPS,MEAN,ANN_ROLL,2022,46212,,,'')":2.14607,"RTX-US^FE_ESTIMATE(EPS_GAAP,MEAN,ANN_ROLL,2028,46212,,,'')":7.326862,"RTX-US^FE_ESTIMATE(EPS_GAAP,MEAN,ANN_ROLL,2027,46212,,,'')":6.4755197,"RTX-US^FE_ESTIMATE(EPS_GAAP,MEAN,ANN_ROLL,2026,46212,,,'')":5.7557554,"RTX-US^FE_ESTIMATE(EPS_GAAP,MEAN,ANN_ROLL,2025,46212,,,'')":4.96,"RTX-US^FE_ESTIMATE(EPS_GAAP,MEAN,ANN_ROLL,2024,46212,,,'')":3.55,"RTX-US^FE_ESTIMATE(EPS_GAAP,MEAN,ANN_ROLL,2023,46212,,,'')":2.23,"RTX-US^FE_ESTIMATE(EPS_GAAP,MEAN,ANN_ROLL,2022,46212,,,'')":3.51,"RTX-US^FE_ESTIMATE(NET_INC_REP,MEAN,ANN_ROLL,2028,46212,,,'')":10194.654,"RTX-US^FE_ESTIMATE(NET_INC_REP,MEAN,ANN_ROLL,2027,46212,,,'')":8844.226,"RTX-US^FE_ESTIMATE(NET_INC_REP,MEAN,ANN_ROLL,2026,46212,,,'')":7882.4585,"RTX-US^FE_ESTIMATE(NET_INC_REP,MEAN,ANN_ROLL,2025,46212,,,'')":6732.0,"RTX-US^FE_ESTIMATE(NET_INC_REP,MEAN,ANN_ROLL,2024,46212,,,'')":4774.0,"RTX-US^FE_ESTIMATE(NET_INC_REP,MEAN,ANN_ROLL,2023,46212,,,'')":3195.0,"RTX-US^FE_ESTIMATE(NET_INC_REP,MEAN,ANN_ROLL,2022,46212,,,'')":5216.0,"RTX-US^FE_ESTIMATE(PTX_INC_REP,MEAN,ANN_ROLL,2028,46212,,,'')":12821.507,"RTX-US^FE_ESTIMATE(PTX_INC_REP,MEAN,ANN_ROLL,2027,46212,,,'')":11385.722,"RTX-US^FE_ESTIMATE(PTX_INC_REP,MEAN,ANN_ROLL,2026,46212,,,'')":10132.261,"RTX-US^FE_ESTIMATE(PTX_INC_REP,MEAN,ANN_ROLL,2025,46212,,,'')":8795.833,"RTX-US^FE_ESTIMATE(PTX_INC_REP,MEAN,ANN_ROLL,2024,46212,,,'')":6162.4,"RTX-US^FE_ESTIMATE(PTX_INC_REP,MEAN,ANN_ROLL,2023,46212,,,'')":3791.1428,"RTX-US^FE_ESTIMATE(PTX_INC_REP,MEAN,ANN_ROLL,2022,46212,,,'')":7235.5,"RTX-US^FE_ESTIMATE(EBITDA_REP,MEAN,ANN_ROLL,2028,46212,,,'')":18199.299,"RTX-US^FE_ESTIMATE(EBITDA_REP,MEAN,ANN_ROLL,2027,46212,,,'')":16628.01,"RTX-US^FE_ESTIMATE(EBITDA_REP,MEAN,ANN_ROLL,2026,46212,,,'')":15276.911,"RTX-US^FE_ESTIMATE(EBITDA_REP,MEAN,ANN_ROLL,2025,46212,,,'')":13715.272,"RTX-US^FE_ESTIMATE(EBITDA_REP,MEAN,ANN_ROLL,2024,46212,,,'')":12102.1,"RTX-US^FE_ESTIMATE(EBITDA_REP,MEAN,ANN_ROLL,2023,46212,,,'')":11458.066,"RTX-US^FE_ESTIMATE(EBITDA_REP,MEAN,ANN_ROLL,2022,46212,,,'')":11023.525,"RTX-US^FE_ESTIMATE(EPS,MEAN,ANN_ROLL,2028,46212,,,',CLASS=59,')":null,"RTX-US^FE_ESTIMATE(EPS,MEAN,ANN_ROLL,2027,46212,,,',CLASS=59,')":null,"RTX-US^FE_ESTIMATE(EPS,MEAN,ANN_ROLL,2026,46212,,,',CLASS=59,')":null,"RTX-US^FE_ESTIMATE(EPS,MEAN,ANN_ROLL,2025,46212,,,',CLASS=59,')":null,"RTX-US^FE_ESTIMATE(EPS,MEAN,ANN_ROLL,2024,46212,,,',CLASS=59,')":null,"RTX-US^FE_ESTIMATE(EPS,MEAN,ANN_ROLL,2023,46212,,,',CLASS=59,')":null,"RTX-US^FE_ESTIMATE(EPS,MEAN,ANN_ROLL,2022,46212,,,',CLASS=59,')":null,"RTX-US^FE_ESTIMATE(EPS,MEAN,ANN_ROLL,2028,46212,,,'')":8.4464655,"RTX-US^FE_ESTIMATE(EPS,MEAN,ANN_ROLL,2027,46212,,,'')":7.627639,"RTX-US^FE_ESTIMATE(EPS,MEAN,ANN_ROLL,2026,46212,,,'')":6.9512043,"RTX-US^FE_ESTIMATE(EPS,MEAN,ANN_ROLL,2025,46212,,,'')":6.29,"RTX-US^FE_ESTIMATE(EPS,MEAN,ANN_ROLL,2024,46212,,,'')":5.73,"RTX-US^FE_ESTIMATE(EPS,MEAN,ANN_ROLL,2023,46212,,,'')":5.06,"RTX-US^FE_ESTIMATE(EPS,MEAN,ANN_ROLL,2022,46212,,,'')":4.78,"RTX-US^FE_ESTIMATE(CASH_ST,MEAN,QTR_ROLL,2026/2F,46212,,,'')":7206.0,"RTX-US^FE_ESTIMATE(EPS,MEAN,QTR,2026/2F,46212,,,'CLASS=59')":null,"RTX-US^FE_ESTIMATE(G_A_EXP,MEAN,QTR_ROLL,2026/2F,46212,,,'')":1571.0,"2026/2F^FE_VALUATION(GROSS_MARGIN,MEAN,QTR_ROLL,2026/2F,46212,,,'')/100":null,"RTX-US^FE_ESTIMATE(CF_OP,MEAN,QTR_ROLL,2026/2F,46212,,,'')":2407.3333,"RTX-US^FE_ESTIMATE(NET_DEBT,MEAN,QTR_ROLL,2026/2F,46212,,,'')":29886.0,"RTX-US^FE_ESTIMATE(PTX_INC,MEAN,QTR_ROLL,2026/2F,46212,,,'')":2919.2302,"RTX-US^FE_ESTIMATE(SOE,MEAN,QTR_ROLL,2026/2F,46212,,,'')":null,"RTX-US^FE_ESTIMATE(EBITDA_REP,MEAN,QTR_ROLL,2026/2F,46212,,,'')":3703.8186,"RTX-US^FE_ESTIMATE(RD_EXP,MEAN,QTR_ROLL,2026/2F,46212,,,'')":643.3333,"RTX-US^FE_ESTIMATE(FCFPS,MEAN,QTR_ROLL,2026/2F,46212,,,'')":0.87586766,"RTX-US^FE_ESTIMATE(EBIT,MEAN,QTR_ROLL,2026/2F,46212,,,'')":2984.7395,"RTX-US^FE_ESTIMATE(DPS,MEAN,QTR_ROLL,2026/2F,46212,,,'')":0.70925,"RTX-US^FE_ESTIMATE(EPS,MEAN,QTR_ROLL,2026/2F,46212,,,'')":1.6588893,"RTX-US^FE_ESTIMATE(DEP_AMORT,MEAN,QTR_ROLL,2026/2F,46212,,,'')":994.5,"RTX-US^FE_ESTIMATE(SGA,MEAN,QTR_ROLL,2026/2F,46212,,,'')":1643.0,"RTX-US^FE_ESTIMATE(EPS_GAAP,MEAN,QTR_ROLL,2026/2F,46212,,,'')":1.3581272,"RTX-US^FE_ESTIMATE(NET_INC,MEAN,QTR_ROLL,2026/2F,46212,,,'')":2252.9744,"RTX-US^FE_ESTIMATE(EBITDA,MEAN,QTR_ROLL,2026/2F,46212,,,'')":3703.8186,"RTX-US^FE_ESTIMATE(NET_INC_REP,MEAN,QTR_ROLL,2026/2F,46212,,,'')":1896.1569,"RTX-US^FE_ESTIMATE(GROSS_INC,MEAN,QTR_ROLL,2026/2F,46212,,,'')":4850.0,"RTX-US^FE_ESTIMATE(PTX_INC_REP,MEAN,QTR_ROLL,2026/2F,46212,,,'')":2414.4436,"RTX-US^FE_ESTIMATE(DEBT,MEAN,QTR_ROLL,2026/2F,46212,,,'')":37413.0,"RTX-US^FE_ESTIMATE(INT_EXP,MEAN,QTR_ROLL,2026/2F,46212,,,'')":420.0,"RTX-US^FE_ESTIMATE(OPER_EXP,MEAN,QTR_ROLL,2026/2F,46212,,,'')":null,"RTX-US^FE_ESTIMATE(FCF,MEAN,QTR_ROLL,2026/2F,46212,,,'')":1287.9395,"RTX-US^FE_VALUATION(TAX_RATE,MEAN,QTR_ROLL,2026/2F,46212,,,'')":0.17162059,"RTX-US^FE_ESTIMATE(SALES,MEAN,QTR_ROLL,2026/2F,46212,,,'')":22883.959,"RTX-US^FE_ESTIMATE(CAPEX,MEAN,QTR_ROLL,2026/2F,46212,,,'')":767.72455,"RTX-US^FE_ESTIMATE(COS,MEAN,QTR_ROLL,2026/2F,46212,,,'')":17533.666,"RTX-US^FE_ESTIMATE(FCFPS,MEAN,QTR_ROLL,2026/2F,46216,,,'')":0.87586766,"RTX-US^FE_ESTIMATE(FCF,MEAN,QTR_ROLL,2026/2F,46216,,,'')":1288.9395,"RTX-US^FE_ESTIMATE(CAPEX,MEAN,QTR_ROLL,2026/2F,46216,,,'')":767.72455,"RTX-US^FE_ESTIMATE(CF_OP,MEAN,QTR_ROLL,2026/2F,46216,,,'')":2408.6667,"RTX-US^FE_ESTIMATE(NET_DEBT,MEAN,QTR_ROLL,2026/2F,46216,,,'')":29882.0,"RTX-US^FE_ESTIMATE(DEBT,MEAN,QTR_ROLL,2026/2F,46216,,,'')":37413.0,"RTX-US^FE_ESTIMATE(CASH_ST,MEAN,QTR_ROLL,2026/2F,46216,,,'')":7207.3335,"RTX-US^FE_ESTIMATE(DPS,MEAN,QTR_ROLL,2026/2F,46216,,,'')":0.70925,"RTX-US^FE_ESTIMATE(EPS_GAAP,MEAN,QTR_ROLL,2026/2F,46216,,,'')":1.3572181,"RTX-US^FE_ESTIMATE(NET_INC_REP,MEAN,QTR_ROLL,2026/2F,46216,,,'')":1894.9568,"RTX-US^FE_ESTIMATE(PTX_INC_REP,MEAN,QTR_ROLL,2026/2F,46216,,,'')":2414.4436,"RTX-US^FE_ESTIMATE(EBITDA_REP,MEAN,QTR_ROLL,2026/2F,46216,,,'')":3703.8186,"RTX-US^FE_ESTIMATE(EPS,MEAN,QTR,2026/2F,46216,,,'CLASS=59')":null,"RTX-US^FE_ESTIMATE(EPS,MEAN,QTR_ROLL,2026/2F,46216,,,'')":1.6588893,"RTX-US^FE_ESTIMATE(NET_INC,MEAN,QTR_ROLL,2026/2F,46216,,,'')":2252.1172,"RTX-US^FE_VALUATION(TAX_RATE,MEAN,QTR_ROLL,2026/2F,46216,,,'')":0.17173219,"RTX-US^FE_ESTIMATE(PTX_INC,MEAN,QTR_ROLL,2026/2F,46216,,,'')":2917.9802,"RTX-US^FE_ESTIMATE(INT_EXP,MEAN,QTR_ROLL,2026/2F,46216,,,'')":420.0,"RTX-US^FE_ESTIMATE(EBIT,MEAN,QTR_ROLL,2026/2F,46216,,,'')":2984.473,"RTX-US^FE_ESTIMATE(DEP_AMORT,MEAN,QTR_ROLL,2026/2F,46216,,,'')":994.5,"RTX-US^FE_ESTIMATE(EBITDA,MEAN,QTR_ROLL,2026/2F,46216,,,'')":3703.8186,"RTX-US^FE_ESTIMATE(OPER_EXP,MEAN,QTR_ROLL,2026/2F,46216,,,'')":null,"RTX-US^FE_ESTIMATE(SOE,MEAN,QTR_ROLL,2026/2F,46216,,,'')":null,"RTX-US^FE_ESTIMATE(RD_EXP,MEAN,QTR_ROLL,2026/2F,46216,,,'')":643.3333,"RTX-US^FE_ESTIMATE(G_A_EXP,MEAN,QTR_ROLL,2026/2F,46216,,,'')":1571.0,"RTX-US^FE_ESTIMATE(SGA,MEAN,QTR_ROLL,2026/2F,46216,,,'')":1643.0,"2026/2F^FE_VALUATION(GROSS_MARGIN,MEAN,QTR_ROLL,2026/2F,46216,,,'')/100":null,"RTX-US^FE_ESTIMATE(GROSS_INC,MEAN,QTR_ROLL,2026/2F,46216,,,'')":4850.0,"RTX-US^FE_ESTIMATE(COS,MEAN,QTR_ROLL,2026/2F,46216,,,'')":17533.666,"RTX-US^FE_ESTIMATE(SALES,MEAN,QTR_ROLL,2026/2F,46216,,,'')":22880.31,"RTX-US^FE_ESTIMATE(EBITDA_ADJ,MEAN,QTR_ROLL,2026/2F,46216,,,'')":3590.795,"RTX-US^FE_ESTIMATE(FCFPS,MEAN,QTR_ROLL,2026/2F,46223,,,'')":0.87586766,"RTX-US^FE_ESTIMATE(FCF,MEAN,QTR_ROLL,2026/2F,46223,,,'')":1288.9395,"RTX-US^FE_ESTIMATE(CAPEX,MEAN,QTR_ROLL,2026/2F,46223,,,'')":767.72455,"RTX-US^FE_ESTIMATE(CF_OP,MEAN,QTR_ROLL,2026/2F,46223,,,'')":2408.6667,"RTX-US^FE_ESTIMATE(NET_DEBT,MEAN,QTR_ROLL,2026/2F,46223,,,'')":29882.0,"RTX-US^FE_ESTIMATE(DEBT,MEAN,QTR_ROLL,2026/2F,46223,,,'')":37413.0,"RTX-US^FE_ESTIMATE(CASH_ST,MEAN,QTR_ROLL,2026/2F,46223,,,'')":7207.3335,"RTX-US^FE_ESTIMATE(DPS,MEAN,QTR_ROLL,2026/2F,46223,,,'')":0.70925,"RTX-US^FE_ESTIMATE(EPS_GAAP,MEAN,QTR_ROLL,2026/2F,46223,,,'')":1.3581272,"RTX-US^FE_ESTIMATE(NET_INC_REP,MEAN,QTR_ROLL,2026/2F,46223,,,'')":1896.1569,"RTX-US^FE_ESTIMATE(PTX_INC_REP,MEAN,QTR_ROLL,2026/2F,46223,,,'')":2414.4436,"RTX-US^FE_ESTIMATE(EBITDA_REP,MEAN,QTR_ROLL,2026/2F,46223,,,'')":3705.8186,"RTX-US^FE_ESTIMATE(EPS,MEAN,QTR,2026/2F,46223,,,'CLASS=59')":null,"RTX-US^FE_ESTIMATE(EPS,MEAN,QTR_ROLL,2026/2F,46223,,,'')":1.6594449,"RTX-US^FE_ESTIMATE(NET_INC,MEAN,QTR_ROLL,2026/2F,46223,,,'')":2250.4744,"RTX-US^FE_VALUATION(TAX_RATE,MEAN,QTR_ROLL,2026/2F,46223,,,'')":0.17173219,"RTX-US^FE_ESTIMATE(PTX_INC,MEAN,QTR_ROLL,2026/2F,46223,,,'')":2917.9802,"RTX-US^FE_ESTIMATE(INT_EXP,MEAN,QTR_ROLL,2026/2F,46223,,,'')":420.0,"RTX-US^FE_ESTIMATE(EBIT,MEAN,QTR_ROLL,2026/2F,46223,,,'')":2985.6729,"RTX-US^FE_ESTIMATE(DEP_AMORT,MEAN,QTR_ROLL,2026/2F,46223,,,'')":994.5,"RTX-US^FE_ESTIMATE(EBITDA_ADJ,MEAN,QTR_ROLL,2026/2F,46223,,,'')":3590.795,"RTX-US^FE_ESTIMATE(OPER_EXP,MEAN,QTR_ROLL,2026/2F,46223,,,'')":null,"RTX-US^FE_ESTIMATE(SOE,MEAN,QTR_ROLL,2026/2F,46223,,,'')":null,"RTX-US^FE_ESTIMATE(RD_EXP,MEAN,QTR_ROLL,2026/2F,46223,,,'')":643.3333,"RTX-US^FE_ESTIMATE(G_A_EXP,MEAN,QTR_ROLL,2026/2F,46223,,,'')":1571.0,"RTX-US^FE_ESTIMATE(SGA,MEAN,QTR_ROLL,2026/2F,46223,,,'')":1643.0,"2026/2F^FE_VALUATION(GROSS_MARGIN,MEAN,QTR_ROLL,2026/2F,46223,,,'')/100":null,"RTX-US^FE_ESTIMATE(GROSS_INC,MEAN,QTR_ROLL,2026/2F,46223,,,'')":4850.0,"RTX-US^FE_ESTIMATE(COS,MEAN,QTR_ROLL,2026/2F,46223,,,'')":17533.666,"RTX-US^FE_ESTIMATE(SALES,MEAN,QTR_ROLL,2026/2F,46223,,,'')":22891.781,"RTX-US^FE_ESTIMATE(NET_INC,MEAN,ANN_ROLL,2028,46223,,,'')":11620.429,"RTX-US^FE_ESTIMATE(NET_INC,MEAN,ANN_ROLL,2027,46223,,,'')":10481.184,"RTX-US^FE_ESTIMATE(NET_INC,MEAN,ANN_ROLL,2026,46223,,,'')":9511.444,"RTX-US^FE_ESTIMATE(NET_INC,MEAN,ANN_ROLL,2025,46223,,,'')":8531.0,"RTX-US^FE_ESTIMATE(NET_INC,MEAN,ANN_ROLL,2024,46223,,,'')":7705.0,"RTX-US^FE_ESTIMATE(NET_INC,MEAN,ANN_ROLL,2023,46223,,,'')":7263.0,"RTX-US^FE_ESTIMATE(NET_INC,MEAN,ANN_ROLL,2022,46223,,,'')":7098.0,"RTX-US^FE_VALUATION(TAX_RATE,MEAN,ANN_ROLL,2028,46223,,,'')":0.18454264,"RTX-US^FE_VALUATION(TAX_RATE,MEAN,ANN_ROLL,2027,46223,,,'')":0.17779896,"RTX-US^FE_VALUATION(TAX_RATE,MEAN,ANN_ROLL,2026,46223,,,'')":0.17214625,"RTX-US^FE_VALUATION(TAX_RATE,MEAN,ANN_ROLL,2025,46223,,,'')":0.17261231,"RTX-US^FE_VALUATION(TAX_RATE,MEAN,ANN_ROLL,2024,46223,,,'')":0.15274101,"RTX-US^FE_VALUATION(TAX_RATE,MEAN,ANN_ROLL,2023,46223,,,'')":0.10869081,"RTX-US^FE_VALUATION(TAX_RATE,MEAN,ANN_ROLL,2022,46223,,,'')":0.13594484,"RTX-US^FE_ESTIMATE(PTX_INC,MEAN,ANN_ROLL,2028,46223,,,'')":14695.791,"RTX-US^FE_ESTIMATE(PTX_INC,MEAN,ANN_ROLL,2027,46223,,,'')":13047.826,"RTX-US^FE_ESTIMATE(PTX_INC,MEAN,ANN_ROLL,2026,46223,,,'')":11932.413,"RTX-US^FE_ESTIMATE(PTX_INC,MEAN,ANN_ROLL,2025,46223,,,'')":10928.795,"RTX-US^FE_ESTIMATE(PTX_INC,MEAN,ANN_ROLL,2024,46223,,,'')":9760.3125,"RTX-US^FE_ESTIMATE(PTX_INC,MEAN,ANN_ROLL,2023,46223,,,'')":9073.444,"RTX-US^FE_ESTIMATE(PTX_INC,MEAN,ANN_ROLL,2022,46223,,,'')":7447.8735,"RTX-US^FE_ESTIMATE(INT_EXP,MEAN,ANN_ROLL,2028,46223,,,'')":1650.0,"RTX-US^FE_ESTIMATE(INT_EXP,MEAN,ANN_ROLL,2027,46223,,,'')":1568.5085,"RTX-US^FE_ESTIMATE(INT_EXP,MEAN,ANN_ROLL,2026,46223,,,'')":1649.3004,"RTX-US^FE_ESTIMATE(INT_EXP,MEAN,ANN_ROLL,2025,46223,,,'')":1793.5,"RTX-US^FE_ESTIMATE(INT_EXP,MEAN,ANN_ROLL,2024,46223,,,'')":1888.0,"RTX-US^FE_ESTIMATE(INT_EXP,MEAN,ANN_ROLL,2023,46223,,,'')":1512.6666,"RTX-US^FE_ESTIMATE(INT_EXP,MEAN,ANN_ROLL,2022,46223,,,'')":1276.0,"RTX-US^FE_ESTIMATE(EBIT,MEAN,ANN_ROLL,2028,46223,,,'')":14972.014,"RTX-US^FE_ESTIMATE(EBIT,MEAN,ANN_ROLL,2027,46223,,,'')":13640.334,"RTX-US^FE_ESTIMATE(EBIT,MEAN,ANN_ROLL,2026,46223,,,'')":12373.356,"RTX-US^FE_ESTIMATE(EBIT,MEAN,ANN_ROLL,2025,46223,,,'')":11356.706,"RTX-US^FE_ESTIMATE(EBIT,MEAN,ANN_ROLL,2024,46223,,,'')":10183.0,"RTX-US^FE_ESTIMATE(EBIT,MEAN,ANN_ROLL,2023,46223,,,'')":8895.0,"RTX-US^FE_ESTIMATE(EBIT,MEAN,ANN_ROLL,2022,46223,,,'')":7828.25,"RTX-US^FE_ESTIMATE(DEP_AMORT,MEAN,ANN_ROLL,2028,46223,,,'')":4828.8667,"RTX-US^FE_ESTIMATE(DEP_AMORT,MEAN,ANN_ROLL,2027,46223,,,'')":4274.426,"RTX-US^FE_ESTIMATE(DEP_AMORT,MEAN,ANN_ROLL,2026,46223,,,'')":4129.83,"RTX-US^FE_ESTIMATE(DEP_AMORT,MEAN,ANN_ROLL,2025,46223,,,'')":3578.6,"RTX-US^FE_ESTIMATE(DEP_AMORT,MEAN,ANN_ROLL,2024,46223,,,'')":4021.0,"RTX-US^FE_ESTIMATE(DEP_AMORT,MEAN,ANN_ROLL,2023,46223,,,'')":3989.0,"RTX-US^FE_ESTIMATE(DEP_AMORT,MEAN,ANN_ROLL,2022,46223,,,'')":3682.3333,"RTX-US^FE_ESTIMATE(EBITDA,MEAN,ANN_ROLL,2028,46223,,,'')":18211.049,"RTX-US^FE_ESTIMATE(EBITDA,MEAN,ANN_ROLL,2027,46223,,,'')":16639.809,"RTX-US^FE_ESTIMATE(EBITDA,MEAN,ANN_ROLL,2026,46223,,,'')":15279.711,"RTX-US^FE_ESTIMATE(EBITDA,MEAN,ANN_ROLL,2025,46223,,,'')":13715.272,"RTX-US^FE_ESTIMATE(EBITDA,MEAN,ANN_ROLL,2024,46223,,,'')":12102.1,"RTX-US^FE_ESTIMATE(EBITDA,MEAN,ANN_ROLL,2023,46223,,,'')":11458.066,"RTX-US^FE_ESTIMATE(EBITDA,MEAN,ANN_ROLL,2022,46223,,,'')":11023.525,"RTX-US^FE_ESTIMATE(OPER_EXP,MEAN,ANN_ROLL,2028,46223,,,'')":null,"RTX-US^FE_ESTIMATE(OPER_EXP,MEAN,ANN_ROLL,2027,46223,,,'')":null,"RTX-US^FE_ESTIMATE(OPER_EXP,MEAN,ANN_ROLL,2026,46223,,,'')":null,"RTX-US^FE_ESTIMATE(OPER_EXP,MEAN,ANN_ROLL,2025,46223,,,'')":null,"RTX-US^FE_ESTIMATE(OPER_EXP,MEAN,ANN_ROLL,2024,46223,,,'')":null,"RTX-US^FE_ESTIMATE(OPER_EXP,MEAN,ANN_ROLL,2023,46223,,,'')":null,"RTX-US^FE_ESTIMATE(OPER_EXP,MEAN,ANN_ROLL,2022,46223,,,'')":null,"RTX-US^FE_ESTIMATE(SOE,MEAN,ANN_ROLL,2028,46223,,,'')":null,"RTX-US^FE_ESTIMATE(SOE,MEAN,ANN_ROLL,2027,46223,,,'')":null,"RTX-US^FE_ESTIMATE(SOE,MEAN,ANN_ROLL,2026,46223,,,'')":null,"RTX-US^FE_ESTIMATE(SOE,MEAN,ANN_ROLL,2025,46223,,,'')":null,"RTX-US^FE_ESTIMATE(SOE,MEAN,ANN_ROLL,2024,46223,,,'')":null,"RTX-US^FE_ESTIMATE(SOE,MEAN,ANN_ROLL,2023,46223,,,'')":null,"RTX-US^FE_ESTIMATE(SOE,MEAN,ANN_ROLL,2022,46223,,,'')":null,"RTX-US^FE_ESTIMATE(RD_EXP,MEAN,ANN_ROLL,2028,46223,,,'')":3597.0,"RTX-US^FE_ESTIMATE(RD_EXP,MEAN,ANN_ROLL,2027,46223,,,'')":2817.0,"RTX-US^FE_ESTIMATE(RD_EXP,MEAN,ANN_ROLL,2026,46223,,,'')":2654.0,"RTX-US^FE_ESTIMATE(RD_EXP,MEAN,ANN_ROLL,2025,46223,,,'')":2895.3333,"RTX-US^FE_ESTIMATE(RD_EXP,MEAN,ANN_ROLL,2024,46223,,,'')":2934.0,"RTX-US^FE_ESTIMATE(RD_EXP,MEAN,ANN_ROLL,2023,46223,,,'')":2805.0,"RTX-US^FE_ESTIMATE(RD_EXP,MEAN,ANN_ROLL,2022,46223,,,'')":2727.0,"RTX-US^FE_ESTIMATE(G_A_EXP,MEAN,ANN_ROLL,2028,46223,,,'')":7091.0,"RTX-US^FE_ESTIMATE(G_A_EXP,MEAN,ANN_ROLL,2027,46223,,,'')":6426.0,"RTX-US^FE_ESTIMATE(G_A_EXP,MEAN,ANN_ROLL,2026,46223,,,'')":6246.5,"RTX-US^FE_ESTIMATE(G_A_EXP,MEAN,ANN_ROLL,2025,46223,,,'')":6095.0,"RTX-US^FE_ESTIMATE(G_A_EXP,MEAN,ANN_ROLL,2024,46223,,,'')":5806.0,"RTX-US^FE_ESTIMATE(G_A_EXP,MEAN,ANN_ROLL,2023,46223,,,'')":5879.0,"RTX-US^FE_ESTIMATE(G_A_EXP,MEAN,ANN_ROLL,2022,46223,,,'')":5663.0,"RTX-US^FE_ESTIMATE(SGA,MEAN,ANN_ROLL,2028,46223,,,'')":7321.0,"RTX-US^FE_ESTIMATE(SGA,MEAN,ANN_ROLL,2027,46223,,,'')":7057.0,"RTX-US^FE_ESTIMATE(SGA,MEAN,ANN_ROLL,2026,46223,,,'')":6649.0,"RTX-US^FE_ESTIMATE(SGA,MEAN,ANN_ROLL,2025,46223,,,'')":6150.0,"RTX-US^FE_ESTIMATE(SGA,MEAN,ANN_ROLL,2024,46223,,,'')":5806.0,"RTX-US^FE_ESTIMATE(SGA,MEAN,ANN_ROLL,2023,46223,,,'')":5816.0,"RTX-US^FE_ESTIMATE(SGA,MEAN,ANN_ROLL,2022,46223,,,'')":5663.0,"RTX-US^FE_VALUATION(GROSS_MARGIN,MEAN,ANN_ROLL,2028,46223,,,'')/100":0.21603169,"RTX-US^FE_VALUATION(GROSS_MARGIN,MEAN,ANN_ROLL,2027,46223,,,'')/100":0.21565007,"RTX-US^FE_VALUATION(GROSS_MARGIN,MEAN,ANN_ROLL,2026,46223,,,'')/100":0.21162003,"RTX-US^FE_VALUATION(GROSS_MARGIN,MEAN,ANN_ROLL,2025,46223,,,'')/100":0.20076069,"RTX-US^FE_VALUATION(GROSS_MARGIN,MEAN,ANN_ROLL,2024,46223,,,'')/100":0.1908519,"RTX-US^FE_VALUATION(GROSS_MARGIN,MEAN,ANN_ROLL,2023,46223,,,'')/100":0.18731354,"RTX-US^FE_VALUATION(GROSS_MARGIN,MEAN,ANN_ROLL,2022,46223,,,'')/100":0.2038495,"RTX-US^FE_ESTIMATE(GROSS_INC,MEAN,ANN_ROLL,2028,46223,,,'')":23280.0,"RTX-US^FE_ESTIMATE(GROSS_INC,MEAN,ANN_ROLL,2027,46223,,,'')":21756.0,"RTX-US^FE_ESTIMATE(GROSS_INC,MEAN,ANN_ROLL,2026,46223,,,'')":19937.0,"RTX-US^FE_ESTIMATE(GROSS_INC,MEAN,ANN_ROLL,2025,46223,,,'')":17788.0,"RTX-US^FE_ESTIMATE(GROSS_INC,MEAN,ANN_ROLL,2024,46223,,,'')":15409.0,"RTX-US^FE_ESTIMATE(GROSS_INC,MEAN,ANN_ROLL,2023,46223,,,'')":13918.333,"RTX-US^FE_ESTIMATE(GROSS_INC,MEAN,ANN_ROLL,2022,46223,,,'')":13673.0,"RTX-US^FE_ESTIMATE(COS,MEAN,ANN_ROLL,2028,46223,,,'')":79614.5,"RTX-US^FE_ESTIMATE(COS,MEAN,ANN_ROLL,2027,46223,,,'')":76573.0,"RTX-US^FE_ESTIMATE(COS,MEAN,ANN_ROLL,2026,46223,,,'')":73133.336,"RTX-US^FE_ESTIMATE(COS,MEAN,ANN_ROLL,2025,46223,,,'')":72945.664,"RTX-US^FE_ESTIMATE(COS,MEAN,ANN_ROLL,2024,46223,,,'')":65328.0,"RTX-US^FE_ESTIMATE(COS,MEAN,ANN_ROLL,2023,46223,,,'')":56696.0,"RTX-US^FE_ESTIMATE(COS,MEAN,ANN_ROLL,2022,46223,,,'')":53127.6,"RTX-US^FE_ESTIMATE(SALES,MEAN,ANN_ROLL,2028,46223,,,'')":107761.97,"RTX-US^FE_ESTIMATE(SALES,MEAN,ANN_ROLL,2027,46223,,,'')":100885.664,"RTX-US^FE_ESTIMATE(SALES,MEAN,ANN_ROLL,2026,46223,,,'')":94211.305,"RTX-US^FE_ESTIMATE(SALES,MEAN,ANN_ROLL,2025,46223,,,'')":88603.0,"RTX-US^FE_ESTIMATE(SALES,MEAN,ANN_ROLL,2024,46223,,,'')":80738.0,"RTX-US^FE_ESTIMATE(SALES,MEAN,ANN_ROLL,2023,46223,,,'')":74305.0,"RTX-US^FE_ESTIMATE(SALES,MEAN,ANN_ROLL,2022,46223,,,'')":67074.0,"RTX-US^FE_ESTIMATE(FCFPS,MEAN,ANN_ROLL,2028,46223,,,'')":8.203278,"RTX-US^FE_ESTIMATE(FCFPS,MEAN,ANN_ROLL,2027,46223,,,'')":7.4094963,"RTX-US^FE_ESTIMATE(FCFPS,MEAN,ANN_ROLL,2026,46223,,,'')":6.321953,"RTX-US^FE_ESTIMATE(FCFPS,MEAN,ANN_ROLL,2025,46223,,,'')":5.859104,"RTX-US^FE_ESTIMATE(FCFPS,MEAN,ANN_ROLL,2024,46223,,,'')":3.3707526,"RTX-US^FE_ESTIMATE(FCFPS,MEAN,ANN_ROLL,2023,46223,,,'')":3.8284845,"RTX-US^FE_ESTIMATE(FCFPS,MEAN,ANN_ROLL,2022,46223,,,'')":3.2834578,"RTX-US^FE_ESTIMATE(FCF,MEAN,ANN_ROLL,2028,46223,,,'')":11263.34,"RTX-US^FE_ESTIMATE(FCF,MEAN,ANN_ROLL,2027,46223,,,'')":10164.371,"RTX-US^FE_ESTIMATE(FCF,MEAN,ANN_ROLL,2026,46223,,,'')":8609.408,"RTX-US^FE_ESTIMATE(FCF,MEAN,ANN_ROLL,2025,46223,,,'')":7940.0,"RTX-US^FE_ESTIMATE(FCF,MEAN,ANN_ROLL,2024,46223,,,'')":4534.0,"RTX-US^FE_ESTIMATE(FCF,MEAN,ANN_ROLL,2023,46223,,,'')":5468.0,"RTX-US^FE_ESTIMATE(FCF,MEAN,ANN_ROLL,2022,46223,,,'')":4880.0,"RTX-US^FE_ESTIMATE(DPS,MEAN,ANN_ROLL,2028,46223,,,'')":3.2762632,"RTX-US^FE_ESTIMATE(DPS,MEAN,ANN_ROLL,2027,46223,,,'')":3.0512538,"RTX-US^FE_ESTIMATE(DPS,MEAN,ANN_ROLL,2026,46223,,,'')":2.843227,"RTX-US^FE_ESTIMATE(DPS,MEAN,ANN_ROLL,2025,46223,,,'')":2.6473334,"RTX-US^FE_ESTIMATE(DPS,MEAN,ANN_ROLL,2024,46223,,,'')":2.4640515,"RTX-US^FE_ESTIMATE(DPS,MEAN,ANN_ROLL,2023,46223,,,'')":2.3056726,"RTX-US^FE_ESTIMATE(DPS,MEAN,ANN_ROLL,2022,46223,,,'')":2.14607,"RTX-US^FE_ESTIMATE(EPS_GAAP,MEAN,ANN_ROLL,2028,46223,,,'')":7.3348618,"RTX-US^FE_ESTIMATE(EPS_GAAP,MEAN,ANN_ROLL,2027,46223,,,'')":6.482443,"RTX-US^FE_ESTIMATE(EPS_GAAP,MEAN,ANN_ROLL,2026,46223,,,'')":5.7588325,"RTX-US^FE_ESTIMATE(EPS_GAAP,MEAN,ANN_ROLL,2025,46223,,,'')":4.96,"RTX-US^FE_ESTIMATE(EPS_GAAP,MEAN,ANN_ROLL,2024,46223,,,'')":3.55,"RTX-US^FE_ESTIMATE(EPS_GAAP,MEAN,ANN_ROLL,2023,46223,,,'')":2.23,"RTX-US^FE_ESTIMATE(EPS_GAAP,MEAN,ANN_ROLL,2022,46223,,,'')":3.51,"RTX-US^FE_ESTIMATE(NET_INC_REP,MEAN,ANN_ROLL,2028,46223,,,'')":10171.4375,"RTX-US^FE_ESTIMATE(NET_INC_REP,MEAN,ANN_ROLL,2027,46223,,,'')":8855.963,"RTX-US^FE_ESTIMATE(NET_INC_REP,MEAN,ANN_ROLL,2026,46223,,,'')":7901.4316,"RTX-US^FE_ESTIMATE(NET_INC_REP,MEAN,ANN_ROLL,2025,46223,,,'')":6732.0,"RTX-US^FE_ESTIMATE(NET_INC_REP,MEAN,ANN_ROLL,2024,46223,,,'')":4774.0,"RTX-US^FE_ESTIMATE(NET_INC_REP,MEAN,ANN_ROLL,2023,46223,,,'')":3195.0,"RTX-US^FE_ESTIMATE(NET_INC_REP,MEAN,ANN_ROLL,2022,46223,,,'')":5216.0,"RTX-US^FE_ESTIMATE(PTX_INC_REP,MEAN,ANN_ROLL,2028,46223,,,'')":12848.703,"RTX-US^FE_ESTIMATE(PTX_INC_REP,MEAN,ANN_ROLL,2027,46223,,,'')":11408.42,"RTX-US^FE_ESTIMATE(PTX_INC_REP,MEAN,ANN_ROLL,2026,46223,,,'')":10137.686,"RTX-US^FE_ESTIMATE(PTX_INC_REP,MEAN,ANN_ROLL,2025,46223,,,'')":8795.833,"RTX-US^FE_ESTIMATE(PTX_INC_REP,MEAN,ANN_ROLL,2024,46223,,,'')":6162.4,"RTX-US^FE_ESTIMATE(PTX_INC_REP,MEAN,ANN_ROLL,2023,46223,,,'')":3791.1428,"RTX-US^FE_ESTIMATE(PTX_INC_REP,MEAN,ANN_ROLL,2022,46223,,,'')":7235.5,"RTX-US^FE_ESTIMATE(EBITDA_REP,MEAN,ANN_ROLL,2028,46223,,,'')":18211.049,"RTX-US^FE_ESTIMATE(EBITDA_REP,MEAN,ANN_ROLL,2027,46223,,,'')":16639.809,"RTX-US^FE_ESTIMATE(EBITDA_REP,MEAN,ANN_ROLL,2026,46223,,,'')":15279.711,"RTX-US^FE_ESTIMATE(EBITDA_REP,MEAN,ANN_ROLL,2025,46223,,,'')":13715.272,"RTX-US^FE_ESTIMATE(EBITDA_REP,MEAN,ANN_ROLL,2024,46223,,,'')":12102.1,"RTX-US^FE_ESTIMATE(EBITDA_REP,MEAN,ANN_ROLL,2023,46223,,,'')":11458.066,"RTX-US^FE_ESTIMATE(EBITDA_REP,MEAN,ANN_ROLL,2022,46223,,,'')":11023.525,"RTX-US^FE_ESTIMATE(EPS,MEAN,ANN_ROLL,2028,46223,,,',CLASS=59,')":null,"RTX-US^FE_ESTIMATE(EPS,MEAN,ANN_ROLL,2027,46223,,,',CLASS=59,')":null,"RTX-US^FE_ESTIMATE(EPS,MEAN,ANN_ROLL,2026,46223,,,',CLASS=59,')":null,"RTX-US^FE_ESTIMATE(EPS,MEAN,ANN_ROLL,2025,46223,,,',CLASS=59,')":null,"RTX-US^FE_ESTIMATE(EPS,MEAN,ANN_ROLL,2024,46223,,,',CLASS=59,')":null,"RTX-US^FE_ESTIMATE(EPS,MEAN,ANN_ROLL,2023,46223,,,',CLASS=59,')":null,"RTX-US^FE_ESTIMATE(EPS,MEAN,ANN_ROLL,2022,46223,,,',CLASS=59,')":null,"RTX-US^FE_ESTIMATE(EPS,MEAN,ANN_ROLL,2028,46223,,,'')":8.451825,"RTX-US^FE_ESTIMATE(EPS,MEAN,ANN_ROLL,2027,46223,,,'')":7.633048,"RTX-US^FE_ESTIMATE(EPS,MEAN,ANN_ROLL,2026,46223,,,'')":6.9529424,"RTX-US^FE_ESTIMATE(EPS,MEAN,ANN_ROLL,2025,46223,,,'')":6.29,"RTX-US^FE_ESTIMATE(EPS,MEAN,ANN_ROLL,2024,46223,,,'')":5.73,"RTX-US^FE_ESTIMATE(EPS,MEAN,ANN_ROLL,2023,46223,,,'')":5.06,"RTX-US^FE_ESTIMATE(EPS,MEAN,ANN_ROLL,2022,46223,,,'')":4.78,"RTX-US^FE_ESTIMATE(FCFPS,MEAN,QTR_ROLL,2026/2F,46225,,,'')":0.87586766,"RTX-US^FE_ESTIMATE(FCF,MEAN,QTR_ROLL,2026/2F,46225,,,'')":1288.9395,"RTX-US^FE_ESTIMATE(CAPEX,MEAN,QTR_ROLL,2026/2F,46225,,,'')":767.72455,"RTX-US^FE_ESTIMATE(CF_OP,MEAN,QTR_ROLL,2026/2F,46225,,,'')":2408.6667,"RTX-US^FE_ESTIMATE(NET_DEBT,MEAN,QTR_ROLL,2026/2F,46225,,,'')":29882.0,"RTX-US^FE_ESTIMATE(DEBT,MEAN,QTR_ROLL,2026/2F,46225,,,'')":37413.0,"RTX-US^FE_ESTIMATE(CASH_ST,MEAN,QTR_ROLL,2026/2F,46225,,,'')":7207.3335,"RTX-US^FE_ESTIMATE(DPS,MEAN,QTR_ROLL,2026/2F,46225,,,'')":0.70925,"RTX-US^FE_ESTIMATE(EPS_GAAP,MEAN,QTR_ROLL,2026/2F,46225,,,'')":1.3581272,"RTX-US^FE_ESTIMATE(NET_INC_REP,MEAN,QTR_ROLL,2026/2F,46225,,,'')":1896.1569,"RTX-US^FE_ESTIMATE(PTX_INC_REP,MEAN,QTR_ROLL,2026/2F,46225,,,'')":2414.4436,"RTX-US^FE_ESTIMATE(EBITDA_REP,MEAN,QTR_ROLL,2026/2F,46225,,,'')":3705.8186,"RTX-US^FE_ESTIMATE(EPS,MEAN,QTR,2026/2F,46225,,,'CLASS=59')":null,"RTX-US^FE_ESTIMATE(EPS,MEAN,QTR_ROLL,2026/2F,46225,,,'')":1.6594449,"RTX-US^FE_ESTIMATE(NET_INC,MEAN,QTR_ROLL,2026/2F,46225,,,'')":2250.4744,"RTX-US^FE_VALUATION(TAX_RATE,MEAN,QTR_ROLL,2026/2F,46225,,,'')":0.17173219,"RTX-US^FE_ESTIMATE(PTX_INC,MEAN,QTR_ROLL,2026/2F,46225,,,'')":2917.9802,"RTX-US^FE_ESTIMATE(INT_EXP,MEAN,QTR_ROLL,2026/2F,46225,,,'')":420.0,"RTX-US^FE_ESTIMATE(EBIT,MEAN,QTR_ROLL,2026/2F,46225,,,'')":2985.6729,"RTX-US^FE_ESTIMATE(DEP_AMORT,MEAN,QTR_ROLL,2026/2F,46225,,,'')":994.5,"RTX-US^FE_ESTIMATE(EBITDA_ADJ,MEAN,QTR_ROLL,2026/2F,46225,,,'')":3590.795,"RTX-US^FE_ESTIMATE(OPER_EXP,MEAN,QTR_ROLL,2026/2F,46225,,,'')":null,"RTX-US^FE_ESTIMATE(SOE,MEAN,QTR_ROLL,2026/2F,46225,,,'')":null,"RTX-US^FE_ESTIMATE(RD_EXP,MEAN,QTR_ROLL,2026/2F,46225,,,'')":643.3333,"RTX-US^FE_ESTIMATE(G_A_EXP,MEAN,QTR_ROLL,2026/2F,46225,,,'')":1571.0,"RTX-US^FE_ESTIMATE(SGA,MEAN,QTR_ROLL,2026/2F,46225,,,'')":1643.0,"2026/2F^FE_VALUATION(GROSS_MARGIN,MEAN,QTR_ROLL,2026/2F,46225,,,'')/100":null,"RTX-US^FE_ESTIMATE(GROSS_INC,MEAN,QTR_ROLL,2026/2F,46225,,,'')":4850.0,"RTX-US^FE_ESTIMATE(COS,MEAN,QTR_ROLL,2026/2F,46225,,,'')":17533.666,"RTX-US^FE_ESTIMATE(SALES,MEAN,QTR_ROLL,2026/2F,46225,,,'')":22891.781,"RTX-US^FE_ESTIMATE(NET_INC,MEAN,ANN_ROLL,2028,46225,,,'')":11620.429,"RTX-US^FE_ESTIMATE(NET_INC,MEAN,ANN_ROLL,2027,46225,,,'')":10481.184,"RTX-US^FE_ESTIMATE(NET_INC,MEAN,ANN_ROLL,2026,46225,,,'')":9511.444,"RTX-US^FE_ESTIMATE(NET_INC,MEAN,ANN_ROLL,2025,46225,,,'')":8531.0,"RTX-US^FE_ESTIMATE(NET_INC,MEAN,ANN_ROLL,2024,46225,,,'')":7705.0,"RTX-US^FE_ESTIMATE(NET_INC,MEAN,ANN_ROLL,2023,46225,,,'')":7263.0,"RTX-US^FE_ESTIMATE(NET_INC,MEAN,ANN_ROLL,2022,46225,,,'')":7098.0,"RTX-US^FE_VALUATION(TAX_RATE,MEAN,ANN_ROLL,2028,46225,,,'')":0.18454264,"RTX-US^FE_VALUATION(TAX_RATE,MEAN,ANN_ROLL,2027,46225,,,'')":0.17779896,"RTX-US^FE_VALUATION(TAX_RATE,MEAN,ANN_ROLL,2026,46225,,,'')":0.17214625,"RTX-US^FE_VALUATION(TAX_RATE,MEAN,ANN_ROLL,2025,46225,,,'')":0.17261231,"RTX-US^FE_VALUATION(TAX_RATE,MEAN,ANN_ROLL,2024,46225,,,'')":0.15274101,"RTX-US^FE_VALUATION(TAX_RATE,MEAN,ANN_ROLL,2023,46225,,,'')":0.10869081,"RTX-US^FE_VALUATION(TAX_RATE,MEAN,ANN_ROLL,2022,46225,,,'')":0.13594484,"RTX-US^FE_ESTIMATE(PTX_INC,MEAN,ANN_ROLL,2028,46225,,,'')":14695.791,"RTX-US^FE_ESTIMATE(PTX_INC,MEAN,ANN_ROLL,2027,46225,,,'')":13047.826,"RTX-US^FE_ESTIMATE(PTX_INC,MEAN,ANN_ROLL,2026,46225,,,'')":11932.413,"RTX-US^FE_ESTIMATE(PTX_INC,MEAN,ANN_ROLL,2025,46225,,,'')":10928.795,"RTX-US^FE_ESTIMATE(PTX_INC,MEAN,ANN_ROLL,2024,46225,,,'')":9760.3125,"RTX-US^FE_ESTIMATE(PTX_INC,MEAN,ANN_ROLL,2023,46225,,,'')":9073.444,"RTX-US^FE_ESTIMATE(PTX_INC,MEAN,ANN_ROLL,2022,46225,,,'')":7447.8735,"RTX-US^FE_ESTIMATE(INT_EXP,MEAN,ANN_ROLL,2028,46225,,,'')":1650.0,"RTX-US^FE_ESTIMATE(INT_EXP,MEAN,ANN_ROLL,2027,46225,,,'')":1568.5085,"RTX-US^FE_ESTIMATE(INT_EXP,MEAN,ANN_ROLL,2026,46225,,,'')":1649.3004,"RTX-US^FE_ESTIMATE(INT_EXP,MEAN,ANN_ROLL,2025,46225,,,'')":1793.5,"RTX-US^FE_ESTIMATE(INT_EXP,MEAN,ANN_ROLL,2024,46225,,,'')":1888.0,"RTX-US^FE_ESTIMATE(INT_EXP,MEAN,ANN_ROLL,2023,46225,,,'')":1512.6666,"RTX-US^FE_ESTIMATE(INT_EXP,MEAN,ANN_ROLL,2022,46225,,,'')":1276.0,"RTX-US^FE_ESTIMATE(EBIT,MEAN,ANN_ROLL,2028,46225,,,'')":14972.014,"RTX-US^FE_ESTIMATE(EBIT,MEAN,ANN_ROLL,2027,46225,,,'')":13640.334,"RTX-US^FE_ESTIMATE(EBIT,MEAN,ANN_ROLL,2026,46225,,,'')":12373.356,"RTX-US^FE_ESTIMATE(EBIT,MEAN,ANN_ROLL,2025,46225,,,'')":11356.706,"RTX-US^FE_ESTIMATE(EBIT,MEAN,ANN_ROLL,2024,46225,,,'')":10183.0,"RTX-US^FE_ESTIMATE(EBIT,MEAN,ANN_ROLL,2023,46225,,,'')":8895.0,"RTX-US^FE_ESTIMATE(EBIT,MEAN,ANN_ROLL,2022,46225,,,'')":7828.25,"RTX-US^FE_ESTIMATE(DEP_AMORT,MEAN,ANN_ROLL,2028,46225,,,'')":4828.8667,"RTX-US^FE_ESTIMATE(DEP_AMORT,MEAN,ANN_ROLL,2027,46225,,,'')":4274.426,"RTX-US^FE_ESTIMATE(DEP_AMORT,MEAN,ANN_ROLL,2026,46225,,,'')":4129.83,"RTX-US^FE_ESTIMATE(DEP_AMORT,MEAN,ANN_ROLL,2025,46225,,,'')":3578.6,"RTX-US^FE_ESTIMATE(DEP_AMORT,MEAN,ANN_ROLL,2024,46225,,,'')":4021.0,"RTX-US^FE_ESTIMATE(DEP_AMORT,MEAN,ANN_ROLL,2023,46225,,,'')":3989.0,"RTX-US^FE_ESTIMATE(DEP_AMORT,MEAN,ANN_ROLL,2022,46225,,,'')":3682.3333,"RTX-US^FE_ESTIMATE(EBITDA,MEAN,ANN_ROLL,2028,46225,,,'')":18211.049,"RTX-US^FE_ESTIMATE(EBITDA,MEAN,ANN_ROLL,2027,46225,,,'')":16639.809,"RTX-US^FE_ESTIMATE(EBITDA,MEAN,ANN_ROLL,2026,46225,,,'')":15279.711,"RTX-US^FE_ESTIMATE(EBITDA,MEAN,ANN_ROLL,2025,46225,,,'')":13715.272,"RTX-US^FE_ESTIMATE(EBITDA,MEAN,ANN_ROLL,2024,46225,,,'')":12102.1,"RTX-US^FE_ESTIMATE(EBITDA,MEAN,ANN_ROLL,2023,46225,,,'')":11458.066,"RTX-US^FE_ESTIMATE(EBITDA,MEAN,ANN_ROLL,2022,46225,,,'')":11023.525,"RTX-US^FE_ESTIMATE(OPER_EXP,MEAN,ANN_ROLL,2028,46225,,,'')":null,"RTX-US^FE_ESTIMATE(OPER_EXP,MEAN,ANN_ROLL,2027,46225,,,'')":null,"RTX-US^FE_ESTIMATE(OPER_EXP,MEAN,ANN_ROLL,2026,46225,,,'')":null,"RTX-US^FE_ESTIMATE(OPER_EXP,MEAN,ANN_ROLL,2025,46225,,,'')":null,"RTX-US^FE_ESTIMATE(OPER_EXP,MEAN,ANN_ROLL,2024,46225,,,'')":null,"RTX-US^FE_ESTIMATE(OPER_EXP,MEAN,ANN_ROLL,2023,46225,,,'')":null,"RTX-US^FE_ESTIMATE(OPER_EXP,MEAN,ANN_ROLL,2022,46225,,,'')":null,"RTX-US^FE_ESTIMATE(SOE,MEAN,ANN_ROLL,2028,46225,,,'')":null,"RTX-US^FE_ESTIMATE(SOE,MEAN,ANN_ROLL,2027,46225,,,'')":null,"RTX-US^FE_ESTIMATE(SOE,MEAN,ANN_ROLL,2026,46225,,,'')":null,"RTX-US^FE_ESTIMATE(SOE,MEAN,ANN_ROLL,2025,46225,,,'')":null,"RTX-US^FE_ESTIMATE(SOE,MEAN,ANN_ROLL,2024,46225,,,'')":null,"RTX-US^FE_ESTIMATE(SOE,MEAN,ANN_ROLL,2023,46225,,,'')":null,"RTX-US^FE_ESTIMATE(SOE,MEAN,ANN_ROLL,2022,46225,,,'')":null,"RTX-US^FE_ESTIMATE(RD_EXP,MEAN,ANN_ROLL,2028,46225,,,'')":3597.0,"RTX-US^FE_ESTIMATE(RD_EXP,MEAN,ANN_ROLL,2027,46225,,,'')":2817.0,"RTX-US^FE_ESTIMATE(RD_EXP,MEAN,ANN_ROLL,2026,46225,,,'')":2654.0,"RTX-US^FE_ESTIMATE(RD_EXP,MEAN,ANN_ROLL,2025,46225,,,'')":2895.3333,"RTX-US^FE_ESTIMATE(RD_EXP,MEAN,ANN_ROLL,2024,46225,,,'')":2934.0,"RTX-US^FE_ESTIMATE(RD_EXP,MEAN,ANN_ROLL,2023,46225,,,'')":2805.0,"RTX-US^FE_ESTIMATE(RD_EXP,MEAN,ANN_ROLL,2022,46225,,,'')":2727.0,"RTX-US^FE_ESTIMATE(G_A_EXP,MEAN,ANN_ROLL,2028,46225,,,'')":7091.0,"RTX-US^FE_ESTIMATE(G_A_EXP,MEAN,ANN_ROLL,2027,46225,,,'')":6426.0,"RTX-US^FE_ESTIMATE(G_A_EXP,MEAN,ANN_ROLL,2026,46225,,,'')":6246.5,"RTX-US^FE_ESTIMATE(G_A_EXP,MEAN,ANN_ROLL,2025,46225,,,'')":6095.0,"RTX-US^FE_ESTIMATE(G_A_EXP,MEAN,ANN_ROLL,2024,46225,,,'')":5806.0,"RTX-US^FE_ESTIMATE(G_A_EXP,MEAN,ANN_ROLL,2023,46225,,,'')":5879.0,"RTX-US^FE_ESTIMATE(G_A_EXP,MEAN,ANN_ROLL,2022,46225,,,'')":5663.0,"RTX-US^FE_ESTIMATE(SGA,MEAN,ANN_ROLL,2028,46225,,,'')":7321.0,"RTX-US^FE_ESTIMATE(SGA,MEAN,ANN_ROLL,2027,46225,,,'')":7057.0,"RTX-US^FE_ESTIMATE(SGA,MEAN,ANN_ROLL,2026,46225,,,'')":6649.0,"RTX-US^FE_ESTIMATE(SGA,MEAN,ANN_ROLL,2025,46225,,,'')":6150.0,"RTX-US^FE_ESTIMATE(SGA,MEAN,ANN_ROLL,2024,46225,,,'')":5806.0,"RTX-US^FE_ESTIMATE(SGA,MEAN,ANN_ROLL,2023,46225,,,'')":5816.0,"RTX-US^FE_ESTIMATE(SGA,MEAN,ANN_ROLL,2022,46225,,,'')":5663.0,"RTX-US^FE_VALUATION(GROSS_MARGIN,MEAN,ANN_ROLL,2028,46225,,,'')/100":0.21603169,"RTX-US^FE_VALUATION(GROSS_MARGIN,MEAN,ANN_ROLL,2027,46225,,,'')/100":0.21565007,"RTX-US^FE_VALUATION(GROSS_MARGIN,MEAN,ANN_ROLL,2026,46225,,,'')/100":0.21162003,"RTX-US^FE_VALUATION(GROSS_MARGIN,MEAN,ANN_ROLL,2025,46225,,,'')/100":0.20076069,"RTX-US^FE_VALUATION(GROSS_MARGIN,MEAN,ANN_ROLL,2024,46225,,,'')/100":0.1908519,"RTX-US^FE_VALUATION(GROSS_MARGIN,MEAN,ANN_ROLL,2023,46225,,,'')/100":0.18731354,"RTX-US^FE_VALUATION(GROSS_MARGIN,MEAN,ANN_ROLL,2022,46225,,,'')/100":0.2038495,"RTX-US^FE_ESTIMATE(GROSS_INC,MEAN,ANN_ROLL,2028,46225,,,'')":23280.0,"RTX-US^FE_ESTIMATE(GROSS_INC,MEAN,ANN_ROLL,2027,46225,,,'')":21756.0,"RTX-US^FE_ESTIMATE(GROSS_INC,MEAN,ANN_ROLL,2026,46225,,,'')":19937.0,"RTX-US^FE_ESTIMATE(GROSS_INC,MEAN,ANN_ROLL,2025,46225,,,'')":17788.0,"RTX-US^FE_ESTIMATE(GROSS_INC,MEAN,ANN_ROLL,2024,46225,,,'')":15409.0,"RTX-US^FE_ESTIMATE(GROSS_INC,MEAN,ANN_ROLL,2023,46225,,,'')":13918.333,"RTX-US^FE_ESTIMATE(GROSS_INC,MEAN,ANN_ROLL,2022,46225,,,'')":13673.0,"RTX-US^FE_ESTIMATE(COS,MEAN,ANN_ROLL,2028,46225,,,'')":79614.5,"RTX-US^FE_ESTIMATE(COS,MEAN,ANN_ROLL,2027,46225,,,'')":76573.0,"RTX-US^FE_ESTIMATE(COS,MEAN,ANN_ROLL,2026,46225,,,'')":73133.336,"RTX-US^FE_ESTIMATE(COS,MEAN,ANN_ROLL,2025,46225,,,'')":72945.664,"RTX-US^FE_ESTIMATE(COS,MEAN,ANN_ROLL,2024,46225,,,'')":65328.0,"RTX-US^FE_ESTIMATE(COS,MEAN,ANN_ROLL,2023,46225,,,'')":56696.0,"RTX-US^FE_ESTIMATE(COS,MEAN,ANN_ROLL,2022,46225,,,'')":53127.6,"RTX-US^FE_ESTIMATE(SALES,MEAN,ANN_ROLL,2028,46225,,,'')":107761.97,"RTX-US^FE_ESTIMATE(SALES,MEAN,ANN_ROLL,2027,46225,,,'')":100885.664,"RTX-US^FE_ESTIMATE(SALES,MEAN,ANN_ROLL,2026,46225,,,'')":94211.305,"RTX-US^FE_ESTIMATE(SALES,MEAN,ANN_ROLL,2025,46225,,,'')":88603.0,"RTX-US^FE_ESTIMATE(SALES,MEAN,ANN_ROLL,2024,46225,,,'')":80738.0,"RTX-US^FE_ESTIMATE(SALES,MEAN,ANN_ROLL,2023,46225,,,'')":74305.0,"RTX-US^FE_ESTIMATE(SALES,MEAN,ANN_ROLL,2022,46225,,,'')":67074.0,"RTX-US^FE_ESTIMATE(FCFPS,MEAN,ANN_ROLL,2028,46225,,,'')":8.203278,"RTX-US^FE_ESTIMATE(FCFPS,MEAN,ANN_ROLL,2027,46225,,,'')":7.4094963,"RTX-US^FE_ESTIMATE(FCFPS,MEAN,ANN_ROLL,2026,46225,,,'')":6.321953,"RTX-US^FE_ESTIMATE(FCFPS,MEAN,ANN_ROLL,2025,46225,,,'')":5.859104,"RTX-US^FE_ESTIMATE(FCFPS,MEAN,ANN_ROLL,2024,46225,,,'')":3.3707526,"RTX-US^FE_ESTIMATE(FCFPS,MEAN,ANN_ROLL,2023,46225,,,'')":3.8284845,"RTX-US^FE_ESTIMATE(FCFPS,MEAN,ANN_ROLL,2022,46225,,,'')":3.2834578,"RTX-US^FE_ESTIMATE(FCF,MEAN,ANN_ROLL,2028,46225,,,'')":11263.34,"RTX-US^FE_ESTIMATE(FCF,MEAN,ANN_ROLL,2027,46225,,,'')":10164.371,"RTX-US^FE_ESTIMATE(FCF,MEAN,ANN_ROLL,2026,46225,,,'')":8609.408,"RTX-US^FE_ESTIMATE(FCF,MEAN,ANN_ROLL,2025,46225,,,'')":7940.0,"RTX-US^FE_ESTIMATE(FCF,MEAN,ANN_ROLL,2024,46225,,,'')":4534.0,"RTX-US^FE_ESTIMATE(FCF,MEAN,ANN_ROLL,2023,46225,,,'')":5468.0,"RTX-US^FE_ESTIMATE(FCF,MEAN,ANN_ROLL,2022,46225,,,'')":4880.0,"RTX-US^FE_ESTIMATE(DPS,MEAN,ANN_ROLL,2028,46225,,,'')":3.2762632,"RTX-US^FE_ESTIMATE(DPS,MEAN,ANN_ROLL,2027,46225,,,'')":3.0512538,"RTX-US^FE_ESTIMATE(DPS,MEAN,ANN_ROLL,2026,46225,,,'')":2.843227,"RTX-US^FE_ESTIMATE(DPS,MEAN,ANN_ROLL,2025,46225,,,'')":2.6473334,"RTX-US^FE_ESTIMATE(DPS,MEAN,ANN_ROLL,2024,46225,,,'')":2.4640515,"RTX-US^FE_ESTIMATE(DPS,MEAN,ANN_ROLL,2023,46225,,,'')":2.3056726,"RTX-US^FE_ESTIMATE(DPS,MEAN,ANN_ROLL,2022,46225,,,'')":2.14607,"RTX-US^FE_ESTIMATE(EPS_GAAP,MEAN,ANN_ROLL,2028,46225,,,'')":7.3348618,"RTX-US^FE_ESTIMATE(EPS_GAAP,MEAN,ANN_ROLL,2027,46225,,,'')":6.482443,"RTX-US^FE_ESTIMATE(EPS_GAAP,MEAN,ANN_ROLL,2026,46225,,,'')":5.7588325,"RTX-US^FE_ESTIMATE(EPS_GAAP,MEAN,ANN_ROLL,2025,46225,,,'')":4.96,"RTX-US^FE_ESTIMATE(EPS_GAAP,MEAN,ANN_ROLL,2024,46225,,,'')":3.55,"RTX-US^FE_ESTIMATE(EPS_GAAP,MEAN,ANN_ROLL,2023,46225,,,'')":2.23,"RTX-US^FE_ESTIMATE(EPS_GAAP,MEAN,ANN_ROLL,2022,46225,,,'')":3.51,"RTX-US^FE_ESTIMATE(NET_INC_REP,MEAN,ANN_ROLL,2028,46225,,,'')":10171.4375,"RTX-US^FE_ESTIMATE(NET_INC_REP,MEAN,ANN_ROLL,2027,46225,,,'')":8855.963,"RTX-US^FE_ESTIMATE(NET_INC_REP,MEAN,ANN_ROLL,2026,46225,,,'')":7901.4316,"RTX-US^FE_ESTIMATE(NET_INC_REP,MEAN,ANN_ROLL,2025,46225,,,'')":6732.0,"RTX-US^FE_ESTIMATE(NET_INC_REP,MEAN,ANN_ROLL,2024,46225,,,'')":4774.0,"RTX-US^FE_ESTIMATE(NET_INC_REP,MEAN,ANN_ROLL,2023,46225,,,'')":3195.0,"RTX-US^FE_ESTIMATE(NET_INC_REP,MEAN,ANN_ROLL,2022,46225,,,'')":5216.0,"RTX-US^FE_ESTIMATE(PTX_INC_REP,MEAN,ANN_ROLL,2028,46225,,,'')":12848.703,"RTX-US^FE_ESTIMATE(PTX_INC_REP,MEAN,ANN_ROLL,2027,46225,,,'')":11408.42,"RTX-US^FE_ESTIMATE(PTX_INC_REP,MEAN,ANN_ROLL,2026,46225,,,'')":10137.686,"RTX-US^FE_ESTIMATE(PTX_INC_REP,MEAN,ANN_ROLL,2025,46225,,,'')":8795.833,"RTX-US^FE_ESTIMATE(PTX_INC_REP,MEAN,ANN_ROLL,2024,46225,,,'')":6162.4,"RTX-US^FE_ESTIMATE(PTX_INC_REP,MEAN,ANN_ROLL,2023,46225,,,'')":3791.1428,"RTX-US^FE_ESTIMATE(PTX_INC_REP,MEAN,ANN_ROLL,2022,46225,,,'')":7235.5,"RTX-US^FE_ESTIMATE(EBITDA_REP,MEAN,ANN_ROLL,2028,46225,,,'')":18211.049,"RTX-US^FE_ESTIMATE(EBITDA_REP,MEAN,ANN_ROLL,2027,46225,,,'')":16639.809,"RTX-US^FE_ESTIMATE(EBITDA_REP,MEAN,ANN_ROLL,2026,46225,,,'')":15279.711,"RTX-US^FE_ESTIMATE(EBITDA_REP,MEAN,ANN_ROLL,2025,46225,,,'')":13715.272,"RTX-US^FE_ESTIMATE(EBITDA_REP,MEAN,ANN_ROLL,2024,46225,,,'')":12102.1,"RTX-US^FE_ESTIMATE(EBITDA_REP,MEAN,ANN_ROLL,2023,46225,,,'')":11458.066,"RTX-US^FE_ESTIMATE(EBITDA_REP,MEAN,ANN_ROLL,2022,46225,,,'')":11023.525,"RTX-US^FE_ESTIMATE(EPS,MEAN,ANN_ROLL,2028,46225,,,',CLASS=59,')":null,"RTX-US^FE_ESTIMATE(EPS,MEAN,ANN_ROLL,2027,46225,,,',CLASS=59,')":null,"RTX-US^FE_ESTIMATE(EPS,MEAN,ANN_ROLL,2026,46225,,,',CLASS=59,')":null,"RTX-US^FE_ESTIMATE(EPS,MEAN,ANN_ROLL,2025,46225,,,',CLASS=59,')":null,"RTX-US^FE_ESTIMATE(EPS,MEAN,ANN_ROLL,2024,46225,,,',CLASS=59,')":null,"RTX-US^FE_ESTIMATE(EPS,MEAN,ANN_ROLL,2023,46225,,,',CLASS=59,')":null,"RTX-US^FE_ESTIMATE(EPS,MEAN,ANN_ROLL,2022,46225,,,',CLASS=59,')":null,"RTX-US^FE_ESTIMATE(EPS,MEAN,ANN_ROLL,2028,46225,,,'')":8.451825,"RTX-US^FE_ESTIMATE(EPS,MEAN,ANN_ROLL,2027,46225,,,'')":7.633048,"RTX-US^FE_ESTIMATE(EPS,MEAN,ANN_ROLL,2026,46225,,,'')":6.9529424,"RTX-US^FE_ESTIMATE(EPS,MEAN,ANN_ROLL,2025,46225,,,'')":6.29,"RTX-US^FE_ESTIMATE(EPS,MEAN,ANN_ROLL,2024,46225,,,'')":5.73,"RTX-US^FE_ESTIMATE(EPS,MEAN,ANN_ROLL,2023,46225,,,'')":5.06,"RTX-US^FE_ESTIMATE(EPS,MEAN,ANN_ROLL,2022,46225,,,'')":4.78,"RTX-US^P_PRICE_AVG(0)":212.79,"RTX-US^P_PRICE_AVG(3/31/2026)":192.9,"RTX-US^P_PRICE_AVG(3/31/2026,6/30/2026)":183.54636}]]></FdsFormulaCache>
</file>

<file path=customXml/itemProps1.xml><?xml version="1.0" encoding="utf-8"?>
<ds:datastoreItem xmlns:ds="http://schemas.openxmlformats.org/officeDocument/2006/customXml" ds:itemID="{2D13ADA8-A905-44CE-BD77-4DD369802D56}">
  <ds:schemaRefs>
    <ds:schemaRef ds:uri="urn:fdsformulacach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CircularReferenceAlert</vt:lpstr>
      <vt:lpstr>ImportantDisclosures</vt:lpstr>
      <vt:lpstr>Financial Summary</vt:lpstr>
      <vt:lpstr>ProForma_IS_Annual</vt:lpstr>
      <vt:lpstr>ProForma_IS_Qtr</vt:lpstr>
      <vt:lpstr>Balance_Sheet_Annual</vt:lpstr>
      <vt:lpstr>Balance_Sheet_Qtr</vt:lpstr>
      <vt:lpstr>Cash_Flow_Annual</vt:lpstr>
      <vt:lpstr>Cash_Flow_Qtr</vt:lpstr>
      <vt:lpstr>Debt_Annual</vt:lpstr>
      <vt:lpstr>Debt_Qtr</vt:lpstr>
      <vt:lpstr>Recast Collins Aerospace_Annual</vt:lpstr>
      <vt:lpstr>Recast Collins Aerospace_Qtr</vt:lpstr>
      <vt:lpstr>Pratt &amp; Whitney_Annual</vt:lpstr>
      <vt:lpstr>Pratt &amp; Whitney_Qtr</vt:lpstr>
      <vt:lpstr>Recast Raytheon_Annual</vt:lpstr>
      <vt:lpstr>Recast Raytheon_Qtr</vt:lpstr>
      <vt:lpstr>IndexInformation</vt:lpstr>
      <vt:lpstr>ModPubIndex</vt:lpstr>
      <vt:lpstr>Linking_1</vt:lpstr>
      <vt:lpstr>Linking_2</vt:lpstr>
    </vt:vector>
  </TitlesOfParts>
  <Company>Morgan Stanley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Aguilar, Leyla (Research)</dc:creator>
  <cp:lastModifiedBy>Healey, Carol (Research)</cp:lastModifiedBy>
  <cp:lastPrinted>2021-08-10T01:21:19Z</cp:lastPrinted>
  <dcterms:created xsi:type="dcterms:W3CDTF">2020-05-12T21:40:30Z</dcterms:created>
  <dcterms:modified xsi:type="dcterms:W3CDTF">2026-07-27T12:18:01Z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{5E1C6C5D-3FA2-473E-ABF5-AEFC942FFACA}</vt:lpwstr>
  </property>
  <property fmtid="{D5CDD505-2E9C-101B-9397-08002B2CF9AE}" pid="3" name="MSIP_Label_07f119e6-c6cd-44b0-a5ee-ac1aff68c56e_Enabled">
    <vt:lpwstr>true</vt:lpwstr>
  </property>
  <property fmtid="{D5CDD505-2E9C-101B-9397-08002B2CF9AE}" pid="4" name="MSIP_Label_07f119e6-c6cd-44b0-a5ee-ac1aff68c56e_SetDate">
    <vt:lpwstr>2022-06-23T19:27:23Z</vt:lpwstr>
  </property>
  <property fmtid="{D5CDD505-2E9C-101B-9397-08002B2CF9AE}" pid="5" name="MSIP_Label_07f119e6-c6cd-44b0-a5ee-ac1aff68c56e_Method">
    <vt:lpwstr>Standard</vt:lpwstr>
  </property>
  <property fmtid="{D5CDD505-2E9C-101B-9397-08002B2CF9AE}" pid="6" name="MSIP_Label_07f119e6-c6cd-44b0-a5ee-ac1aff68c56e_Name">
    <vt:lpwstr>Confidential v1</vt:lpwstr>
  </property>
  <property fmtid="{D5CDD505-2E9C-101B-9397-08002B2CF9AE}" pid="7" name="MSIP_Label_07f119e6-c6cd-44b0-a5ee-ac1aff68c56e_SiteId">
    <vt:lpwstr>e29b8111-49f8-418d-ac2a-935335a52614</vt:lpwstr>
  </property>
  <property fmtid="{D5CDD505-2E9C-101B-9397-08002B2CF9AE}" pid="8" name="MSIP_Label_07f119e6-c6cd-44b0-a5ee-ac1aff68c56e_ActionId">
    <vt:lpwstr>5dd8e536-b290-4fb4-8da3-3dd02b3ab255</vt:lpwstr>
  </property>
  <property fmtid="{D5CDD505-2E9C-101B-9397-08002B2CF9AE}" pid="9" name="MSIP_Label_07f119e6-c6cd-44b0-a5ee-ac1aff68c56e_ContentBits">
    <vt:lpwstr>0</vt:lpwstr>
  </property>
  <property fmtid="{D5CDD505-2E9C-101B-9397-08002B2CF9AE}" pid="10" name="ERModPubTicket">
    <vt:lpwstr>NA</vt:lpwstr>
  </property>
  <property fmtid="{D5CDD505-2E9C-101B-9397-08002B2CF9AE}" pid="11" name="ERModPubConfirmEmail">
    <vt:bool>false</vt:bool>
  </property>
  <property fmtid="{D5CDD505-2E9C-101B-9397-08002B2CF9AE}" pid="12" name="ERModPubUserEmail">
    <vt:lpwstr>knafegab@ms.com</vt:lpwstr>
  </property>
  <property fmtid="{D5CDD505-2E9C-101B-9397-08002B2CF9AE}" pid="13" name="ERModPubGCIMTagged">
    <vt:bool>true</vt:bool>
  </property>
  <property fmtid="{D5CDD505-2E9C-101B-9397-08002B2CF9AE}" pid="14" name="ERCompanyUploadState">
    <vt:lpwstr>P</vt:lpwstr>
  </property>
  <property fmtid="{D5CDD505-2E9C-101B-9397-08002B2CF9AE}" pid="15" name="ERModPubCurrentYear">
    <vt:i4>2026</vt:i4>
  </property>
  <property fmtid="{D5CDD505-2E9C-101B-9397-08002B2CF9AE}" pid="16" name="ModelId">
    <vt:lpwstr>9847397</vt:lpwstr>
  </property>
  <property fmtid="{D5CDD505-2E9C-101B-9397-08002B2CF9AE}" pid="17" name="ERModPubCompanyName">
    <vt:lpwstr>RAYTHEON TECHNOLOGIES CORP</vt:lpwstr>
  </property>
</Properties>
</file>